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Assumptions'!$A$2:$G$17</definedName>
    <definedName name="_xlnm._FilterDatabase" localSheetId="2" hidden="1">'Estimate Settings'!$A$2:$D$11</definedName>
    <definedName name="_xlnm._FilterDatabase" localSheetId="3" hidden="1">'LOE'!$A$2:$K$31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SAMPLE-PROVIDER - Sample-Category - Sample Solution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Primary Features/Capabilities</t>
        </is>
      </c>
      <c r="C3" s="39" t="inlineStr">
        <is>
          <t>3-5 core features</t>
        </is>
      </c>
      <c r="D3" s="38" t="inlineStr">
        <is>
          <t>3-5 core features</t>
        </is>
      </c>
      <c r="E3" s="38" t="inlineStr">
        <is>
          <t>6-10 features</t>
        </is>
      </c>
      <c r="F3" s="38" t="inlineStr">
        <is>
          <t>10+ features or advanced capabilities</t>
        </is>
      </c>
      <c r="G3" s="38" t="inlineStr">
        <is>
          <t>Standard feature set for solution type</t>
        </is>
      </c>
    </row>
    <row r="4" ht="26" customHeight="1">
      <c r="A4" s="40" t="inlineStr">
        <is>
          <t>Solution Scope</t>
        </is>
      </c>
      <c r="B4" s="41" t="inlineStr">
        <is>
          <t>Customization Level</t>
        </is>
      </c>
      <c r="C4" s="39" t="inlineStr">
        <is>
          <t>Minimal configuration</t>
        </is>
      </c>
      <c r="D4" s="41" t="inlineStr">
        <is>
          <t>Minimal configuration</t>
        </is>
      </c>
      <c r="E4" s="41" t="inlineStr">
        <is>
          <t>Moderate customization</t>
        </is>
      </c>
      <c r="F4" s="41" t="inlineStr">
        <is>
          <t>Extensive custom development</t>
        </is>
      </c>
      <c r="G4" s="41" t="inlineStr">
        <is>
          <t>Configuration vs custom code</t>
        </is>
      </c>
    </row>
    <row r="5" ht="26" customHeight="1">
      <c r="A5" s="37" t="inlineStr">
        <is>
          <t>Integration</t>
        </is>
      </c>
      <c r="B5" s="38" t="inlineStr">
        <is>
          <t>External System Integrations</t>
        </is>
      </c>
      <c r="C5" s="39" t="inlineStr">
        <is>
          <t>2 REST APIs</t>
        </is>
      </c>
      <c r="D5" s="38" t="inlineStr">
        <is>
          <t>2 REST APIs</t>
        </is>
      </c>
      <c r="E5" s="38" t="inlineStr">
        <is>
          <t>4-6 systems</t>
        </is>
      </c>
      <c r="F5" s="38" t="inlineStr">
        <is>
          <t>8+ systems or complex protocols</t>
        </is>
      </c>
      <c r="G5" s="38" t="inlineStr">
        <is>
          <t>Standard REST/API integrations</t>
        </is>
      </c>
    </row>
    <row r="6" ht="26" customHeight="1">
      <c r="A6" s="40" t="inlineStr">
        <is>
          <t>Integration</t>
        </is>
      </c>
      <c r="B6" s="41" t="inlineStr">
        <is>
          <t>Data Sources</t>
        </is>
      </c>
      <c r="C6" s="39" t="inlineStr">
        <is>
          <t>2-3 data sources</t>
        </is>
      </c>
      <c r="D6" s="41" t="inlineStr">
        <is>
          <t>2-3 data sources</t>
        </is>
      </c>
      <c r="E6" s="41" t="inlineStr">
        <is>
          <t>4-6 data sources</t>
        </is>
      </c>
      <c r="F6" s="41" t="inlineStr">
        <is>
          <t>8+ data sources or complex formats</t>
        </is>
      </c>
      <c r="G6" s="41" t="inlineStr">
        <is>
          <t>Structured data sources</t>
        </is>
      </c>
    </row>
    <row r="7" ht="26" customHeight="1">
      <c r="A7" s="37" t="inlineStr">
        <is>
          <t>User Base</t>
        </is>
      </c>
      <c r="B7" s="38" t="inlineStr">
        <is>
          <t>Total Users</t>
        </is>
      </c>
      <c r="C7" s="39" t="inlineStr">
        <is>
          <t>50 users</t>
        </is>
      </c>
      <c r="D7" s="38" t="inlineStr">
        <is>
          <t>50 users</t>
        </is>
      </c>
      <c r="E7" s="38" t="inlineStr">
        <is>
          <t>100-250 users</t>
        </is>
      </c>
      <c r="F7" s="38" t="inlineStr">
        <is>
          <t>500+ users</t>
        </is>
      </c>
      <c r="G7" s="38" t="inlineStr">
        <is>
          <t>Across all user types and roles</t>
        </is>
      </c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2-3 standard roles</t>
        </is>
      </c>
      <c r="D8" s="41" t="inlineStr">
        <is>
          <t>2-3 standard roles</t>
        </is>
      </c>
      <c r="E8" s="41" t="inlineStr">
        <is>
          <t>4-6 roles</t>
        </is>
      </c>
      <c r="F8" s="41" t="inlineStr">
        <is>
          <t>8+ roles with complex permissions</t>
        </is>
      </c>
      <c r="G8" s="41" t="inlineStr">
        <is>
          <t>Role-based access control</t>
        </is>
      </c>
    </row>
    <row r="9" ht="26" customHeight="1">
      <c r="A9" s="37" t="inlineStr">
        <is>
          <t>Data Volume</t>
        </is>
      </c>
      <c r="B9" s="38" t="inlineStr">
        <is>
          <t>Data Processing Volume</t>
        </is>
      </c>
      <c r="C9" s="39" t="inlineStr">
        <is>
          <t>Small scale standard volume</t>
        </is>
      </c>
      <c r="D9" s="38" t="inlineStr">
        <is>
          <t>Small scale standard volume</t>
        </is>
      </c>
      <c r="E9" s="38" t="inlineStr">
        <is>
          <t>Medium scale increased volume</t>
        </is>
      </c>
      <c r="F9" s="38" t="inlineStr">
        <is>
          <t>Large scale high volume</t>
        </is>
      </c>
      <c r="G9" s="38" t="inlineStr">
        <is>
          <t>Varies by solution type (transactions docs etc)</t>
        </is>
      </c>
    </row>
    <row r="10" ht="26" customHeight="1">
      <c r="A10" s="40" t="inlineStr">
        <is>
          <t>Data Volume</t>
        </is>
      </c>
      <c r="B10" s="41" t="inlineStr">
        <is>
          <t>Data Storage Requirements</t>
        </is>
      </c>
      <c r="C10" s="39" t="inlineStr">
        <is>
          <t>100 GB</t>
        </is>
      </c>
      <c r="D10" s="41" t="inlineStr">
        <is>
          <t>100 GB</t>
        </is>
      </c>
      <c r="E10" s="41" t="inlineStr">
        <is>
          <t>500 GB - 1 TB</t>
        </is>
      </c>
      <c r="F10" s="41" t="inlineStr">
        <is>
          <t>2+ TB</t>
        </is>
      </c>
      <c r="G10" s="41" t="inlineStr">
        <is>
          <t>Includes retention and backup</t>
        </is>
      </c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Single region</t>
        </is>
      </c>
      <c r="D11" s="38" t="inlineStr">
        <is>
          <t>Single region</t>
        </is>
      </c>
      <c r="E11" s="38" t="inlineStr">
        <is>
          <t>2-3 regions</t>
        </is>
      </c>
      <c r="F11" s="38" t="inlineStr">
        <is>
          <t>Global multi-region</t>
        </is>
      </c>
      <c r="G11" s="38" t="inlineStr">
        <is>
          <t>Geographic distribution</t>
        </is>
      </c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Standard (99.5%)</t>
        </is>
      </c>
      <c r="D12" s="41" t="inlineStr">
        <is>
          <t>Standard (99.5%)</t>
        </is>
      </c>
      <c r="E12" s="41" t="inlineStr">
        <is>
          <t>High availability (99.9%)</t>
        </is>
      </c>
      <c r="F12" s="41" t="inlineStr">
        <is>
          <t>Mission critical (99.95%+)</t>
        </is>
      </c>
      <c r="G12" s="41" t="inlineStr">
        <is>
          <t>SLA and uptime requirements</t>
        </is>
      </c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Basic single-tier</t>
        </is>
      </c>
      <c r="D13" s="38" t="inlineStr">
        <is>
          <t>Basic single-tier</t>
        </is>
      </c>
      <c r="E13" s="38" t="inlineStr">
        <is>
          <t>Multi-tier standard</t>
        </is>
      </c>
      <c r="F13" s="38" t="inlineStr">
        <is>
          <t>Complex distributed architecture</t>
        </is>
      </c>
      <c r="G13" s="38" t="inlineStr">
        <is>
          <t>Architecture complexity level</t>
        </is>
      </c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Basic authentication and encryption</t>
        </is>
      </c>
      <c r="D14" s="41" t="inlineStr">
        <is>
          <t>Basic authentication and encryption</t>
        </is>
      </c>
      <c r="E14" s="41" t="inlineStr">
        <is>
          <t>Industry standard (SOC2 HIPAA)</t>
        </is>
      </c>
      <c r="F14" s="41" t="inlineStr">
        <is>
          <t>Advanced (FedRAMP multi-jurisdiction)</t>
        </is>
      </c>
      <c r="G14" s="41" t="inlineStr">
        <is>
          <t>Security controls and compliance</t>
        </is>
      </c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1-2 basic standards</t>
        </is>
      </c>
      <c r="D15" s="38" t="inlineStr">
        <is>
          <t>1-2 basic standards</t>
        </is>
      </c>
      <c r="E15" s="38" t="inlineStr">
        <is>
          <t>2-3 industry standards</t>
        </is>
      </c>
      <c r="F15" s="38" t="inlineStr">
        <is>
          <t>Multiple complex frameworks</t>
        </is>
      </c>
      <c r="G15" s="38" t="inlineStr">
        <is>
          <t>Regulatory compliance requirements</t>
        </is>
      </c>
    </row>
    <row r="16" ht="26" customHeight="1">
      <c r="A16" s="40" t="inlineStr">
        <is>
          <t>Performance</t>
        </is>
      </c>
      <c r="B16" s="41" t="inlineStr">
        <is>
          <t>Performance Requirements</t>
        </is>
      </c>
      <c r="C16" s="39" t="inlineStr">
        <is>
          <t>Standard performance</t>
        </is>
      </c>
      <c r="D16" s="41" t="inlineStr">
        <is>
          <t>Standard performance</t>
        </is>
      </c>
      <c r="E16" s="41" t="inlineStr">
        <is>
          <t>Enhanced performance</t>
        </is>
      </c>
      <c r="F16" s="41" t="inlineStr">
        <is>
          <t>High performance low latency</t>
        </is>
      </c>
      <c r="G16" s="41" t="inlineStr">
        <is>
          <t>Response time and throughput needs</t>
        </is>
      </c>
    </row>
    <row r="17" ht="26" customHeight="1">
      <c r="A17" s="37" t="inlineStr">
        <is>
          <t>Environment</t>
        </is>
      </c>
      <c r="B17" s="38" t="inlineStr">
        <is>
          <t>Deployment Environments</t>
        </is>
      </c>
      <c r="C17" s="39" t="inlineStr">
        <is>
          <t>2 environments (dev prod)</t>
        </is>
      </c>
      <c r="D17" s="38" t="inlineStr">
        <is>
          <t>2 environments (dev prod)</t>
        </is>
      </c>
      <c r="E17" s="38" t="inlineStr">
        <is>
          <t>3 environments (dev staging prod)</t>
        </is>
      </c>
      <c r="F17" s="38" t="inlineStr">
        <is>
          <t>4+ environments with automation</t>
        </is>
      </c>
      <c r="G17" s="38" t="inlineStr">
        <is>
          <t>Environment management complexity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(Requirements Gathering, Technical Assessment, Security Review, Integration Assessment)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(Solution Design, Security Architecture, Data Architecture, Implementation Planning)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(Infrastructure Setup, Core Development, Database Development, Integration Development, UI Development, Security Implementation)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(Unit Testing, Integration Testing, Performance Testing, Security Testing, UAT)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(Pre-Production Validation, Production Deployment, Data Migration, Go-Live Support)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End User Training,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Baseline, Project Retrospective)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1.5</v>
      </c>
      <c r="D10" s="41" t="inlineStr">
        <is>
          <t>Project Management overhead - 10%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1.5</v>
      </c>
      <c r="D11" s="38" t="inlineStr">
        <is>
          <t>Quarterback/Technical Leadership overhead - 10%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Requirements Gathering</t>
        </is>
      </c>
      <c r="C3" s="46" t="inlineStr">
        <is>
          <t>Conduct stakeholder interviews and discovery workshops</t>
        </is>
      </c>
      <c r="D3" s="46" t="inlineStr">
        <is>
          <t>EO Engineer</t>
        </is>
      </c>
      <c r="E3" s="47" t="n">
        <v>40</v>
      </c>
      <c r="F3" s="48">
        <f>'Estimate Settings'!$C$3</f>
        <v/>
      </c>
      <c r="G3" s="49">
        <f>$E3*$F3</f>
        <v/>
      </c>
      <c r="H3" s="50" t="n">
        <v>150</v>
      </c>
      <c r="I3" s="49">
        <f>TEXT($G3*$H3,"$#,##0")</f>
        <v/>
      </c>
      <c r="J3" s="46" t="inlineStr"/>
      <c r="K3" s="46" t="inlineStr">
        <is>
          <t>Includes stakeholder interviews and requirements documentation deliverable</t>
        </is>
      </c>
    </row>
    <row r="4" ht="26" customHeight="1">
      <c r="A4" s="51" t="inlineStr">
        <is>
          <t>Discovery</t>
        </is>
      </c>
      <c r="B4" s="52" t="inlineStr">
        <is>
          <t>Technical Assessment</t>
        </is>
      </c>
      <c r="C4" s="52" t="inlineStr">
        <is>
          <t>Evaluate current infrastructure and technical environment</t>
        </is>
      </c>
      <c r="D4" s="52" t="inlineStr">
        <is>
          <t>EO Engineer</t>
        </is>
      </c>
      <c r="E4" s="53" t="n">
        <v>32</v>
      </c>
      <c r="F4" s="54">
        <f>'Estimate Settings'!$C$3</f>
        <v/>
      </c>
      <c r="G4" s="55">
        <f>$E4*$F4</f>
        <v/>
      </c>
      <c r="H4" s="56" t="n">
        <v>175</v>
      </c>
      <c r="I4" s="55">
        <f>TEXT($G4*$H4,"$#,##0")</f>
        <v/>
      </c>
      <c r="J4" s="52" t="inlineStr"/>
      <c r="K4" s="52" t="inlineStr">
        <is>
          <t>Customer must provide access to current infrastructure for evaluation</t>
        </is>
      </c>
    </row>
    <row r="5" ht="26" customHeight="1">
      <c r="A5" s="45" t="inlineStr">
        <is>
          <t>Discovery</t>
        </is>
      </c>
      <c r="B5" s="46" t="inlineStr">
        <is>
          <t>Security &amp; Compliance Review</t>
        </is>
      </c>
      <c r="C5" s="46" t="inlineStr">
        <is>
          <t>Assess security requirements and compliance standards</t>
        </is>
      </c>
      <c r="D5" s="46" t="inlineStr">
        <is>
          <t>EO Engineer</t>
        </is>
      </c>
      <c r="E5" s="47" t="n">
        <v>16</v>
      </c>
      <c r="F5" s="48">
        <f>'Estimate Settings'!$C$3</f>
        <v/>
      </c>
      <c r="G5" s="49">
        <f>$E5*$F5</f>
        <v/>
      </c>
      <c r="H5" s="50" t="n">
        <v>175</v>
      </c>
      <c r="I5" s="49">
        <f>TEXT($G5*$H5,"$#,##0")</f>
        <v/>
      </c>
      <c r="J5" s="46" t="inlineStr"/>
      <c r="K5" s="46" t="inlineStr">
        <is>
          <t>Identifies compliance gaps and remediation requirements</t>
        </is>
      </c>
    </row>
    <row r="6" ht="26" customHeight="1">
      <c r="A6" s="51" t="inlineStr">
        <is>
          <t>Discovery</t>
        </is>
      </c>
      <c r="B6" s="52" t="inlineStr">
        <is>
          <t>Integration Assessment</t>
        </is>
      </c>
      <c r="C6" s="52" t="inlineStr">
        <is>
          <t>Identify integration points and data flow requirements</t>
        </is>
      </c>
      <c r="D6" s="52" t="inlineStr">
        <is>
          <t>EO Engineer</t>
        </is>
      </c>
      <c r="E6" s="53" t="n">
        <v>24</v>
      </c>
      <c r="F6" s="54">
        <f>'Estimate Settings'!$C$3</f>
        <v/>
      </c>
      <c r="G6" s="55">
        <f>$E6*$F6</f>
        <v/>
      </c>
      <c r="H6" s="56" t="n">
        <v>160</v>
      </c>
      <c r="I6" s="55">
        <f>TEXT($G6*$H6,"$#,##0")</f>
        <v/>
      </c>
      <c r="J6" s="52" t="inlineStr"/>
      <c r="K6" s="52" t="inlineStr">
        <is>
          <t>Customer must provide API documentation and integration endpoints</t>
        </is>
      </c>
    </row>
    <row r="7" ht="26" customHeight="1">
      <c r="A7" s="45" t="inlineStr">
        <is>
          <t>Planning</t>
        </is>
      </c>
      <c r="B7" s="46" t="inlineStr">
        <is>
          <t>Security Architecture</t>
        </is>
      </c>
      <c r="C7" s="46" t="inlineStr">
        <is>
          <t>Design security controls and compliance framework</t>
        </is>
      </c>
      <c r="D7" s="46" t="inlineStr">
        <is>
          <t>EO Engineer</t>
        </is>
      </c>
      <c r="E7" s="47" t="n">
        <v>24</v>
      </c>
      <c r="F7" s="48">
        <f>'Estimate Settings'!$C$4</f>
        <v/>
      </c>
      <c r="G7" s="49">
        <f>$E7*$F7</f>
        <v/>
      </c>
      <c r="H7" s="50" t="n">
        <v>175</v>
      </c>
      <c r="I7" s="49">
        <f>TEXT($G7*$H7,"$#,##0")</f>
        <v/>
      </c>
      <c r="J7" s="46" t="inlineStr">
        <is>
          <t>Security &amp; Compliance Review</t>
        </is>
      </c>
      <c r="K7" s="46" t="inlineStr">
        <is>
          <t>Deliverable: Security design document with controls and compliance mapping</t>
        </is>
      </c>
    </row>
    <row r="8" ht="26" customHeight="1">
      <c r="A8" s="51" t="inlineStr">
        <is>
          <t>Planning</t>
        </is>
      </c>
      <c r="B8" s="52" t="inlineStr">
        <is>
          <t>Data Architecture</t>
        </is>
      </c>
      <c r="C8" s="52" t="inlineStr">
        <is>
          <t>Design data models schemas and data flow</t>
        </is>
      </c>
      <c r="D8" s="52" t="inlineStr">
        <is>
          <t>EO Engineer</t>
        </is>
      </c>
      <c r="E8" s="53" t="n">
        <v>32</v>
      </c>
      <c r="F8" s="54">
        <f>'Estimate Settings'!$C$4</f>
        <v/>
      </c>
      <c r="G8" s="55">
        <f>$E8*$F8</f>
        <v/>
      </c>
      <c r="H8" s="56" t="n">
        <v>165</v>
      </c>
      <c r="I8" s="55">
        <f>TEXT($G8*$H8,"$#,##0")</f>
        <v/>
      </c>
      <c r="J8" s="52" t="inlineStr">
        <is>
          <t>Integration Assessment</t>
        </is>
      </c>
      <c r="K8" s="52" t="inlineStr">
        <is>
          <t>Deliverable: Data model diagrams and migration strategy</t>
        </is>
      </c>
    </row>
    <row r="9" ht="26" customHeight="1">
      <c r="A9" s="45" t="inlineStr">
        <is>
          <t>Development</t>
        </is>
      </c>
      <c r="B9" s="46" t="inlineStr">
        <is>
          <t>Infrastructure Setup</t>
        </is>
      </c>
      <c r="C9" s="46" t="inlineStr">
        <is>
          <t>Provision and configure infrastructure environment</t>
        </is>
      </c>
      <c r="D9" s="46" t="inlineStr">
        <is>
          <t>EO Engineer</t>
        </is>
      </c>
      <c r="E9" s="47" t="n">
        <v>40</v>
      </c>
      <c r="F9" s="48">
        <f>'Estimate Settings'!$C$5</f>
        <v/>
      </c>
      <c r="G9" s="49">
        <f>$E9*$F9</f>
        <v/>
      </c>
      <c r="H9" s="50" t="n">
        <v>160</v>
      </c>
      <c r="I9" s="49">
        <f>TEXT($G9*$H9,"$#,##0")</f>
        <v/>
      </c>
      <c r="J9" s="46" t="inlineStr"/>
      <c r="K9" s="46" t="inlineStr">
        <is>
          <t>Includes environment provisioning and configuration baseline</t>
        </is>
      </c>
    </row>
    <row r="10" ht="26" customHeight="1">
      <c r="A10" s="51" t="inlineStr">
        <is>
          <t>Development</t>
        </is>
      </c>
      <c r="B10" s="52" t="inlineStr">
        <is>
          <t>Core Application Development</t>
        </is>
      </c>
      <c r="C10" s="52" t="inlineStr">
        <is>
          <t>Build primary application functionality and services</t>
        </is>
      </c>
      <c r="D10" s="52" t="inlineStr">
        <is>
          <t>EO Engineer</t>
        </is>
      </c>
      <c r="E10" s="53" t="n">
        <v>120</v>
      </c>
      <c r="F10" s="54">
        <f>'Estimate Settings'!$C$5</f>
        <v/>
      </c>
      <c r="G10" s="55">
        <f>$E10*$F10</f>
        <v/>
      </c>
      <c r="H10" s="56" t="n">
        <v>150</v>
      </c>
      <c r="I10" s="55">
        <f>TEXT($G10*$H10,"$#,##0")</f>
        <v/>
      </c>
      <c r="J10" s="52" t="inlineStr">
        <is>
          <t>Infrastructure Setup</t>
        </is>
      </c>
      <c r="K10" s="52" t="inlineStr">
        <is>
          <t>Largest effort item - varies significantly based on feature complexity</t>
        </is>
      </c>
    </row>
    <row r="11" ht="26" customHeight="1">
      <c r="A11" s="45" t="inlineStr">
        <is>
          <t>Development</t>
        </is>
      </c>
      <c r="B11" s="46" t="inlineStr">
        <is>
          <t>Database Development</t>
        </is>
      </c>
      <c r="C11" s="46" t="inlineStr">
        <is>
          <t>Implement database schema stored procedures and queries</t>
        </is>
      </c>
      <c r="D11" s="46" t="inlineStr">
        <is>
          <t>EO Engineer</t>
        </is>
      </c>
      <c r="E11" s="47" t="n">
        <v>40</v>
      </c>
      <c r="F11" s="48">
        <f>'Estimate Settings'!$C$5</f>
        <v/>
      </c>
      <c r="G11" s="49">
        <f>$E11*$F11</f>
        <v/>
      </c>
      <c r="H11" s="50" t="n">
        <v>155</v>
      </c>
      <c r="I11" s="49">
        <f>TEXT($G11*$H11,"$#,##0")</f>
        <v/>
      </c>
      <c r="J11" s="46" t="inlineStr">
        <is>
          <t>Data Architecture</t>
        </is>
      </c>
      <c r="K11" s="46" t="inlineStr">
        <is>
          <t>Includes schema design stored procedures and initial data seeding</t>
        </is>
      </c>
    </row>
    <row r="12" ht="26" customHeight="1">
      <c r="A12" s="51" t="inlineStr">
        <is>
          <t>Development</t>
        </is>
      </c>
      <c r="B12" s="52" t="inlineStr">
        <is>
          <t>Integration Development</t>
        </is>
      </c>
      <c r="C12" s="52" t="inlineStr">
        <is>
          <t>Build API integrations data connectors and workflows</t>
        </is>
      </c>
      <c r="D12" s="52" t="inlineStr">
        <is>
          <t>EO Engineer</t>
        </is>
      </c>
      <c r="E12" s="53" t="n">
        <v>64</v>
      </c>
      <c r="F12" s="54">
        <f>'Estimate Settings'!$C$5</f>
        <v/>
      </c>
      <c r="G12" s="55">
        <f>$E12*$F12</f>
        <v/>
      </c>
      <c r="H12" s="56" t="n">
        <v>155</v>
      </c>
      <c r="I12" s="55">
        <f>TEXT($G12*$H12,"$#,##0")</f>
        <v/>
      </c>
      <c r="J12" s="52" t="inlineStr">
        <is>
          <t>Core Application Development</t>
        </is>
      </c>
      <c r="K12" s="52" t="inlineStr">
        <is>
          <t>Customer integration endpoints must be available for testing</t>
        </is>
      </c>
    </row>
    <row r="13" ht="26" customHeight="1">
      <c r="A13" s="45" t="inlineStr">
        <is>
          <t>Development</t>
        </is>
      </c>
      <c r="B13" s="46" t="inlineStr">
        <is>
          <t>User Interface Development</t>
        </is>
      </c>
      <c r="C13" s="46" t="inlineStr">
        <is>
          <t>Create user interface and user experience components</t>
        </is>
      </c>
      <c r="D13" s="46" t="inlineStr">
        <is>
          <t>EO Engineer</t>
        </is>
      </c>
      <c r="E13" s="47" t="n">
        <v>48</v>
      </c>
      <c r="F13" s="48">
        <f>'Estimate Settings'!$C$5</f>
        <v/>
      </c>
      <c r="G13" s="49">
        <f>$E13*$F13</f>
        <v/>
      </c>
      <c r="H13" s="50" t="n">
        <v>140</v>
      </c>
      <c r="I13" s="49">
        <f>TEXT($G13*$H13,"$#,##0")</f>
        <v/>
      </c>
      <c r="J13" s="46" t="inlineStr">
        <is>
          <t>Core Application Development</t>
        </is>
      </c>
      <c r="K13" s="46" t="inlineStr">
        <is>
          <t>Includes responsive design for desktop and mobile devices</t>
        </is>
      </c>
    </row>
    <row r="14" ht="26" customHeight="1">
      <c r="A14" s="51" t="inlineStr">
        <is>
          <t>Development</t>
        </is>
      </c>
      <c r="B14" s="52" t="inlineStr">
        <is>
          <t>Security Implementation</t>
        </is>
      </c>
      <c r="C14" s="52" t="inlineStr">
        <is>
          <t>Implement authentication authorization and security controls</t>
        </is>
      </c>
      <c r="D14" s="52" t="inlineStr">
        <is>
          <t>EO Engineer</t>
        </is>
      </c>
      <c r="E14" s="53" t="n">
        <v>32</v>
      </c>
      <c r="F14" s="54">
        <f>'Estimate Settings'!$C$5</f>
        <v/>
      </c>
      <c r="G14" s="55">
        <f>$E14*$F14</f>
        <v/>
      </c>
      <c r="H14" s="56" t="n">
        <v>165</v>
      </c>
      <c r="I14" s="55">
        <f>TEXT($G14*$H14,"$#,##0")</f>
        <v/>
      </c>
      <c r="J14" s="52" t="inlineStr">
        <is>
          <t>Security Architecture</t>
        </is>
      </c>
      <c r="K14" s="52" t="inlineStr">
        <is>
          <t>Deliverable: Functional authentication authorization and audit logging</t>
        </is>
      </c>
    </row>
    <row r="15" ht="26" customHeight="1">
      <c r="A15" s="45" t="inlineStr">
        <is>
          <t>Testing</t>
        </is>
      </c>
      <c r="B15" s="46" t="inlineStr">
        <is>
          <t>Unit Testing</t>
        </is>
      </c>
      <c r="C15" s="46" t="inlineStr">
        <is>
          <t>Develop and execute unit tests for all components</t>
        </is>
      </c>
      <c r="D15" s="46" t="inlineStr">
        <is>
          <t>EO Engineer</t>
        </is>
      </c>
      <c r="E15" s="47" t="n">
        <v>32</v>
      </c>
      <c r="F15" s="48">
        <f>'Estimate Settings'!$C$6</f>
        <v/>
      </c>
      <c r="G15" s="49">
        <f>$E15*$F15</f>
        <v/>
      </c>
      <c r="H15" s="50" t="n">
        <v>140</v>
      </c>
      <c r="I15" s="49">
        <f>TEXT($G15*$H15,"$#,##0")</f>
        <v/>
      </c>
      <c r="J15" s="46" t="inlineStr">
        <is>
          <t>Core Application Development</t>
        </is>
      </c>
      <c r="K15" s="46" t="inlineStr">
        <is>
          <t>Automated test suite for regression testing</t>
        </is>
      </c>
    </row>
    <row r="16" ht="26" customHeight="1">
      <c r="A16" s="51" t="inlineStr">
        <is>
          <t>Testing</t>
        </is>
      </c>
      <c r="B16" s="52" t="inlineStr">
        <is>
          <t>Integration Testing</t>
        </is>
      </c>
      <c r="C16" s="52" t="inlineStr">
        <is>
          <t>Test system integrations data flows and API endpoints</t>
        </is>
      </c>
      <c r="D16" s="52" t="inlineStr">
        <is>
          <t>EO Engineer</t>
        </is>
      </c>
      <c r="E16" s="53" t="n">
        <v>40</v>
      </c>
      <c r="F16" s="54">
        <f>'Estimate Settings'!$C$6</f>
        <v/>
      </c>
      <c r="G16" s="55">
        <f>$E16*$F16</f>
        <v/>
      </c>
      <c r="H16" s="56" t="n">
        <v>140</v>
      </c>
      <c r="I16" s="55">
        <f>TEXT($G16*$H16,"$#,##0")</f>
        <v/>
      </c>
      <c r="J16" s="52" t="inlineStr">
        <is>
          <t>Integration Development</t>
        </is>
      </c>
      <c r="K16" s="52" t="inlineStr">
        <is>
          <t>Requires access to customer test environments and systems</t>
        </is>
      </c>
    </row>
    <row r="17" ht="26" customHeight="1">
      <c r="A17" s="45" t="inlineStr">
        <is>
          <t>Testing</t>
        </is>
      </c>
      <c r="B17" s="46" t="inlineStr">
        <is>
          <t>Performance Testing</t>
        </is>
      </c>
      <c r="C17" s="46" t="inlineStr">
        <is>
          <t>Conduct load performance and scalability testing</t>
        </is>
      </c>
      <c r="D17" s="46" t="inlineStr">
        <is>
          <t>EO Engineer</t>
        </is>
      </c>
      <c r="E17" s="47" t="n">
        <v>24</v>
      </c>
      <c r="F17" s="48">
        <f>'Estimate Settings'!$C$6</f>
        <v/>
      </c>
      <c r="G17" s="49">
        <f>$E17*$F17</f>
        <v/>
      </c>
      <c r="H17" s="50" t="n">
        <v>150</v>
      </c>
      <c r="I17" s="49">
        <f>TEXT($G17*$H17,"$#,##0")</f>
        <v/>
      </c>
      <c r="J17" s="46" t="inlineStr">
        <is>
          <t>Integration Testing</t>
        </is>
      </c>
      <c r="K17" s="46" t="inlineStr">
        <is>
          <t>Load testing with expected concurrent user volumes</t>
        </is>
      </c>
    </row>
    <row r="18" ht="26" customHeight="1">
      <c r="A18" s="51" t="inlineStr">
        <is>
          <t>Testing</t>
        </is>
      </c>
      <c r="B18" s="52" t="inlineStr">
        <is>
          <t>Security Testing</t>
        </is>
      </c>
      <c r="C18" s="52" t="inlineStr">
        <is>
          <t>Perform security assessments and vulnerability testing</t>
        </is>
      </c>
      <c r="D18" s="52" t="inlineStr">
        <is>
          <t>EO Engineer</t>
        </is>
      </c>
      <c r="E18" s="53" t="n">
        <v>16</v>
      </c>
      <c r="F18" s="54">
        <f>'Estimate Settings'!$C$6</f>
        <v/>
      </c>
      <c r="G18" s="55">
        <f>$E18*$F18</f>
        <v/>
      </c>
      <c r="H18" s="56" t="n">
        <v>175</v>
      </c>
      <c r="I18" s="55">
        <f>TEXT($G18*$H18,"$#,##0")</f>
        <v/>
      </c>
      <c r="J18" s="52" t="inlineStr">
        <is>
          <t>Security Implementation</t>
        </is>
      </c>
      <c r="K18" s="52" t="inlineStr">
        <is>
          <t>Third-party security assessment may require additional budget</t>
        </is>
      </c>
    </row>
    <row r="19" ht="26" customHeight="1">
      <c r="A19" s="45" t="inlineStr">
        <is>
          <t>Testing</t>
        </is>
      </c>
      <c r="B19" s="46" t="inlineStr">
        <is>
          <t>User Acceptance Testing</t>
        </is>
      </c>
      <c r="C19" s="46" t="inlineStr">
        <is>
          <t>Coordinate and support UAT with business users</t>
        </is>
      </c>
      <c r="D19" s="46" t="inlineStr">
        <is>
          <t>EO Engineer</t>
        </is>
      </c>
      <c r="E19" s="47" t="n">
        <v>32</v>
      </c>
      <c r="F19" s="48">
        <f>'Estimate Settings'!$C$6</f>
        <v/>
      </c>
      <c r="G19" s="49">
        <f>$E19*$F19</f>
        <v/>
      </c>
      <c r="H19" s="50" t="n">
        <v>150</v>
      </c>
      <c r="I19" s="49">
        <f>TEXT($G19*$H19,"$#,##0")</f>
        <v/>
      </c>
      <c r="J19" s="46" t="inlineStr">
        <is>
          <t>Performance Testing</t>
        </is>
      </c>
      <c r="K19" s="46" t="inlineStr">
        <is>
          <t>Customer business users must be available for UAT period</t>
        </is>
      </c>
    </row>
    <row r="20" ht="26" customHeight="1">
      <c r="A20" s="51" t="inlineStr">
        <is>
          <t>Deployment</t>
        </is>
      </c>
      <c r="B20" s="52" t="inlineStr">
        <is>
          <t>Pre-Production Validation</t>
        </is>
      </c>
      <c r="C20" s="52" t="inlineStr">
        <is>
          <t>Validate solution in pre-production environment</t>
        </is>
      </c>
      <c r="D20" s="52" t="inlineStr">
        <is>
          <t>EO Engineer</t>
        </is>
      </c>
      <c r="E20" s="53" t="n">
        <v>16</v>
      </c>
      <c r="F20" s="54">
        <f>'Estimate Settings'!$C$7</f>
        <v/>
      </c>
      <c r="G20" s="55">
        <f>$E20*$F20</f>
        <v/>
      </c>
      <c r="H20" s="56" t="n">
        <v>150</v>
      </c>
      <c r="I20" s="55">
        <f>TEXT($G20*$H20,"$#,##0")</f>
        <v/>
      </c>
      <c r="J20" s="52" t="inlineStr">
        <is>
          <t>User Acceptance Testing</t>
        </is>
      </c>
      <c r="K20" s="52" t="inlineStr">
        <is>
          <t>Final checks before production deployment</t>
        </is>
      </c>
    </row>
    <row r="21" ht="26" customHeight="1">
      <c r="A21" s="45" t="inlineStr">
        <is>
          <t>Deployment</t>
        </is>
      </c>
      <c r="B21" s="46" t="inlineStr">
        <is>
          <t>Production Deployment</t>
        </is>
      </c>
      <c r="C21" s="46" t="inlineStr">
        <is>
          <t>Deploy solution to production environment</t>
        </is>
      </c>
      <c r="D21" s="46" t="inlineStr">
        <is>
          <t>EO Engineer</t>
        </is>
      </c>
      <c r="E21" s="47" t="n">
        <v>24</v>
      </c>
      <c r="F21" s="48">
        <f>'Estimate Settings'!$C$7</f>
        <v/>
      </c>
      <c r="G21" s="49">
        <f>$E21*$F21</f>
        <v/>
      </c>
      <c r="H21" s="50" t="n">
        <v>160</v>
      </c>
      <c r="I21" s="49">
        <f>TEXT($G21*$H21,"$#,##0")</f>
        <v/>
      </c>
      <c r="J21" s="46" t="inlineStr">
        <is>
          <t>Pre-Production Validation</t>
        </is>
      </c>
      <c r="K21" s="46" t="inlineStr">
        <is>
          <t>Includes deployment runbook and rollback procedures</t>
        </is>
      </c>
    </row>
    <row r="22" ht="26" customHeight="1">
      <c r="A22" s="51" t="inlineStr">
        <is>
          <t>Deployment</t>
        </is>
      </c>
      <c r="B22" s="52" t="inlineStr">
        <is>
          <t>Data Migration</t>
        </is>
      </c>
      <c r="C22" s="52" t="inlineStr">
        <is>
          <t>Migrate existing data to new system</t>
        </is>
      </c>
      <c r="D22" s="52" t="inlineStr">
        <is>
          <t>EO Engineer</t>
        </is>
      </c>
      <c r="E22" s="53" t="n">
        <v>32</v>
      </c>
      <c r="F22" s="54">
        <f>'Estimate Settings'!$C$7</f>
        <v/>
      </c>
      <c r="G22" s="55">
        <f>$E22*$F22</f>
        <v/>
      </c>
      <c r="H22" s="56" t="n">
        <v>155</v>
      </c>
      <c r="I22" s="55">
        <f>TEXT($G22*$H22,"$#,##0")</f>
        <v/>
      </c>
      <c r="J22" s="52" t="inlineStr">
        <is>
          <t>Production Deployment</t>
        </is>
      </c>
      <c r="K22" s="52" t="inlineStr">
        <is>
          <t>Customer responsible for data quality and validation</t>
        </is>
      </c>
    </row>
    <row r="23" ht="26" customHeight="1">
      <c r="A23" s="45" t="inlineStr">
        <is>
          <t>Deployment</t>
        </is>
      </c>
      <c r="B23" s="46" t="inlineStr">
        <is>
          <t>Go-Live Support</t>
        </is>
      </c>
      <c r="C23" s="46" t="inlineStr">
        <is>
          <t>Provide support during initial production rollout</t>
        </is>
      </c>
      <c r="D23" s="46" t="inlineStr">
        <is>
          <t>EO Engineer</t>
        </is>
      </c>
      <c r="E23" s="47" t="n">
        <v>40</v>
      </c>
      <c r="F23" s="48">
        <f>'Estimate Settings'!$C$7</f>
        <v/>
      </c>
      <c r="G23" s="49">
        <f>$E23*$F23</f>
        <v/>
      </c>
      <c r="H23" s="50" t="n">
        <v>130</v>
      </c>
      <c r="I23" s="49">
        <f>TEXT($G23*$H23,"$#,##0")</f>
        <v/>
      </c>
      <c r="J23" s="46" t="inlineStr">
        <is>
          <t>Data Migration</t>
        </is>
      </c>
      <c r="K23" s="46" t="inlineStr">
        <is>
          <t>Includes daily monitoring and rapid issue response during hypercare</t>
        </is>
      </c>
    </row>
    <row r="24" ht="26" customHeight="1">
      <c r="A24" s="51" t="inlineStr">
        <is>
          <t>Training</t>
        </is>
      </c>
      <c r="B24" s="52" t="inlineStr">
        <is>
          <t>Administrator Training</t>
        </is>
      </c>
      <c r="C24" s="52" t="inlineStr">
        <is>
          <t>Train system administrators and technical users</t>
        </is>
      </c>
      <c r="D24" s="52" t="inlineStr">
        <is>
          <t>EO Engineer</t>
        </is>
      </c>
      <c r="E24" s="53" t="n">
        <v>16</v>
      </c>
      <c r="F24" s="54">
        <f>'Estimate Settings'!$C$8</f>
        <v/>
      </c>
      <c r="G24" s="55">
        <f>$E24*$F24</f>
        <v/>
      </c>
      <c r="H24" s="56" t="n">
        <v>140</v>
      </c>
      <c r="I24" s="55">
        <f>TEXT($G24*$H24,"$#,##0")</f>
        <v/>
      </c>
      <c r="J24" s="52" t="inlineStr">
        <is>
          <t>Production Deployment</t>
        </is>
      </c>
      <c r="K24" s="52" t="inlineStr">
        <is>
          <t>Includes system administration and troubleshooting procedures</t>
        </is>
      </c>
    </row>
    <row r="25" ht="26" customHeight="1">
      <c r="A25" s="45" t="inlineStr">
        <is>
          <t>Training</t>
        </is>
      </c>
      <c r="B25" s="46" t="inlineStr">
        <is>
          <t>End User Training</t>
        </is>
      </c>
      <c r="C25" s="46" t="inlineStr">
        <is>
          <t>Train business users on system functionality</t>
        </is>
      </c>
      <c r="D25" s="46" t="inlineStr">
        <is>
          <t>EO Engineer</t>
        </is>
      </c>
      <c r="E25" s="47" t="n">
        <v>24</v>
      </c>
      <c r="F25" s="48">
        <f>'Estimate Settings'!$C$8</f>
        <v/>
      </c>
      <c r="G25" s="49">
        <f>$E25*$F25</f>
        <v/>
      </c>
      <c r="H25" s="50" t="n">
        <v>130</v>
      </c>
      <c r="I25" s="49">
        <f>TEXT($G25*$H25,"$#,##0")</f>
        <v/>
      </c>
      <c r="J25" s="46" t="inlineStr">
        <is>
          <t>Administrator Training</t>
        </is>
      </c>
      <c r="K25" s="46" t="inlineStr">
        <is>
          <t>Role-based training sessions - customer provides training space</t>
        </is>
      </c>
    </row>
    <row r="26" ht="26" customHeight="1">
      <c r="A26" s="51" t="inlineStr">
        <is>
          <t>Training</t>
        </is>
      </c>
      <c r="B26" s="52" t="inlineStr">
        <is>
          <t>Documentation</t>
        </is>
      </c>
      <c r="C26" s="52" t="inlineStr">
        <is>
          <t>Create user manuals technical documentation and runbooks</t>
        </is>
      </c>
      <c r="D26" s="52" t="inlineStr">
        <is>
          <t>EO Engineer</t>
        </is>
      </c>
      <c r="E26" s="53" t="n">
        <v>32</v>
      </c>
      <c r="F26" s="54">
        <f>'Estimate Settings'!$C$8</f>
        <v/>
      </c>
      <c r="G26" s="55">
        <f>$E26*$F26</f>
        <v/>
      </c>
      <c r="H26" s="56" t="n">
        <v>120</v>
      </c>
      <c r="I26" s="55">
        <f>TEXT($G26*$H26,"$#,##0")</f>
        <v/>
      </c>
      <c r="J26" s="52" t="inlineStr">
        <is>
          <t>End User Training</t>
        </is>
      </c>
      <c r="K26" s="52" t="inlineStr">
        <is>
          <t>Deliverable: User guides administrator guides and runbooks</t>
        </is>
      </c>
    </row>
    <row r="27" ht="26" customHeight="1">
      <c r="A27" s="45" t="inlineStr">
        <is>
          <t>Closeout</t>
        </is>
      </c>
      <c r="B27" s="46" t="inlineStr">
        <is>
          <t>Knowledge Transfer</t>
        </is>
      </c>
      <c r="C27" s="46" t="inlineStr">
        <is>
          <t>Transfer ownership to operations and support teams</t>
        </is>
      </c>
      <c r="D27" s="46" t="inlineStr">
        <is>
          <t>EO Engineer</t>
        </is>
      </c>
      <c r="E27" s="47" t="n">
        <v>16</v>
      </c>
      <c r="F27" s="48">
        <f>'Estimate Settings'!$C$9</f>
        <v/>
      </c>
      <c r="G27" s="49">
        <f>$E27*$F27</f>
        <v/>
      </c>
      <c r="H27" s="50" t="n">
        <v>140</v>
      </c>
      <c r="I27" s="49">
        <f>TEXT($G27*$H27,"$#,##0")</f>
        <v/>
      </c>
      <c r="J27" s="46" t="inlineStr">
        <is>
          <t>Documentation</t>
        </is>
      </c>
      <c r="K27" s="46" t="inlineStr">
        <is>
          <t>Comprehensive handover to customer operations team</t>
        </is>
      </c>
    </row>
    <row r="28" ht="26" customHeight="1">
      <c r="A28" s="51" t="inlineStr">
        <is>
          <t>Closeout</t>
        </is>
      </c>
      <c r="B28" s="52" t="inlineStr">
        <is>
          <t>Performance Baseline</t>
        </is>
      </c>
      <c r="C28" s="52" t="inlineStr">
        <is>
          <t>Establish performance metrics and monitoring baselines</t>
        </is>
      </c>
      <c r="D28" s="52" t="inlineStr">
        <is>
          <t>EO Engineer</t>
        </is>
      </c>
      <c r="E28" s="53" t="n">
        <v>8</v>
      </c>
      <c r="F28" s="54">
        <f>'Estimate Settings'!$C$9</f>
        <v/>
      </c>
      <c r="G28" s="55">
        <f>$E28*$F28</f>
        <v/>
      </c>
      <c r="H28" s="56" t="n">
        <v>130</v>
      </c>
      <c r="I28" s="55">
        <f>TEXT($G28*$H28,"$#,##0")</f>
        <v/>
      </c>
      <c r="J28" s="52" t="inlineStr">
        <is>
          <t>Knowledge Transfer</t>
        </is>
      </c>
      <c r="K28" s="52" t="inlineStr">
        <is>
          <t>Establishes SLA metrics and monitoring thresholds</t>
        </is>
      </c>
    </row>
    <row r="29" ht="26" customHeight="1">
      <c r="A29" s="45" t="inlineStr">
        <is>
          <t>Management</t>
        </is>
      </c>
      <c r="B29" s="46" t="inlineStr">
        <is>
          <t>Technical Leadership</t>
        </is>
      </c>
      <c r="C29" s="46" t="inlineStr">
        <is>
          <t>Quarterback technical oversight and architecture review</t>
        </is>
      </c>
      <c r="D29" s="46" t="inlineStr">
        <is>
          <t>EO Quarterback</t>
        </is>
      </c>
      <c r="E29" s="49">
        <f>ROUND(SUM($G$3:$G$28)*0.10,0)</f>
        <v/>
      </c>
      <c r="F29" s="48">
        <f>'Estimate Settings'!$C$11</f>
        <v/>
      </c>
      <c r="G29" s="49">
        <f>$E29*$F29</f>
        <v/>
      </c>
      <c r="H29" s="50" t="n">
        <v>200</v>
      </c>
      <c r="I29" s="49">
        <f>TEXT($G29*$H29,"$#,##0")</f>
        <v/>
      </c>
      <c r="J29" s="46" t="inlineStr"/>
      <c r="K29" s="46" t="inlineStr">
        <is>
          <t>Solution architecture review and technical escalation support</t>
        </is>
      </c>
    </row>
    <row r="30" ht="26" customHeight="1">
      <c r="A30" s="51" t="inlineStr">
        <is>
          <t>Management</t>
        </is>
      </c>
      <c r="B30" s="52" t="inlineStr">
        <is>
          <t>Project Management</t>
        </is>
      </c>
      <c r="C30" s="52" t="inlineStr">
        <is>
          <t>Project coordination planning and management activities</t>
        </is>
      </c>
      <c r="D30" s="52" t="inlineStr">
        <is>
          <t>EO Project Manager</t>
        </is>
      </c>
      <c r="E30" s="55">
        <f>ROUND(SUM($G$3:$G$28)*0.10,0)</f>
        <v/>
      </c>
      <c r="F30" s="54">
        <f>'Estimate Settings'!$C$10</f>
        <v/>
      </c>
      <c r="G30" s="55">
        <f>$E30*$F30</f>
        <v/>
      </c>
      <c r="H30" s="56" t="n">
        <v>150</v>
      </c>
      <c r="I30" s="55">
        <f>TEXT($G30*$H30,"$#,##0")</f>
        <v/>
      </c>
      <c r="J30" s="52" t="inlineStr"/>
      <c r="K30" s="52" t="inlineStr">
        <is>
          <t>Includes weekly status reporting and risk management</t>
        </is>
      </c>
    </row>
    <row r="31" ht="26" customHeight="1">
      <c r="A31" s="57" t="inlineStr"/>
      <c r="B31" s="57" t="inlineStr"/>
      <c r="C31" s="57" t="inlineStr"/>
      <c r="D31" s="57" t="inlineStr"/>
      <c r="E31" s="57" t="inlineStr"/>
      <c r="F31" s="58" t="inlineStr">
        <is>
          <t>TOTAL HOURS</t>
        </is>
      </c>
      <c r="G31" s="58">
        <f>SUM($G$3:$G$30)</f>
        <v/>
      </c>
      <c r="H31" s="58" t="inlineStr">
        <is>
          <t>TOTAL COST</t>
        </is>
      </c>
      <c r="I31" s="58">
        <f>TEXT(SUMPRODUCT($G$3:$G$30,$H$3:$H$30),"$#,##0")</f>
        <v/>
      </c>
      <c r="J31" s="57" t="inlineStr"/>
      <c r="K31" s="57" t="inlineStr">
        <is>
          <t>EO Sales Engineer: Update phase-based multipliers in Estimate Settings sheet based on customer scope</t>
        </is>
      </c>
    </row>
  </sheetData>
  <autoFilter ref="A2:K31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Partner Program Credit</t>
        </is>
      </c>
      <c r="B3" s="59" t="n">
        <v>-5000</v>
      </c>
      <c r="C3" s="38" t="inlineStr">
        <is>
          <t>Partner program services credit applied to professional services</t>
        </is>
      </c>
    </row>
    <row r="4" ht="26" customHeight="1">
      <c r="A4" s="40" t="inlineStr">
        <is>
          <t>Volume Discount</t>
        </is>
      </c>
      <c r="B4" s="60" t="n">
        <v>0</v>
      </c>
      <c r="C4" s="41" t="inlineStr">
        <is>
          <t>No volume discount applicable</t>
        </is>
      </c>
    </row>
    <row r="5" ht="26" customHeight="1">
      <c r="A5" s="61" t="inlineStr">
        <is>
          <t>TOTAL</t>
        </is>
      </c>
      <c r="B5" s="62">
        <f>SUMPRODUCT($G$3:$G$30,$H$3:$H$30)-5000</f>
        <v/>
      </c>
      <c r="C5" s="61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2025-11-25T17:30:28Z</dcterms:modified>
  <cp:lastModifiedBy>Kishan Siram</cp:lastModifiedBy>
</cp:coreProperties>
</file>