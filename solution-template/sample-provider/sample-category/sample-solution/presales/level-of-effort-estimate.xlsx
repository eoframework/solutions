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Settings'!$A$2:$D$12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0" fontId="17" fillId="4" borderId="5" applyAlignment="1" pivotButton="0" quotePrefix="0" xfId="0">
      <alignment horizontal="center" vertical="center" wrapText="1"/>
    </xf>
    <xf numFmtId="0" fontId="17" fillId="4" borderId="5" applyAlignment="1" pivotButton="0" quotePrefix="0" xfId="0">
      <alignment horizontal="right" vertical="center" wrapText="1"/>
    </xf>
    <xf numFmtId="166" fontId="17" fillId="4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left" vertical="center" wrapText="1" indent="1"/>
    </xf>
    <xf numFmtId="0" fontId="17" fillId="11" borderId="5" applyAlignment="1" pivotButton="0" quotePrefix="0" xfId="0">
      <alignment horizontal="left" vertical="center" wrapText="1" indent="1"/>
    </xf>
    <xf numFmtId="3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center" vertical="center" wrapText="1"/>
    </xf>
    <xf numFmtId="0" fontId="17" fillId="11" borderId="5" applyAlignment="1" pivotButton="0" quotePrefix="0" xfId="0">
      <alignment horizontal="right" vertical="center" wrapText="1"/>
    </xf>
    <xf numFmtId="166" fontId="17" fillId="11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 wrapText="1"/>
    </xf>
    <xf numFmtId="0" fontId="19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[Document Type]</t>
        </is>
      </c>
    </row>
    <row r="5" ht="30" customHeight="1">
      <c r="A5" t="inlineStr">
        <is>
          <t>SAMPLE-PROVIDER - Sample-Category - Sample Solution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3-5 core features</t>
        </is>
      </c>
      <c r="D3" s="38" t="inlineStr">
        <is>
          <t>3-5 core features</t>
        </is>
      </c>
      <c r="E3" s="38" t="inlineStr">
        <is>
          <t>6-10 features</t>
        </is>
      </c>
      <c r="F3" s="38" t="inlineStr">
        <is>
          <t>10+ features or advanced capabilities</t>
        </is>
      </c>
      <c r="G3" s="38" t="inlineStr">
        <is>
          <t>Standard feature set for solution type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Minimal configuration</t>
        </is>
      </c>
      <c r="D4" s="41" t="inlineStr">
        <is>
          <t>Minimal configuration</t>
        </is>
      </c>
      <c r="E4" s="41" t="inlineStr">
        <is>
          <t>Moderate customization</t>
        </is>
      </c>
      <c r="F4" s="41" t="inlineStr">
        <is>
          <t>Extensive custom development</t>
        </is>
      </c>
      <c r="G4" s="41" t="inlineStr">
        <is>
          <t>Configuration vs custom code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2-3 data sources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Structured data sources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Across all user types and roles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2-3 standard roles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Small scale standard volume</t>
        </is>
      </c>
      <c r="D9" s="38" t="inlineStr">
        <is>
          <t>Small scale standard volume</t>
        </is>
      </c>
      <c r="E9" s="38" t="inlineStr">
        <is>
          <t>Medium scale increased volume</t>
        </is>
      </c>
      <c r="F9" s="38" t="inlineStr">
        <is>
          <t>Large scale high volume</t>
        </is>
      </c>
      <c r="G9" s="38" t="inlineStr">
        <is>
          <t>Varies by solution type (transactions docs etc)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</t>
        </is>
      </c>
      <c r="D10" s="41" t="inlineStr">
        <is>
          <t>100 GB</t>
        </is>
      </c>
      <c r="E10" s="41" t="inlineStr">
        <is>
          <t>500 GB - 1 TB</t>
        </is>
      </c>
      <c r="F10" s="41" t="inlineStr">
        <is>
          <t>2+ TB</t>
        </is>
      </c>
      <c r="G10" s="41" t="inlineStr">
        <is>
          <t>Includes retention and backup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and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single-tier</t>
        </is>
      </c>
      <c r="D13" s="38" t="inlineStr">
        <is>
          <t>Basic single-tier</t>
        </is>
      </c>
      <c r="E13" s="38" t="inlineStr">
        <is>
          <t>Multi-tier standard</t>
        </is>
      </c>
      <c r="F13" s="38" t="inlineStr">
        <is>
          <t>Complex distributed architecture</t>
        </is>
      </c>
      <c r="G13" s="38" t="inlineStr">
        <is>
          <t>Architecture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authentication and encryption</t>
        </is>
      </c>
      <c r="D14" s="41" t="inlineStr">
        <is>
          <t>Basic authentication and encryption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Security controls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1-2 basic standards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performance</t>
        </is>
      </c>
      <c r="D16" s="41" t="inlineStr">
        <is>
          <t>Standard performance</t>
        </is>
      </c>
      <c r="E16" s="41" t="inlineStr">
        <is>
          <t>Enhanced performance</t>
        </is>
      </c>
      <c r="F16" s="41" t="inlineStr">
        <is>
          <t>High performance low latency</t>
        </is>
      </c>
      <c r="G16" s="41" t="inlineStr">
        <is>
          <t>Response time and throughput needs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2 environments (dev prod)</t>
        </is>
      </c>
      <c r="D17" s="38" t="inlineStr">
        <is>
          <t>2 environments (dev prod)</t>
        </is>
      </c>
      <c r="E17" s="38" t="inlineStr">
        <is>
          <t>3 environments (dev staging prod)</t>
        </is>
      </c>
      <c r="F17" s="38" t="inlineStr">
        <is>
          <t>4+ environments with automation</t>
        </is>
      </c>
      <c r="G17" s="38" t="inlineStr">
        <is>
          <t>Environment management complexity</t>
        </is>
      </c>
    </row>
    <row r="18" ht="26" customHeight="1">
      <c r="A18" s="40" t="inlineStr"/>
      <c r="B18" s="41" t="inlineStr"/>
      <c r="C18" s="39" t="inlineStr"/>
      <c r="D18" s="41" t="inlineStr"/>
      <c r="E18" s="41" t="inlineStr"/>
      <c r="F18" s="41" t="inlineStr"/>
      <c r="G18" s="41" t="inlineStr"/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15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Technical Assessment, Security Review, Integration Assessment)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(Solution Design, Security Architecture, Data Architecture, Implementation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(Infrastructure Setup, Core Development, Database Development, Integration Development, UI Development, Security Implementation)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(Pre-Production Validation, Production Deployment, Data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Project Retrospective)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2" ht="26" customHeight="1">
      <c r="A12" s="40" t="inlineStr"/>
      <c r="B12" s="41" t="inlineStr"/>
      <c r="C12" s="44" t="inlineStr"/>
      <c r="D12" s="41" t="inlineStr"/>
    </row>
  </sheetData>
  <autoFilter ref="A2:D12"/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and discovery workshops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stakeholder interviews and requirements documentation deliverable</t>
        </is>
      </c>
    </row>
    <row r="4" ht="26" customHeight="1">
      <c r="A4" s="51" t="inlineStr">
        <is>
          <t>Discovery</t>
        </is>
      </c>
      <c r="B4" s="52" t="inlineStr">
        <is>
          <t>Technical Assessment</t>
        </is>
      </c>
      <c r="C4" s="52" t="inlineStr">
        <is>
          <t>Evaluate current infrastructure and technical environment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access to current infrastructure for evaluation</t>
        </is>
      </c>
    </row>
    <row r="5" ht="26" customHeight="1">
      <c r="A5" s="45" t="inlineStr">
        <is>
          <t>Discovery</t>
        </is>
      </c>
      <c r="B5" s="46" t="inlineStr">
        <is>
          <t>Security &amp; Compliance Review</t>
        </is>
      </c>
      <c r="C5" s="46" t="inlineStr">
        <is>
          <t>Assess security requirements and compliance standards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compliance gaps and remediation requirements</t>
        </is>
      </c>
    </row>
    <row r="6" ht="26" customHeight="1">
      <c r="A6" s="51" t="inlineStr">
        <is>
          <t>Discovery</t>
        </is>
      </c>
      <c r="B6" s="52" t="inlineStr">
        <is>
          <t>Integration Assessment</t>
        </is>
      </c>
      <c r="C6" s="52" t="inlineStr">
        <is>
          <t>Identify integration points and data flow requirements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160</v>
      </c>
      <c r="I6" s="55">
        <f>TEXT($G6*$H6,"$#,##0")</f>
        <v/>
      </c>
      <c r="J6" s="52" t="inlineStr"/>
      <c r="K6" s="52" t="inlineStr">
        <is>
          <t>Customer must provide API documentation and integration endpoints</t>
        </is>
      </c>
    </row>
    <row r="7" ht="26" customHeight="1">
      <c r="A7" s="45" t="inlineStr">
        <is>
          <t>Planning</t>
        </is>
      </c>
      <c r="B7" s="46" t="inlineStr">
        <is>
          <t>Security Architecture</t>
        </is>
      </c>
      <c r="C7" s="46" t="inlineStr">
        <is>
          <t>Design security controls and compliance framework</t>
        </is>
      </c>
      <c r="D7" s="46" t="inlineStr">
        <is>
          <t>EO Engineer</t>
        </is>
      </c>
      <c r="E7" s="47" t="n">
        <v>24</v>
      </c>
      <c r="F7" s="48">
        <f>'Estimate Settings'!$C$4</f>
        <v/>
      </c>
      <c r="G7" s="49">
        <f>$E7*$F7</f>
        <v/>
      </c>
      <c r="H7" s="50" t="n">
        <v>175</v>
      </c>
      <c r="I7" s="49">
        <f>TEXT($G7*$H7,"$#,##0")</f>
        <v/>
      </c>
      <c r="J7" s="46" t="inlineStr">
        <is>
          <t>Security &amp; Compliance Review</t>
        </is>
      </c>
      <c r="K7" s="46" t="inlineStr">
        <is>
          <t>Deliverable: Security design document with controls and compliance mapping</t>
        </is>
      </c>
    </row>
    <row r="8" ht="26" customHeight="1">
      <c r="A8" s="51" t="inlineStr">
        <is>
          <t>Planning</t>
        </is>
      </c>
      <c r="B8" s="52" t="inlineStr">
        <is>
          <t>Data Architecture</t>
        </is>
      </c>
      <c r="C8" s="52" t="inlineStr">
        <is>
          <t>Design data models schemas and data flow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165</v>
      </c>
      <c r="I8" s="55">
        <f>TEXT($G8*$H8,"$#,##0")</f>
        <v/>
      </c>
      <c r="J8" s="52" t="inlineStr">
        <is>
          <t>Integration Assessment</t>
        </is>
      </c>
      <c r="K8" s="52" t="inlineStr">
        <is>
          <t>Deliverable: Data model diagrams and migration strategy</t>
        </is>
      </c>
    </row>
    <row r="9" ht="26" customHeight="1">
      <c r="A9" s="45" t="inlineStr">
        <is>
          <t>Development</t>
        </is>
      </c>
      <c r="B9" s="46" t="inlineStr">
        <is>
          <t>Infrastructure Setup</t>
        </is>
      </c>
      <c r="C9" s="46" t="inlineStr">
        <is>
          <t>Provision and configure infrastructure environment</t>
        </is>
      </c>
      <c r="D9" s="46" t="inlineStr">
        <is>
          <t>EO Engineer</t>
        </is>
      </c>
      <c r="E9" s="47" t="n">
        <v>40</v>
      </c>
      <c r="F9" s="48">
        <f>'Estimate Settings'!$C$5</f>
        <v/>
      </c>
      <c r="G9" s="49">
        <f>$E9*$F9</f>
        <v/>
      </c>
      <c r="H9" s="50" t="n">
        <v>160</v>
      </c>
      <c r="I9" s="49">
        <f>TEXT($G9*$H9,"$#,##0")</f>
        <v/>
      </c>
      <c r="J9" s="46" t="inlineStr"/>
      <c r="K9" s="46" t="inlineStr">
        <is>
          <t>Includes environment provisioning and configuration baseline</t>
        </is>
      </c>
    </row>
    <row r="10" ht="26" customHeight="1">
      <c r="A10" s="51" t="inlineStr">
        <is>
          <t>Development</t>
        </is>
      </c>
      <c r="B10" s="52" t="inlineStr">
        <is>
          <t>Core Application Development</t>
        </is>
      </c>
      <c r="C10" s="52" t="inlineStr">
        <is>
          <t>Build primary application functionality and services</t>
        </is>
      </c>
      <c r="D10" s="52" t="inlineStr">
        <is>
          <t>EO Engineer</t>
        </is>
      </c>
      <c r="E10" s="53" t="n">
        <v>120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Infrastructure Setup</t>
        </is>
      </c>
      <c r="K10" s="52" t="inlineStr">
        <is>
          <t>Largest effort item - varies significantly based on feature complexity</t>
        </is>
      </c>
    </row>
    <row r="11" ht="26" customHeight="1">
      <c r="A11" s="45" t="inlineStr">
        <is>
          <t>Development</t>
        </is>
      </c>
      <c r="B11" s="46" t="inlineStr">
        <is>
          <t>Database Development</t>
        </is>
      </c>
      <c r="C11" s="46" t="inlineStr">
        <is>
          <t>Implement database schema stored procedures and queries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155</v>
      </c>
      <c r="I11" s="49">
        <f>TEXT($G11*$H11,"$#,##0")</f>
        <v/>
      </c>
      <c r="J11" s="46" t="inlineStr">
        <is>
          <t>Data Architecture</t>
        </is>
      </c>
      <c r="K11" s="46" t="inlineStr">
        <is>
          <t>Includes schema design stored procedures and initial data seeding</t>
        </is>
      </c>
    </row>
    <row r="12" ht="26" customHeight="1">
      <c r="A12" s="51" t="inlineStr">
        <is>
          <t>Development</t>
        </is>
      </c>
      <c r="B12" s="52" t="inlineStr">
        <is>
          <t>Integration Development</t>
        </is>
      </c>
      <c r="C12" s="52" t="inlineStr">
        <is>
          <t>Build API integrations data connectors and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Core Application Development</t>
        </is>
      </c>
      <c r="K12" s="52" t="inlineStr">
        <is>
          <t>Customer integration endpoints must be available for testing</t>
        </is>
      </c>
    </row>
    <row r="13" ht="26" customHeight="1">
      <c r="A13" s="45" t="inlineStr">
        <is>
          <t>Development</t>
        </is>
      </c>
      <c r="B13" s="46" t="inlineStr">
        <is>
          <t>User Interface Development</t>
        </is>
      </c>
      <c r="C13" s="46" t="inlineStr">
        <is>
          <t>Create user interface and user experience components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Core Application Development</t>
        </is>
      </c>
      <c r="K13" s="46" t="inlineStr">
        <is>
          <t>Includes responsive design for desktop and mobile devices</t>
        </is>
      </c>
    </row>
    <row r="14" ht="26" customHeight="1">
      <c r="A14" s="51" t="inlineStr">
        <is>
          <t>Development</t>
        </is>
      </c>
      <c r="B14" s="52" t="inlineStr">
        <is>
          <t>Security Implementation</t>
        </is>
      </c>
      <c r="C14" s="52" t="inlineStr">
        <is>
          <t>Implement authentication authorization and security controls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Deliverable: Functional authentication authorization and audit logging</t>
        </is>
      </c>
    </row>
    <row r="15" ht="26" customHeight="1">
      <c r="A15" s="45" t="inlineStr">
        <is>
          <t>Testing</t>
        </is>
      </c>
      <c r="B15" s="46" t="inlineStr">
        <is>
          <t>Unit Testing</t>
        </is>
      </c>
      <c r="C15" s="46" t="inlineStr">
        <is>
          <t>Develop and execute unit tests for all components</t>
        </is>
      </c>
      <c r="D15" s="46" t="inlineStr">
        <is>
          <t>EO Engineer</t>
        </is>
      </c>
      <c r="E15" s="47" t="n">
        <v>32</v>
      </c>
      <c r="F15" s="48">
        <f>'Estimate Settings'!$C$6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Core Application Development</t>
        </is>
      </c>
      <c r="K15" s="46" t="inlineStr">
        <is>
          <t>Automated test suite for regression testing</t>
        </is>
      </c>
    </row>
    <row r="16" ht="26" customHeight="1">
      <c r="A16" s="51" t="inlineStr">
        <is>
          <t>Testing</t>
        </is>
      </c>
      <c r="B16" s="52" t="inlineStr">
        <is>
          <t>Integration Testing</t>
        </is>
      </c>
      <c r="C16" s="52" t="inlineStr">
        <is>
          <t>Test system integrations data flows and API endpoints</t>
        </is>
      </c>
      <c r="D16" s="52" t="inlineStr">
        <is>
          <t>EO Engineer</t>
        </is>
      </c>
      <c r="E16" s="53" t="n">
        <v>40</v>
      </c>
      <c r="F16" s="54">
        <f>'Estimate Settings'!$C$6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Integration Development</t>
        </is>
      </c>
      <c r="K16" s="52" t="inlineStr">
        <is>
          <t>Requires access to customer test environments and systems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Conduct load performance and scalability testing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Integration Testing</t>
        </is>
      </c>
      <c r="K17" s="46" t="inlineStr">
        <is>
          <t>Load testing with expected concurrent user volumes</t>
        </is>
      </c>
    </row>
    <row r="18" ht="26" customHeight="1">
      <c r="A18" s="51" t="inlineStr">
        <is>
          <t>Testing</t>
        </is>
      </c>
      <c r="B18" s="52" t="inlineStr">
        <is>
          <t>Security Testing</t>
        </is>
      </c>
      <c r="C18" s="52" t="inlineStr">
        <is>
          <t>Perform security assessments and vulnerability testing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Implementation</t>
        </is>
      </c>
      <c r="K18" s="52" t="inlineStr">
        <is>
          <t>Third-party security assessment may require additional budget</t>
        </is>
      </c>
    </row>
    <row r="19" ht="26" customHeight="1">
      <c r="A19" s="45" t="inlineStr">
        <is>
          <t>Testing</t>
        </is>
      </c>
      <c r="B19" s="46" t="inlineStr">
        <is>
          <t>User Acceptance Testing</t>
        </is>
      </c>
      <c r="C19" s="46" t="inlineStr">
        <is>
          <t>Coordinate and support UAT with business users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Performance Testing</t>
        </is>
      </c>
      <c r="K19" s="46" t="inlineStr">
        <is>
          <t>Customer business users must be available for UAT period</t>
        </is>
      </c>
    </row>
    <row r="20" ht="26" customHeight="1">
      <c r="A20" s="51" t="inlineStr">
        <is>
          <t>Deployment</t>
        </is>
      </c>
      <c r="B20" s="52" t="inlineStr">
        <is>
          <t>Pre-Production Validation</t>
        </is>
      </c>
      <c r="C20" s="52" t="inlineStr">
        <is>
          <t>Validate solution in pre-production environment</t>
        </is>
      </c>
      <c r="D20" s="52" t="inlineStr">
        <is>
          <t>EO Engineer</t>
        </is>
      </c>
      <c r="E20" s="53" t="n">
        <v>16</v>
      </c>
      <c r="F20" s="54">
        <f>'Estimate Settings'!$C$7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User Acceptance Testing</t>
        </is>
      </c>
      <c r="K20" s="52" t="inlineStr">
        <is>
          <t>Final checks before production deployment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solution to production environment</t>
        </is>
      </c>
      <c r="D21" s="46" t="inlineStr">
        <is>
          <t>EO Engineer</t>
        </is>
      </c>
      <c r="E21" s="47" t="n">
        <v>24</v>
      </c>
      <c r="F21" s="48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Pre-Production Validation</t>
        </is>
      </c>
      <c r="K21" s="46" t="inlineStr">
        <is>
          <t>Includes deployment runbook and rollback procedures</t>
        </is>
      </c>
    </row>
    <row r="22" ht="26" customHeight="1">
      <c r="A22" s="51" t="inlineStr">
        <is>
          <t>Deployment</t>
        </is>
      </c>
      <c r="B22" s="52" t="inlineStr">
        <is>
          <t>Data Migration</t>
        </is>
      </c>
      <c r="C22" s="52" t="inlineStr">
        <is>
          <t>Migrate existing data to new system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155</v>
      </c>
      <c r="I22" s="55">
        <f>TEXT($G22*$H22,"$#,##0")</f>
        <v/>
      </c>
      <c r="J22" s="52" t="inlineStr">
        <is>
          <t>Production Deployment</t>
        </is>
      </c>
      <c r="K22" s="52" t="inlineStr">
        <is>
          <t>Customer responsible for data quality and validation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support during initial production rollout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130</v>
      </c>
      <c r="I23" s="49">
        <f>TEXT($G23*$H23,"$#,##0")</f>
        <v/>
      </c>
      <c r="J23" s="46" t="inlineStr">
        <is>
          <t>Data Migration</t>
        </is>
      </c>
      <c r="K23" s="46" t="inlineStr">
        <is>
          <t>Includes daily monitoring and rapid issue response during hypercare</t>
        </is>
      </c>
    </row>
    <row r="24" ht="26" customHeight="1">
      <c r="A24" s="51" t="inlineStr">
        <is>
          <t>Training</t>
        </is>
      </c>
      <c r="B24" s="52" t="inlineStr">
        <is>
          <t>Administrator Training</t>
        </is>
      </c>
      <c r="C24" s="52" t="inlineStr">
        <is>
          <t>Train system administrators and technical users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140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Includes system administration and troubleshooting procedures</t>
        </is>
      </c>
    </row>
    <row r="25" ht="26" customHeight="1">
      <c r="A25" s="45" t="inlineStr">
        <is>
          <t>Training</t>
        </is>
      </c>
      <c r="B25" s="46" t="inlineStr">
        <is>
          <t>End User Training</t>
        </is>
      </c>
      <c r="C25" s="46" t="inlineStr">
        <is>
          <t>Train business users on system functionality</t>
        </is>
      </c>
      <c r="D25" s="46" t="inlineStr">
        <is>
          <t>EO Engineer</t>
        </is>
      </c>
      <c r="E25" s="47" t="n">
        <v>24</v>
      </c>
      <c r="F25" s="48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Administrator Training</t>
        </is>
      </c>
      <c r="K25" s="46" t="inlineStr">
        <is>
          <t>Role-based training sessions - customer provides training space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manuals technical documentation and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120</v>
      </c>
      <c r="I26" s="55">
        <f>TEXT($G26*$H26,"$#,##0")</f>
        <v/>
      </c>
      <c r="J26" s="52" t="inlineStr">
        <is>
          <t>End User Training</t>
        </is>
      </c>
      <c r="K26" s="52" t="inlineStr">
        <is>
          <t>Deliverable: User guides administrator guides and runbooks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ownership to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to customer operations team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performance metrics and monitoring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SLA metrics and monitoring thresholds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Solution architecture review and technical escalation support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weekly status reporting and risk management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sheet based on customer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Partner Program Credit</t>
        </is>
      </c>
      <c r="B3" s="59" t="n">
        <v>-5000</v>
      </c>
      <c r="C3" s="38" t="inlineStr">
        <is>
          <t>Partner program services credit applied to professional services</t>
        </is>
      </c>
    </row>
    <row r="4" ht="26" customHeight="1">
      <c r="A4" s="40" t="inlineStr">
        <is>
          <t>Volume Discount</t>
        </is>
      </c>
      <c r="B4" s="60" t="n">
        <v>0</v>
      </c>
      <c r="C4" s="41" t="inlineStr">
        <is>
          <t>No volume discount applicable</t>
        </is>
      </c>
    </row>
    <row r="5" ht="26" customHeight="1">
      <c r="A5" s="61" t="inlineStr">
        <is>
          <t>TOTAL</t>
        </is>
      </c>
      <c r="B5" s="62">
        <f>SUMPRODUCT($G$3:$G$30,$H$3:$H$30)-5000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2025-11-20T01:29:35Z</dcterms:modified>
  <cp:lastModifiedBy>Kishan Siram</cp:lastModifiedBy>
</cp:coreProperties>
</file>