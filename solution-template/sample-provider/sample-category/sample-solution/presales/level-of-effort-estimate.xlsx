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Sample Solution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Primary Features/Capabilities</t>
        </is>
      </c>
      <c r="C2" s="20" t="inlineStr">
        <is>
          <t>3-5 core features</t>
        </is>
      </c>
      <c r="D2" s="10" t="inlineStr">
        <is>
          <t>3-5 core features</t>
        </is>
      </c>
      <c r="E2" s="10" t="inlineStr">
        <is>
          <t>6-10 features</t>
        </is>
      </c>
      <c r="F2" s="10" t="inlineStr">
        <is>
          <t>10+ features or advanced capabilities</t>
        </is>
      </c>
      <c r="G2" s="10" t="inlineStr">
        <is>
          <t>Standard feature set for solution type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Customization Level</t>
        </is>
      </c>
      <c r="C3" s="20" t="inlineStr">
        <is>
          <t>Minimal configuration</t>
        </is>
      </c>
      <c r="D3" s="21" t="inlineStr">
        <is>
          <t>Minimal configuration</t>
        </is>
      </c>
      <c r="E3" s="21" t="inlineStr">
        <is>
          <t>Moderate customization</t>
        </is>
      </c>
      <c r="F3" s="21" t="inlineStr">
        <is>
          <t>Extensive custom development</t>
        </is>
      </c>
      <c r="G3" s="21" t="inlineStr">
        <is>
          <t>Configuration vs custom code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External System Integrations</t>
        </is>
      </c>
      <c r="C4" s="20" t="inlineStr">
        <is>
          <t>2 REST APIs</t>
        </is>
      </c>
      <c r="D4" s="10" t="inlineStr">
        <is>
          <t>2 REST APIs</t>
        </is>
      </c>
      <c r="E4" s="10" t="inlineStr">
        <is>
          <t>4-6 systems</t>
        </is>
      </c>
      <c r="F4" s="10" t="inlineStr">
        <is>
          <t>8+ systems or complex protocols</t>
        </is>
      </c>
      <c r="G4" s="10" t="inlineStr">
        <is>
          <t>Standard REST/API integrations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2-3 data sources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 or complex formats</t>
        </is>
      </c>
      <c r="G5" s="21" t="inlineStr">
        <is>
          <t>Structured data sources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50 users</t>
        </is>
      </c>
      <c r="D6" s="10" t="inlineStr">
        <is>
          <t>50 users</t>
        </is>
      </c>
      <c r="E6" s="10" t="inlineStr">
        <is>
          <t>100-250 users</t>
        </is>
      </c>
      <c r="F6" s="10" t="inlineStr">
        <is>
          <t>500+ users</t>
        </is>
      </c>
      <c r="G6" s="10" t="inlineStr">
        <is>
          <t>Across all user types and roles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2-3 standard roles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complex permissions</t>
        </is>
      </c>
      <c r="G7" s="21" t="inlineStr">
        <is>
          <t>Role-based access control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Data Processing Volume</t>
        </is>
      </c>
      <c r="C8" s="20" t="inlineStr">
        <is>
          <t>Small scale standard volume</t>
        </is>
      </c>
      <c r="D8" s="10" t="inlineStr">
        <is>
          <t>Small scale standard volume</t>
        </is>
      </c>
      <c r="E8" s="10" t="inlineStr">
        <is>
          <t>Medium scale increased volume</t>
        </is>
      </c>
      <c r="F8" s="10" t="inlineStr">
        <is>
          <t>Large scale high volume</t>
        </is>
      </c>
      <c r="G8" s="10" t="inlineStr">
        <is>
          <t>Varies by solution type (transactions docs etc)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Data Storage Requirements</t>
        </is>
      </c>
      <c r="C9" s="20" t="inlineStr">
        <is>
          <t>100 GB</t>
        </is>
      </c>
      <c r="D9" s="21" t="inlineStr">
        <is>
          <t>100 GB</t>
        </is>
      </c>
      <c r="E9" s="21" t="inlineStr">
        <is>
          <t>500 GB - 1 TB</t>
        </is>
      </c>
      <c r="F9" s="21" t="inlineStr">
        <is>
          <t>2+ TB</t>
        </is>
      </c>
      <c r="G9" s="21" t="inlineStr">
        <is>
          <t>Includes retention and backup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region</t>
        </is>
      </c>
      <c r="D10" s="10" t="inlineStr">
        <is>
          <t>Single region</t>
        </is>
      </c>
      <c r="E10" s="10" t="inlineStr">
        <is>
          <t>2-3 regions</t>
        </is>
      </c>
      <c r="F10" s="10" t="inlineStr">
        <is>
          <t>Global multi-region</t>
        </is>
      </c>
      <c r="G10" s="10" t="inlineStr">
        <is>
          <t>Geographic distribution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High availability (99.9%)</t>
        </is>
      </c>
      <c r="F11" s="21" t="inlineStr">
        <is>
          <t>Mission critical (99.95%+)</t>
        </is>
      </c>
      <c r="G11" s="21" t="inlineStr">
        <is>
          <t>SLA and uptime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Basic single-tier</t>
        </is>
      </c>
      <c r="D12" s="10" t="inlineStr">
        <is>
          <t>Basic single-tier</t>
        </is>
      </c>
      <c r="E12" s="10" t="inlineStr">
        <is>
          <t>Multi-tier standard</t>
        </is>
      </c>
      <c r="F12" s="10" t="inlineStr">
        <is>
          <t>Complex distributed architecture</t>
        </is>
      </c>
      <c r="G12" s="10" t="inlineStr">
        <is>
          <t>Architecture complexity level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Basic authentication and encryption</t>
        </is>
      </c>
      <c r="D13" s="21" t="inlineStr">
        <is>
          <t>Basic authentication and encryption</t>
        </is>
      </c>
      <c r="E13" s="21" t="inlineStr">
        <is>
          <t>Industry standard (SOC2 HIPAA)</t>
        </is>
      </c>
      <c r="F13" s="21" t="inlineStr">
        <is>
          <t>Advanced (FedRAMP multi-jurisdiction)</t>
        </is>
      </c>
      <c r="G13" s="21" t="inlineStr">
        <is>
          <t>Security controls and compliance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1-2 basic standards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Regulatory compliance requirements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Performance Requirements</t>
        </is>
      </c>
      <c r="C15" s="20" t="inlineStr">
        <is>
          <t>Standard performance</t>
        </is>
      </c>
      <c r="D15" s="21" t="inlineStr">
        <is>
          <t>Standard performance</t>
        </is>
      </c>
      <c r="E15" s="21" t="inlineStr">
        <is>
          <t>Enhanced performance</t>
        </is>
      </c>
      <c r="F15" s="21" t="inlineStr">
        <is>
          <t>High performance low latency</t>
        </is>
      </c>
      <c r="G15" s="21" t="inlineStr">
        <is>
          <t>Response time and throughput needs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Environment</t>
        </is>
      </c>
      <c r="B16" s="10" t="inlineStr">
        <is>
          <t>Deployment Environments</t>
        </is>
      </c>
      <c r="C16" s="20" t="inlineStr">
        <is>
          <t>2 environments (dev prod)</t>
        </is>
      </c>
      <c r="D16" s="10" t="inlineStr">
        <is>
          <t>2 environments (dev prod)</t>
        </is>
      </c>
      <c r="E16" s="10" t="inlineStr">
        <is>
          <t>3 environments (dev staging prod)</t>
        </is>
      </c>
      <c r="F16" s="10" t="inlineStr">
        <is>
          <t>4+ environments with automation</t>
        </is>
      </c>
      <c r="G16" s="10" t="inlineStr">
        <is>
          <t>Environment management complexity</t>
        </is>
      </c>
      <c r="H16" s="10" t="inlineStr"/>
      <c r="I16" s="10" t="inlineStr"/>
      <c r="J16" s="10" t="inlineStr"/>
      <c r="K16" s="10" t="inlineStr"/>
    </row>
    <row r="17">
      <c r="A17" s="21" t="inlineStr"/>
      <c r="B17" s="21" t="inlineStr"/>
      <c r="C17" s="21" t="inlineStr"/>
      <c r="D17" s="21" t="inlineStr"/>
      <c r="E17" s="21" t="inlineStr"/>
      <c r="F17" s="21" t="inlineStr"/>
      <c r="G17" s="21" t="inlineStr"/>
      <c r="H17" s="21" t="inlineStr"/>
      <c r="I17" s="21" t="inlineStr"/>
      <c r="J17" s="21" t="inlineStr"/>
      <c r="K17" s="21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 (Requirements Gathering, Technical Assessment, Security Review, Integration Assessment)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 (Solution Design, Security Architecture, Data Architecture, Implementation Planning)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 (Infrastructure Setup, Core Development, Database Development, Integration Development, UI Development, Security Implementation)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 (Unit Testing, Integration Testing, Performance Testing, Security Testing, UAT)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 (Pre-Production Validation, Production Deployment, Data Migration, Go-Live Support)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 (Administrator Training, End User Training, Documentation)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 (Knowledge Transfer, Performance Baseline, Project Retrospective)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 - 10% of actual engineering hours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 - 10% of actual engineering hours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Requirements Gathering</t>
        </is>
      </c>
      <c r="C2" s="10" t="inlineStr">
        <is>
          <t>Conduct stakeholder interviews and discovery workshops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Includes stakeholder interviews and requirements documentation deliverable</t>
        </is>
      </c>
    </row>
    <row r="3">
      <c r="A3" s="21" t="inlineStr">
        <is>
          <t>Discovery</t>
        </is>
      </c>
      <c r="B3" s="21" t="inlineStr">
        <is>
          <t>Technical Assessment</t>
        </is>
      </c>
      <c r="C3" s="21" t="inlineStr">
        <is>
          <t>Evaluate current infrastructure and technical environment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175</v>
      </c>
      <c r="I3" s="21">
        <f>TEXT($G3*$H3,"$#,##0")</f>
        <v/>
      </c>
      <c r="J3" s="21" t="inlineStr"/>
      <c r="K3" s="21" t="inlineStr">
        <is>
          <t>Customer must provide access to current infrastructure for evaluation</t>
        </is>
      </c>
    </row>
    <row r="4">
      <c r="A4" s="10" t="inlineStr">
        <is>
          <t>Discovery</t>
        </is>
      </c>
      <c r="B4" s="10" t="inlineStr">
        <is>
          <t>Security &amp; Compliance Review</t>
        </is>
      </c>
      <c r="C4" s="10" t="inlineStr">
        <is>
          <t>Assess security requirements and compliance standards</t>
        </is>
      </c>
      <c r="D4" s="10" t="inlineStr">
        <is>
          <t>EO Engineer</t>
        </is>
      </c>
      <c r="E4" s="27" t="n">
        <v>16</v>
      </c>
      <c r="F4" s="28">
        <f>'Estimate Settings'!$C$24</f>
        <v/>
      </c>
      <c r="G4" s="10">
        <f>$E4*$F4</f>
        <v/>
      </c>
      <c r="H4" s="29" t="n">
        <v>175</v>
      </c>
      <c r="I4" s="10">
        <f>TEXT($G4*$H4,"$#,##0")</f>
        <v/>
      </c>
      <c r="J4" s="10" t="inlineStr"/>
      <c r="K4" s="10" t="inlineStr">
        <is>
          <t>Identifies compliance gaps and remediation requirements</t>
        </is>
      </c>
    </row>
    <row r="5">
      <c r="A5" s="21" t="inlineStr">
        <is>
          <t>Discovery</t>
        </is>
      </c>
      <c r="B5" s="21" t="inlineStr">
        <is>
          <t>Integration Assessment</t>
        </is>
      </c>
      <c r="C5" s="21" t="inlineStr">
        <is>
          <t>Identify integration points and data flow requirements</t>
        </is>
      </c>
      <c r="D5" s="21" t="inlineStr">
        <is>
          <t>EO Engineer</t>
        </is>
      </c>
      <c r="E5" s="30" t="n">
        <v>24</v>
      </c>
      <c r="F5" s="28">
        <f>'Estimate Settings'!$C$24</f>
        <v/>
      </c>
      <c r="G5" s="21">
        <f>$E5*$F5</f>
        <v/>
      </c>
      <c r="H5" s="31" t="n">
        <v>160</v>
      </c>
      <c r="I5" s="21">
        <f>TEXT($G5*$H5,"$#,##0")</f>
        <v/>
      </c>
      <c r="J5" s="21" t="inlineStr"/>
      <c r="K5" s="21" t="inlineStr">
        <is>
          <t>Customer must provide API documentation and integration endpoints</t>
        </is>
      </c>
    </row>
    <row r="6">
      <c r="A6" s="10" t="inlineStr">
        <is>
          <t>Planning</t>
        </is>
      </c>
      <c r="B6" s="10" t="inlineStr">
        <is>
          <t>Security Architecture</t>
        </is>
      </c>
      <c r="C6" s="10" t="inlineStr">
        <is>
          <t>Design security controls and compliance framework</t>
        </is>
      </c>
      <c r="D6" s="10" t="inlineStr">
        <is>
          <t>EO Engineer</t>
        </is>
      </c>
      <c r="E6" s="27" t="n">
        <v>24</v>
      </c>
      <c r="F6" s="28">
        <f>'Estimate Settings'!$C$25</f>
        <v/>
      </c>
      <c r="G6" s="10">
        <f>$E6*$F6</f>
        <v/>
      </c>
      <c r="H6" s="29" t="n">
        <v>175</v>
      </c>
      <c r="I6" s="10">
        <f>TEXT($G6*$H6,"$#,##0")</f>
        <v/>
      </c>
      <c r="J6" s="10" t="inlineStr">
        <is>
          <t>Security &amp; Compliance Review</t>
        </is>
      </c>
      <c r="K6" s="10" t="inlineStr">
        <is>
          <t>Deliverable: Security design document with controls and compliance mapping</t>
        </is>
      </c>
    </row>
    <row r="7">
      <c r="A7" s="21" t="inlineStr">
        <is>
          <t>Planning</t>
        </is>
      </c>
      <c r="B7" s="21" t="inlineStr">
        <is>
          <t>Data Architecture</t>
        </is>
      </c>
      <c r="C7" s="21" t="inlineStr">
        <is>
          <t>Design data models schemas and data flow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165</v>
      </c>
      <c r="I7" s="21">
        <f>TEXT($G7*$H7,"$#,##0")</f>
        <v/>
      </c>
      <c r="J7" s="21" t="inlineStr">
        <is>
          <t>Integration Assessment</t>
        </is>
      </c>
      <c r="K7" s="21" t="inlineStr">
        <is>
          <t>Deliverable: Data model diagrams and migration strategy</t>
        </is>
      </c>
    </row>
    <row r="8">
      <c r="A8" s="10" t="inlineStr">
        <is>
          <t>Development</t>
        </is>
      </c>
      <c r="B8" s="10" t="inlineStr">
        <is>
          <t>Infrastructure Setup</t>
        </is>
      </c>
      <c r="C8" s="10" t="inlineStr">
        <is>
          <t>Provision and configure infrastructure environment</t>
        </is>
      </c>
      <c r="D8" s="10" t="inlineStr">
        <is>
          <t>EO Engineer</t>
        </is>
      </c>
      <c r="E8" s="27" t="n">
        <v>40</v>
      </c>
      <c r="F8" s="28">
        <f>'Estimate Settings'!$C$26</f>
        <v/>
      </c>
      <c r="G8" s="10">
        <f>$E8*$F8</f>
        <v/>
      </c>
      <c r="H8" s="29" t="n">
        <v>160</v>
      </c>
      <c r="I8" s="10">
        <f>TEXT($G8*$H8,"$#,##0")</f>
        <v/>
      </c>
      <c r="J8" s="10" t="inlineStr"/>
      <c r="K8" s="10" t="inlineStr">
        <is>
          <t>Includes environment provisioning and configuration baseline</t>
        </is>
      </c>
    </row>
    <row r="9">
      <c r="A9" s="21" t="inlineStr">
        <is>
          <t>Development</t>
        </is>
      </c>
      <c r="B9" s="21" t="inlineStr">
        <is>
          <t>Core Application Development</t>
        </is>
      </c>
      <c r="C9" s="21" t="inlineStr">
        <is>
          <t>Build primary application functionality and services</t>
        </is>
      </c>
      <c r="D9" s="21" t="inlineStr">
        <is>
          <t>EO Engineer</t>
        </is>
      </c>
      <c r="E9" s="30" t="n">
        <v>120</v>
      </c>
      <c r="F9" s="28">
        <f>'Estimate Settings'!$C$26</f>
        <v/>
      </c>
      <c r="G9" s="21">
        <f>$E9*$F9</f>
        <v/>
      </c>
      <c r="H9" s="31" t="n">
        <v>150</v>
      </c>
      <c r="I9" s="21">
        <f>TEXT($G9*$H9,"$#,##0")</f>
        <v/>
      </c>
      <c r="J9" s="21" t="inlineStr">
        <is>
          <t>Infrastructure Setup</t>
        </is>
      </c>
      <c r="K9" s="21" t="inlineStr">
        <is>
          <t>Largest effort item - varies significantly based on feature complexity</t>
        </is>
      </c>
    </row>
    <row r="10">
      <c r="A10" s="10" t="inlineStr">
        <is>
          <t>Development</t>
        </is>
      </c>
      <c r="B10" s="10" t="inlineStr">
        <is>
          <t>Database Development</t>
        </is>
      </c>
      <c r="C10" s="10" t="inlineStr">
        <is>
          <t>Implement database schema stored procedures and queries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155</v>
      </c>
      <c r="I10" s="10">
        <f>TEXT($G10*$H10,"$#,##0")</f>
        <v/>
      </c>
      <c r="J10" s="10" t="inlineStr">
        <is>
          <t>Data Architecture</t>
        </is>
      </c>
      <c r="K10" s="10" t="inlineStr">
        <is>
          <t>Includes schema design stored procedures and initial data seeding</t>
        </is>
      </c>
    </row>
    <row r="11">
      <c r="A11" s="21" t="inlineStr">
        <is>
          <t>Development</t>
        </is>
      </c>
      <c r="B11" s="21" t="inlineStr">
        <is>
          <t>Integration Development</t>
        </is>
      </c>
      <c r="C11" s="21" t="inlineStr">
        <is>
          <t>Build API integrations data connectors and workflows</t>
        </is>
      </c>
      <c r="D11" s="21" t="inlineStr">
        <is>
          <t>EO Engineer</t>
        </is>
      </c>
      <c r="E11" s="30" t="n">
        <v>64</v>
      </c>
      <c r="F11" s="28">
        <f>'Estimate Settings'!$C$26</f>
        <v/>
      </c>
      <c r="G11" s="21">
        <f>$E11*$F11</f>
        <v/>
      </c>
      <c r="H11" s="31" t="n">
        <v>155</v>
      </c>
      <c r="I11" s="21">
        <f>TEXT($G11*$H11,"$#,##0")</f>
        <v/>
      </c>
      <c r="J11" s="21" t="inlineStr">
        <is>
          <t>Core Application Development</t>
        </is>
      </c>
      <c r="K11" s="21" t="inlineStr">
        <is>
          <t>Customer integration endpoints must be available for testing</t>
        </is>
      </c>
    </row>
    <row r="12">
      <c r="A12" s="10" t="inlineStr">
        <is>
          <t>Development</t>
        </is>
      </c>
      <c r="B12" s="10" t="inlineStr">
        <is>
          <t>User Interface Development</t>
        </is>
      </c>
      <c r="C12" s="10" t="inlineStr">
        <is>
          <t>Create user interface and user experience components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140</v>
      </c>
      <c r="I12" s="10">
        <f>TEXT($G12*$H12,"$#,##0")</f>
        <v/>
      </c>
      <c r="J12" s="10" t="inlineStr">
        <is>
          <t>Core Application Development</t>
        </is>
      </c>
      <c r="K12" s="10" t="inlineStr">
        <is>
          <t>Includes responsive design for desktop and mobile devices</t>
        </is>
      </c>
    </row>
    <row r="13">
      <c r="A13" s="21" t="inlineStr">
        <is>
          <t>Development</t>
        </is>
      </c>
      <c r="B13" s="21" t="inlineStr">
        <is>
          <t>Security Implementation</t>
        </is>
      </c>
      <c r="C13" s="21" t="inlineStr">
        <is>
          <t>Implement authentication authorization and security controls</t>
        </is>
      </c>
      <c r="D13" s="21" t="inlineStr">
        <is>
          <t>EO Engineer</t>
        </is>
      </c>
      <c r="E13" s="30" t="n">
        <v>32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TEXT($G13*$H13,"$#,##0")</f>
        <v/>
      </c>
      <c r="J13" s="21" t="inlineStr">
        <is>
          <t>Security Architecture</t>
        </is>
      </c>
      <c r="K13" s="21" t="inlineStr">
        <is>
          <t>Deliverable: Functional authentication authorization and audit logging</t>
        </is>
      </c>
    </row>
    <row r="14">
      <c r="A14" s="10" t="inlineStr">
        <is>
          <t>Testing</t>
        </is>
      </c>
      <c r="B14" s="10" t="inlineStr">
        <is>
          <t>Unit Testing</t>
        </is>
      </c>
      <c r="C14" s="10" t="inlineStr">
        <is>
          <t>Develop and execute unit tests for all components</t>
        </is>
      </c>
      <c r="D14" s="10" t="inlineStr">
        <is>
          <t>EO Engineer</t>
        </is>
      </c>
      <c r="E14" s="27" t="n">
        <v>32</v>
      </c>
      <c r="F14" s="28">
        <f>'Estimate Settings'!$C$27</f>
        <v/>
      </c>
      <c r="G14" s="10">
        <f>$E14*$F14</f>
        <v/>
      </c>
      <c r="H14" s="29" t="n">
        <v>140</v>
      </c>
      <c r="I14" s="10">
        <f>TEXT($G14*$H14,"$#,##0")</f>
        <v/>
      </c>
      <c r="J14" s="10" t="inlineStr">
        <is>
          <t>Core Application Development</t>
        </is>
      </c>
      <c r="K14" s="10" t="inlineStr">
        <is>
          <t>Automated test suite for regression testing</t>
        </is>
      </c>
    </row>
    <row r="15">
      <c r="A15" s="21" t="inlineStr">
        <is>
          <t>Testing</t>
        </is>
      </c>
      <c r="B15" s="21" t="inlineStr">
        <is>
          <t>Integration Testing</t>
        </is>
      </c>
      <c r="C15" s="21" t="inlineStr">
        <is>
          <t>Test system integrations data flows and API endpoints</t>
        </is>
      </c>
      <c r="D15" s="21" t="inlineStr">
        <is>
          <t>EO Engineer</t>
        </is>
      </c>
      <c r="E15" s="30" t="n">
        <v>40</v>
      </c>
      <c r="F15" s="28">
        <f>'Estimate Settings'!$C$27</f>
        <v/>
      </c>
      <c r="G15" s="21">
        <f>$E15*$F15</f>
        <v/>
      </c>
      <c r="H15" s="31" t="n">
        <v>140</v>
      </c>
      <c r="I15" s="21">
        <f>TEXT($G15*$H15,"$#,##0")</f>
        <v/>
      </c>
      <c r="J15" s="21" t="inlineStr">
        <is>
          <t>Integration Development</t>
        </is>
      </c>
      <c r="K15" s="21" t="inlineStr">
        <is>
          <t>Requires access to customer test environments and systems</t>
        </is>
      </c>
    </row>
    <row r="16">
      <c r="A16" s="10" t="inlineStr">
        <is>
          <t>Testing</t>
        </is>
      </c>
      <c r="B16" s="10" t="inlineStr">
        <is>
          <t>Performance Testing</t>
        </is>
      </c>
      <c r="C16" s="10" t="inlineStr">
        <is>
          <t>Conduct load performance and scalability testing</t>
        </is>
      </c>
      <c r="D16" s="10" t="inlineStr">
        <is>
          <t>EO Engineer</t>
        </is>
      </c>
      <c r="E16" s="27" t="n">
        <v>24</v>
      </c>
      <c r="F16" s="28">
        <f>'Estimate Settings'!$C$27</f>
        <v/>
      </c>
      <c r="G16" s="10">
        <f>$E16*$F16</f>
        <v/>
      </c>
      <c r="H16" s="29" t="n">
        <v>150</v>
      </c>
      <c r="I16" s="10">
        <f>TEXT($G16*$H16,"$#,##0")</f>
        <v/>
      </c>
      <c r="J16" s="10" t="inlineStr">
        <is>
          <t>Integration Testing</t>
        </is>
      </c>
      <c r="K16" s="10" t="inlineStr">
        <is>
          <t>Load testing with expected concurrent user volumes</t>
        </is>
      </c>
    </row>
    <row r="17">
      <c r="A17" s="21" t="inlineStr">
        <is>
          <t>Testing</t>
        </is>
      </c>
      <c r="B17" s="21" t="inlineStr">
        <is>
          <t>Security Testing</t>
        </is>
      </c>
      <c r="C17" s="21" t="inlineStr">
        <is>
          <t>Perform security assessments and vulnerability testing</t>
        </is>
      </c>
      <c r="D17" s="21" t="inlineStr">
        <is>
          <t>EO Engineer</t>
        </is>
      </c>
      <c r="E17" s="30" t="n">
        <v>16</v>
      </c>
      <c r="F17" s="28">
        <f>'Estimate Settings'!$C$27</f>
        <v/>
      </c>
      <c r="G17" s="21">
        <f>$E17*$F17</f>
        <v/>
      </c>
      <c r="H17" s="31" t="n">
        <v>175</v>
      </c>
      <c r="I17" s="21">
        <f>TEXT($G17*$H17,"$#,##0")</f>
        <v/>
      </c>
      <c r="J17" s="21" t="inlineStr">
        <is>
          <t>Security Implementation</t>
        </is>
      </c>
      <c r="K17" s="21" t="inlineStr">
        <is>
          <t>Third-party security assessment may require additional budget</t>
        </is>
      </c>
    </row>
    <row r="18">
      <c r="A18" s="10" t="inlineStr">
        <is>
          <t>Testing</t>
        </is>
      </c>
      <c r="B18" s="10" t="inlineStr">
        <is>
          <t>User Acceptance Testing</t>
        </is>
      </c>
      <c r="C18" s="10" t="inlineStr">
        <is>
          <t>Coordinate and support UAT with business users</t>
        </is>
      </c>
      <c r="D18" s="10" t="inlineStr">
        <is>
          <t>EO Engineer</t>
        </is>
      </c>
      <c r="E18" s="27" t="n">
        <v>32</v>
      </c>
      <c r="F18" s="28">
        <f>'Estimate Settings'!$C$27</f>
        <v/>
      </c>
      <c r="G18" s="10">
        <f>$E18*$F18</f>
        <v/>
      </c>
      <c r="H18" s="29" t="n">
        <v>150</v>
      </c>
      <c r="I18" s="10">
        <f>TEXT($G18*$H18,"$#,##0")</f>
        <v/>
      </c>
      <c r="J18" s="10" t="inlineStr">
        <is>
          <t>Performance Testing</t>
        </is>
      </c>
      <c r="K18" s="10" t="inlineStr">
        <is>
          <t>Customer business users must be available for UAT period</t>
        </is>
      </c>
    </row>
    <row r="19">
      <c r="A19" s="21" t="inlineStr">
        <is>
          <t>Deployment</t>
        </is>
      </c>
      <c r="B19" s="21" t="inlineStr">
        <is>
          <t>Pre-Production Validation</t>
        </is>
      </c>
      <c r="C19" s="21" t="inlineStr">
        <is>
          <t>Validate solution in pre-production environment</t>
        </is>
      </c>
      <c r="D19" s="21" t="inlineStr">
        <is>
          <t>EO Engineer</t>
        </is>
      </c>
      <c r="E19" s="30" t="n">
        <v>16</v>
      </c>
      <c r="F19" s="28">
        <f>'Estimate Settings'!$C$28</f>
        <v/>
      </c>
      <c r="G19" s="21">
        <f>$E19*$F19</f>
        <v/>
      </c>
      <c r="H19" s="31" t="n">
        <v>150</v>
      </c>
      <c r="I19" s="21">
        <f>TEXT($G19*$H19,"$#,##0")</f>
        <v/>
      </c>
      <c r="J19" s="21" t="inlineStr">
        <is>
          <t>User Acceptance Testing</t>
        </is>
      </c>
      <c r="K19" s="21" t="inlineStr">
        <is>
          <t>Final checks before production deployment</t>
        </is>
      </c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</t>
        </is>
      </c>
      <c r="D20" s="10" t="inlineStr">
        <is>
          <t>EO Engineer</t>
        </is>
      </c>
      <c r="E20" s="27" t="n">
        <v>24</v>
      </c>
      <c r="F20" s="28">
        <f>'Estimate Settings'!$C$28</f>
        <v/>
      </c>
      <c r="G20" s="10">
        <f>$E20*$F20</f>
        <v/>
      </c>
      <c r="H20" s="29" t="n">
        <v>160</v>
      </c>
      <c r="I20" s="10">
        <f>TEXT($G20*$H20,"$#,##0")</f>
        <v/>
      </c>
      <c r="J20" s="10" t="inlineStr">
        <is>
          <t>Pre-Production Validation</t>
        </is>
      </c>
      <c r="K20" s="10" t="inlineStr">
        <is>
          <t>Includes deployment runbook and rollback procedures</t>
        </is>
      </c>
    </row>
    <row r="21">
      <c r="A21" s="21" t="inlineStr">
        <is>
          <t>Deployment</t>
        </is>
      </c>
      <c r="B21" s="21" t="inlineStr">
        <is>
          <t>Data Migration</t>
        </is>
      </c>
      <c r="C21" s="21" t="inlineStr">
        <is>
          <t>Migrate existing data to new system</t>
        </is>
      </c>
      <c r="D21" s="21" t="inlineStr">
        <is>
          <t>EO Engineer</t>
        </is>
      </c>
      <c r="E21" s="30" t="n">
        <v>32</v>
      </c>
      <c r="F21" s="28">
        <f>'Estimate Settings'!$C$28</f>
        <v/>
      </c>
      <c r="G21" s="21">
        <f>$E21*$F21</f>
        <v/>
      </c>
      <c r="H21" s="31" t="n">
        <v>155</v>
      </c>
      <c r="I21" s="21">
        <f>TEXT($G21*$H21,"$#,##0")</f>
        <v/>
      </c>
      <c r="J21" s="21" t="inlineStr">
        <is>
          <t>Production Deployment</t>
        </is>
      </c>
      <c r="K21" s="21" t="inlineStr">
        <is>
          <t>Customer responsible for data quality and validation</t>
        </is>
      </c>
    </row>
    <row r="22">
      <c r="A22" s="10" t="inlineStr">
        <is>
          <t>Deployment</t>
        </is>
      </c>
      <c r="B22" s="10" t="inlineStr">
        <is>
          <t>Go-Live Support</t>
        </is>
      </c>
      <c r="C22" s="10" t="inlineStr">
        <is>
          <t>Provide support during initial production rollout</t>
        </is>
      </c>
      <c r="D22" s="10" t="inlineStr">
        <is>
          <t>EO Engineer</t>
        </is>
      </c>
      <c r="E22" s="27" t="n">
        <v>40</v>
      </c>
      <c r="F22" s="28">
        <f>'Estimate Settings'!$C$28</f>
        <v/>
      </c>
      <c r="G22" s="10">
        <f>$E22*$F22</f>
        <v/>
      </c>
      <c r="H22" s="29" t="n">
        <v>130</v>
      </c>
      <c r="I22" s="10">
        <f>TEXT($G22*$H22,"$#,##0")</f>
        <v/>
      </c>
      <c r="J22" s="10" t="inlineStr">
        <is>
          <t>Data Migration</t>
        </is>
      </c>
      <c r="K22" s="10" t="inlineStr">
        <is>
          <t>Includes daily monitoring and rapid issue response during hypercare</t>
        </is>
      </c>
    </row>
    <row r="23">
      <c r="A23" s="21" t="inlineStr">
        <is>
          <t>Training</t>
        </is>
      </c>
      <c r="B23" s="21" t="inlineStr">
        <is>
          <t>Administrator Training</t>
        </is>
      </c>
      <c r="C23" s="21" t="inlineStr">
        <is>
          <t>Train system administrators and technical users</t>
        </is>
      </c>
      <c r="D23" s="21" t="inlineStr">
        <is>
          <t>EO Engineer</t>
        </is>
      </c>
      <c r="E23" s="30" t="n">
        <v>16</v>
      </c>
      <c r="F23" s="28">
        <f>'Estimate Settings'!$C$29</f>
        <v/>
      </c>
      <c r="G23" s="21">
        <f>$E23*$F23</f>
        <v/>
      </c>
      <c r="H23" s="31" t="n">
        <v>140</v>
      </c>
      <c r="I23" s="21">
        <f>TEXT($G23*$H23,"$#,##0")</f>
        <v/>
      </c>
      <c r="J23" s="21" t="inlineStr">
        <is>
          <t>Production Deployment</t>
        </is>
      </c>
      <c r="K23" s="21" t="inlineStr">
        <is>
          <t>Includes system administration and troubleshooting procedures</t>
        </is>
      </c>
    </row>
    <row r="24">
      <c r="A24" s="10" t="inlineStr">
        <is>
          <t>Training</t>
        </is>
      </c>
      <c r="B24" s="10" t="inlineStr">
        <is>
          <t>End User Training</t>
        </is>
      </c>
      <c r="C24" s="10" t="inlineStr">
        <is>
          <t>Train business users on system functionality</t>
        </is>
      </c>
      <c r="D24" s="10" t="inlineStr">
        <is>
          <t>EO Engineer</t>
        </is>
      </c>
      <c r="E24" s="27" t="n">
        <v>24</v>
      </c>
      <c r="F24" s="28">
        <f>'Estimate Settings'!$C$29</f>
        <v/>
      </c>
      <c r="G24" s="10">
        <f>$E24*$F24</f>
        <v/>
      </c>
      <c r="H24" s="29" t="n">
        <v>130</v>
      </c>
      <c r="I24" s="10">
        <f>TEXT($G24*$H24,"$#,##0")</f>
        <v/>
      </c>
      <c r="J24" s="10" t="inlineStr">
        <is>
          <t>Administrator Training</t>
        </is>
      </c>
      <c r="K24" s="10" t="inlineStr">
        <is>
          <t>Role-based training sessions - customer provides training space</t>
        </is>
      </c>
    </row>
    <row r="25">
      <c r="A25" s="21" t="inlineStr">
        <is>
          <t>Training</t>
        </is>
      </c>
      <c r="B25" s="21" t="inlineStr">
        <is>
          <t>Documentation</t>
        </is>
      </c>
      <c r="C25" s="21" t="inlineStr">
        <is>
          <t>Create user manuals technical documentation and runbooks</t>
        </is>
      </c>
      <c r="D25" s="21" t="inlineStr">
        <is>
          <t>EO Engineer</t>
        </is>
      </c>
      <c r="E25" s="30" t="n">
        <v>32</v>
      </c>
      <c r="F25" s="28">
        <f>'Estimate Settings'!$C$29</f>
        <v/>
      </c>
      <c r="G25" s="21">
        <f>$E25*$F25</f>
        <v/>
      </c>
      <c r="H25" s="31" t="n">
        <v>120</v>
      </c>
      <c r="I25" s="21">
        <f>TEXT($G25*$H25,"$#,##0")</f>
        <v/>
      </c>
      <c r="J25" s="21" t="inlineStr">
        <is>
          <t>End User Training</t>
        </is>
      </c>
      <c r="K25" s="21" t="inlineStr">
        <is>
          <t>Deliverable: User guides administrator guides and runbooks</t>
        </is>
      </c>
    </row>
    <row r="26">
      <c r="A26" s="10" t="inlineStr">
        <is>
          <t>Closeout</t>
        </is>
      </c>
      <c r="B26" s="10" t="inlineStr">
        <is>
          <t>Knowledge Transfer</t>
        </is>
      </c>
      <c r="C26" s="10" t="inlineStr">
        <is>
          <t>Transfer ownership to operations and support teams</t>
        </is>
      </c>
      <c r="D26" s="10" t="inlineStr">
        <is>
          <t>EO Engineer</t>
        </is>
      </c>
      <c r="E26" s="27" t="n">
        <v>16</v>
      </c>
      <c r="F26" s="28">
        <f>'Estimate Settings'!$C$30</f>
        <v/>
      </c>
      <c r="G26" s="10">
        <f>$E26*$F26</f>
        <v/>
      </c>
      <c r="H26" s="29" t="n">
        <v>140</v>
      </c>
      <c r="I26" s="10">
        <f>TEXT($G26*$H26,"$#,##0")</f>
        <v/>
      </c>
      <c r="J26" s="10" t="inlineStr">
        <is>
          <t>Documentation</t>
        </is>
      </c>
      <c r="K26" s="10" t="inlineStr">
        <is>
          <t>Comprehensive handover to customer operations team</t>
        </is>
      </c>
    </row>
    <row r="27">
      <c r="A27" s="21" t="inlineStr">
        <is>
          <t>Closeout</t>
        </is>
      </c>
      <c r="B27" s="21" t="inlineStr">
        <is>
          <t>Performance Baseline</t>
        </is>
      </c>
      <c r="C27" s="21" t="inlineStr">
        <is>
          <t>Establish performance metrics and monitoring baselines</t>
        </is>
      </c>
      <c r="D27" s="21" t="inlineStr">
        <is>
          <t>EO Engineer</t>
        </is>
      </c>
      <c r="E27" s="30" t="n">
        <v>8</v>
      </c>
      <c r="F27" s="28">
        <f>'Estimate Settings'!$C$30</f>
        <v/>
      </c>
      <c r="G27" s="21">
        <f>$E27*$F27</f>
        <v/>
      </c>
      <c r="H27" s="31" t="n">
        <v>130</v>
      </c>
      <c r="I27" s="21">
        <f>TEXT($G27*$H27,"$#,##0")</f>
        <v/>
      </c>
      <c r="J27" s="21" t="inlineStr">
        <is>
          <t>Knowledge Transfer</t>
        </is>
      </c>
      <c r="K27" s="21" t="inlineStr">
        <is>
          <t>Establishes SLA metrics and monitoring thresholds</t>
        </is>
      </c>
    </row>
    <row r="28">
      <c r="A28" s="10" t="inlineStr">
        <is>
          <t>Management</t>
        </is>
      </c>
      <c r="B28" s="10" t="inlineStr">
        <is>
          <t>Technical Leadership</t>
        </is>
      </c>
      <c r="C28" s="10" t="inlineStr">
        <is>
          <t>Quarterback technical oversight and architecture review</t>
        </is>
      </c>
      <c r="D28" s="10" t="inlineStr">
        <is>
          <t>EO Quarterback</t>
        </is>
      </c>
      <c r="E28" s="10">
        <f>ROUND(SUM($G$2:$G$27)*0.10,0)</f>
        <v/>
      </c>
      <c r="F28" s="28">
        <f>'Estimate Settings'!$C$32</f>
        <v/>
      </c>
      <c r="G28" s="10">
        <f>$E28*$F28</f>
        <v/>
      </c>
      <c r="H28" s="29" t="n">
        <v>200</v>
      </c>
      <c r="I28" s="10">
        <f>TEXT($G28*$H28,"$#,##0")</f>
        <v/>
      </c>
      <c r="J28" s="10" t="inlineStr"/>
      <c r="K28" s="10" t="inlineStr">
        <is>
          <t>Solution architecture review and technical escalation support</t>
        </is>
      </c>
    </row>
    <row r="29">
      <c r="A29" s="21" t="inlineStr">
        <is>
          <t>Management</t>
        </is>
      </c>
      <c r="B29" s="21" t="inlineStr">
        <is>
          <t>Project Management</t>
        </is>
      </c>
      <c r="C29" s="21" t="inlineStr">
        <is>
          <t>Project coordination planning and management activities</t>
        </is>
      </c>
      <c r="D29" s="21" t="inlineStr">
        <is>
          <t>EO Project Manager</t>
        </is>
      </c>
      <c r="E29" s="21">
        <f>ROUND(SUM($G$2:$G$27)*0.10,0)</f>
        <v/>
      </c>
      <c r="F29" s="28">
        <f>'Estimate Settings'!$C$31</f>
        <v/>
      </c>
      <c r="G29" s="21">
        <f>$E29*$F29</f>
        <v/>
      </c>
      <c r="H29" s="31" t="n">
        <v>150</v>
      </c>
      <c r="I29" s="21">
        <f>TEXT($G29*$H29,"$#,##0")</f>
        <v/>
      </c>
      <c r="J29" s="21" t="inlineStr"/>
      <c r="K29" s="21" t="inlineStr">
        <is>
          <t>Includes weekly status reporting and risk management</t>
        </is>
      </c>
    </row>
    <row r="30">
      <c r="A30" s="28" t="inlineStr"/>
      <c r="B30" s="28" t="inlineStr"/>
      <c r="C30" s="28" t="inlineStr"/>
      <c r="D30" s="28" t="inlineStr"/>
      <c r="E30" s="32" t="inlineStr"/>
      <c r="F30" s="16" t="inlineStr">
        <is>
          <t>TOTAL HOURS</t>
        </is>
      </c>
      <c r="G30" s="16">
        <f>SUM($G$2:$G$29)</f>
        <v/>
      </c>
      <c r="H30" s="16" t="inlineStr">
        <is>
          <t>TOTAL COST</t>
        </is>
      </c>
      <c r="I30" s="16">
        <f>TEXT(SUMPRODUCT($G$2:$G$29,$H$2:$H$29),"$#,##0")</f>
        <v/>
      </c>
      <c r="J30" s="28" t="inlineStr"/>
      <c r="K30" s="16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2025-11-18T09:36:54Z</dcterms:modified>
</cp:coreProperties>
</file>