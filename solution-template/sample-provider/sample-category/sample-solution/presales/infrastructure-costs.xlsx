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6" borderId="4" applyAlignment="1" pivotButton="0" quotePrefix="0" xfId="0">
      <alignment vertical="top" wrapText="1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2" fillId="4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vertical="top" wrapText="1"/>
    </xf>
    <xf numFmtId="0" fontId="12" fillId="4" borderId="2" applyAlignment="1" pivotButton="0" quotePrefix="0" xfId="0">
      <alignment horizontal="right" vertical="center" wrapText="1" indent="1"/>
    </xf>
    <xf numFmtId="164" fontId="12" fillId="4" borderId="2" applyAlignment="1" pivotButton="0" quotePrefix="0" xfId="0">
      <alignment horizontal="righ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right" vertical="center" wrapText="1" indent="1"/>
    </xf>
    <xf numFmtId="164" fontId="12" fillId="0" borderId="2" applyAlignment="1" pivotButton="0" quotePrefix="0" xfId="0">
      <alignment horizontal="right" vertical="center" wrapText="1" indent="1"/>
    </xf>
    <xf numFmtId="0" fontId="14" fillId="5" borderId="2" applyAlignment="1" pivotButton="0" quotePrefix="0" xfId="0">
      <alignment horizontal="left" vertical="center" wrapText="1" indent="1"/>
    </xf>
    <xf numFmtId="164" fontId="14" fillId="5" borderId="2" applyAlignment="1" pivotButton="0" quotePrefix="0" xfId="0">
      <alignment horizontal="righ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/>
    </xf>
    <xf numFmtId="0" fontId="2" fillId="4" borderId="5" applyAlignment="1" pivotButton="0" quotePrefix="0" xfId="0">
      <alignment horizontal="left" vertical="center" wrapText="1"/>
    </xf>
    <xf numFmtId="0" fontId="15" fillId="10" borderId="5" applyAlignment="1" pivotButton="0" quotePrefix="0" xfId="0">
      <alignment horizontal="left" vertical="center" wrapText="1"/>
    </xf>
    <xf numFmtId="0" fontId="2" fillId="10" borderId="5" applyAlignment="1" pivotButton="0" quotePrefix="0" xfId="0">
      <alignment horizontal="left" vertical="center" wrapText="1"/>
    </xf>
    <xf numFmtId="0" fontId="18" fillId="4" borderId="5" applyAlignment="1" pivotButton="0" quotePrefix="0" xfId="0">
      <alignment horizontal="left" vertical="center" wrapText="1"/>
    </xf>
    <xf numFmtId="0" fontId="17" fillId="4" borderId="5" applyAlignment="1" pivotButton="0" quotePrefix="0" xfId="0">
      <alignment horizontal="left" vertical="center" wrapTex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/>
    </xf>
    <xf numFmtId="0" fontId="17" fillId="10" borderId="5" applyAlignment="1" pivotButton="0" quotePrefix="0" xfId="0">
      <alignment horizontal="left" vertical="center" wrapTex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  <xf numFmtId="0" fontId="17" fillId="4" borderId="5" applyAlignment="1" pivotButton="0" quotePrefix="0" xfId="0">
      <alignment horizontal="right" vertical="center" wrapText="1"/>
    </xf>
    <xf numFmtId="0" fontId="17" fillId="10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7" t="inlineStr">
        <is>
          <t>[DOCUMENT TITLE]</t>
        </is>
      </c>
    </row>
    <row r="4" ht="25" customHeight="1">
      <c r="B4" s="16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19,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2" t="inlineStr">
        <is>
          <t>Sizing Guidelines</t>
        </is>
      </c>
    </row>
    <row r="2" ht="32" customHeight="1">
      <c r="A2" s="33" t="inlineStr">
        <is>
          <t>Category</t>
        </is>
      </c>
      <c r="B2" s="33" t="inlineStr">
        <is>
          <t>Component</t>
        </is>
      </c>
      <c r="C2" s="33" t="inlineStr">
        <is>
          <t>Small</t>
        </is>
      </c>
      <c r="D2" s="33" t="inlineStr">
        <is>
          <t>Medium</t>
        </is>
      </c>
      <c r="E2" s="33" t="inlineStr">
        <is>
          <t>Large</t>
        </is>
      </c>
      <c r="F2" s="33" t="inlineStr">
        <is>
          <t>Notes</t>
        </is>
      </c>
    </row>
    <row r="3" ht="26" customHeight="1">
      <c r="A3" s="34" t="inlineStr">
        <is>
          <t>Cloud Infrastructure</t>
        </is>
      </c>
      <c r="B3" s="35" t="inlineStr">
        <is>
          <t>Compute Instances</t>
        </is>
      </c>
      <c r="C3" s="35" t="inlineStr">
        <is>
          <t>2-4 instances</t>
        </is>
      </c>
      <c r="D3" s="35" t="inlineStr">
        <is>
          <t>5-10 instances</t>
        </is>
      </c>
      <c r="E3" s="35" t="inlineStr">
        <is>
          <t>15+ instances</t>
        </is>
      </c>
      <c r="F3" s="35" t="inlineStr">
        <is>
          <t>Production workload capacity</t>
        </is>
      </c>
    </row>
    <row r="4" ht="26" customHeight="1">
      <c r="A4" s="36" t="inlineStr">
        <is>
          <t>Cloud Infrastructure</t>
        </is>
      </c>
      <c r="B4" s="37" t="inlineStr">
        <is>
          <t>Storage Volume</t>
        </is>
      </c>
      <c r="C4" s="37" t="inlineStr">
        <is>
          <t>100 GB</t>
        </is>
      </c>
      <c r="D4" s="37" t="inlineStr">
        <is>
          <t>500 GB - 1 TB</t>
        </is>
      </c>
      <c r="E4" s="37" t="inlineStr">
        <is>
          <t>2+ TB</t>
        </is>
      </c>
      <c r="F4" s="37" t="inlineStr">
        <is>
          <t>Based on data requirements</t>
        </is>
      </c>
    </row>
    <row r="5" ht="26" customHeight="1">
      <c r="A5" s="34" t="inlineStr">
        <is>
          <t>Cloud Infrastructure</t>
        </is>
      </c>
      <c r="B5" s="35" t="inlineStr">
        <is>
          <t>Database Size</t>
        </is>
      </c>
      <c r="C5" s="35" t="inlineStr">
        <is>
          <t>Small/Standard tier</t>
        </is>
      </c>
      <c r="D5" s="35" t="inlineStr">
        <is>
          <t>Medium tier</t>
        </is>
      </c>
      <c r="E5" s="35" t="inlineStr">
        <is>
          <t>Large/Enterprise tier</t>
        </is>
      </c>
      <c r="F5" s="35" t="inlineStr">
        <is>
          <t>Based on transaction volume</t>
        </is>
      </c>
    </row>
    <row r="6" ht="26" customHeight="1">
      <c r="A6" s="36" t="inlineStr">
        <is>
          <t>Software Licenses</t>
        </is>
      </c>
      <c r="B6" s="37" t="inlineStr">
        <is>
          <t>User Licenses</t>
        </is>
      </c>
      <c r="C6" s="37" t="inlineStr">
        <is>
          <t>10-50 users</t>
        </is>
      </c>
      <c r="D6" s="37" t="inlineStr">
        <is>
          <t>50-250 users</t>
        </is>
      </c>
      <c r="E6" s="37" t="inlineStr">
        <is>
          <t>500+ users</t>
        </is>
      </c>
      <c r="F6" s="37" t="inlineStr">
        <is>
          <t>Concurrent or named users</t>
        </is>
      </c>
    </row>
    <row r="7" ht="26" customHeight="1">
      <c r="A7" s="34" t="inlineStr">
        <is>
          <t>Software Licenses</t>
        </is>
      </c>
      <c r="B7" s="35" t="inlineStr">
        <is>
          <t>Monitoring Tools</t>
        </is>
      </c>
      <c r="C7" s="35" t="inlineStr">
        <is>
          <t>Basic monitoring</t>
        </is>
      </c>
      <c r="D7" s="35" t="inlineStr">
        <is>
          <t>Advanced APM</t>
        </is>
      </c>
      <c r="E7" s="35" t="inlineStr">
        <is>
          <t>Enterprise observability</t>
        </is>
      </c>
      <c r="F7" s="35" t="inlineStr">
        <is>
          <t>Application performance monitoring</t>
        </is>
      </c>
    </row>
    <row r="8" ht="26" customHeight="1">
      <c r="A8" s="36" t="inlineStr">
        <is>
          <t>Support &amp; Maintenance</t>
        </is>
      </c>
      <c r="B8" s="37" t="inlineStr">
        <is>
          <t>Support Level</t>
        </is>
      </c>
      <c r="C8" s="37" t="inlineStr">
        <is>
          <t>Business hours</t>
        </is>
      </c>
      <c r="D8" s="37" t="inlineStr">
        <is>
          <t>24x5 support</t>
        </is>
      </c>
      <c r="E8" s="37" t="inlineStr">
        <is>
          <t>24x7 premium</t>
        </is>
      </c>
      <c r="F8" s="37" t="inlineStr">
        <is>
          <t>SLA requirements</t>
        </is>
      </c>
    </row>
    <row r="9" ht="26" customHeight="1">
      <c r="A9" s="34" t="inlineStr">
        <is>
          <t>Hardware/Equipment</t>
        </is>
      </c>
      <c r="B9" s="35" t="inlineStr">
        <is>
          <t>Network Devices</t>
        </is>
      </c>
      <c r="C9" s="35" t="inlineStr">
        <is>
          <t>0-2 devices</t>
        </is>
      </c>
      <c r="D9" s="35" t="inlineStr">
        <is>
          <t>3-5 devices</t>
        </is>
      </c>
      <c r="E9" s="35" t="inlineStr">
        <is>
          <t>10+ devices</t>
        </is>
      </c>
      <c r="F9" s="35" t="inlineStr">
        <is>
          <t>Based on site count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2" t="inlineStr">
        <is>
          <t>Infrastructure Costs</t>
        </is>
      </c>
    </row>
    <row r="2" ht="32" customHeight="1">
      <c r="A2" s="33" t="inlineStr">
        <is>
          <t>Category</t>
        </is>
      </c>
      <c r="B2" s="33" t="inlineStr">
        <is>
          <t>Component</t>
        </is>
      </c>
      <c r="C2" s="33" t="inlineStr">
        <is>
          <t>Description</t>
        </is>
      </c>
      <c r="D2" s="33" t="inlineStr">
        <is>
          <t>Quantity</t>
        </is>
      </c>
      <c r="E2" s="33" t="inlineStr">
        <is>
          <t>Unit</t>
        </is>
      </c>
      <c r="F2" s="33" t="inlineStr">
        <is>
          <t>Unit Price</t>
        </is>
      </c>
      <c r="G2" s="33" t="inlineStr">
        <is>
          <t>Annual Cost</t>
        </is>
      </c>
      <c r="H2" s="33" t="inlineStr">
        <is>
          <t>Year 2</t>
        </is>
      </c>
      <c r="I2" s="33" t="inlineStr">
        <is>
          <t>Year 3</t>
        </is>
      </c>
      <c r="J2" s="33" t="inlineStr">
        <is>
          <t>3-Year Total</t>
        </is>
      </c>
      <c r="K2" s="33" t="inlineStr">
        <is>
          <t>Notes</t>
        </is>
      </c>
    </row>
    <row r="3" ht="20" customHeight="1">
      <c r="A3" s="38" t="inlineStr">
        <is>
          <t>Cloud Infrastructure</t>
        </is>
      </c>
      <c r="B3" s="39" t="inlineStr">
        <is>
          <t>Compute Instance</t>
        </is>
      </c>
      <c r="C3" s="39" t="inlineStr">
        <is>
          <t>Cloud VM or equivalent</t>
        </is>
      </c>
      <c r="D3" s="40" t="n">
        <v>2</v>
      </c>
      <c r="E3" s="39" t="inlineStr">
        <is>
          <t>Instance/Month</t>
        </is>
      </c>
      <c r="F3" s="41" t="n">
        <v>150</v>
      </c>
      <c r="G3" s="41">
        <f>D3*F3*12</f>
        <v/>
      </c>
      <c r="H3" s="41">
        <f>G3</f>
        <v/>
      </c>
      <c r="I3" s="41">
        <f>G3</f>
        <v/>
      </c>
      <c r="J3" s="41">
        <f>G3+H3+I3</f>
        <v/>
      </c>
      <c r="K3" s="39" t="inlineStr">
        <is>
          <t>Production workloads</t>
        </is>
      </c>
    </row>
    <row r="4" ht="20" customHeight="1">
      <c r="A4" s="42" t="inlineStr">
        <is>
          <t>Cloud Infrastructure</t>
        </is>
      </c>
      <c r="B4" s="43" t="inlineStr">
        <is>
          <t>Database</t>
        </is>
      </c>
      <c r="C4" s="43" t="inlineStr">
        <is>
          <t>Managed database service</t>
        </is>
      </c>
      <c r="D4" s="44" t="n">
        <v>1</v>
      </c>
      <c r="E4" s="43" t="inlineStr">
        <is>
          <t>Instance/Month</t>
        </is>
      </c>
      <c r="F4" s="45" t="n">
        <v>200</v>
      </c>
      <c r="G4" s="45">
        <f>D4*F4*12</f>
        <v/>
      </c>
      <c r="H4" s="45">
        <f>G4</f>
        <v/>
      </c>
      <c r="I4" s="45">
        <f>G4</f>
        <v/>
      </c>
      <c r="J4" s="45">
        <f>G4+H4+I4</f>
        <v/>
      </c>
      <c r="K4" s="43" t="inlineStr">
        <is>
          <t>Relational database</t>
        </is>
      </c>
    </row>
    <row r="5" ht="20" customHeight="1">
      <c r="A5" s="38" t="inlineStr">
        <is>
          <t>Cloud Infrastructure</t>
        </is>
      </c>
      <c r="B5" s="39" t="inlineStr">
        <is>
          <t>Storage</t>
        </is>
      </c>
      <c r="C5" s="39" t="inlineStr">
        <is>
          <t>Object storage</t>
        </is>
      </c>
      <c r="D5" s="40" t="n">
        <v>100</v>
      </c>
      <c r="E5" s="39" t="inlineStr">
        <is>
          <t>GB/Month</t>
        </is>
      </c>
      <c r="F5" s="41" t="n">
        <v>0.023</v>
      </c>
      <c r="G5" s="41">
        <f>D5*F5*12</f>
        <v/>
      </c>
      <c r="H5" s="41">
        <f>G5</f>
        <v/>
      </c>
      <c r="I5" s="41">
        <f>G5</f>
        <v/>
      </c>
      <c r="J5" s="41">
        <f>G5+H5+I5</f>
        <v/>
      </c>
      <c r="K5" s="39" t="inlineStr">
        <is>
          <t>Data storage</t>
        </is>
      </c>
    </row>
    <row r="6" ht="20" customHeight="1">
      <c r="A6" s="42" t="inlineStr">
        <is>
          <t>Cloud Infrastructure</t>
        </is>
      </c>
      <c r="B6" s="43" t="inlineStr">
        <is>
          <t>Data Transfer</t>
        </is>
      </c>
      <c r="C6" s="43" t="inlineStr">
        <is>
          <t>Outbound transfer</t>
        </is>
      </c>
      <c r="D6" s="44" t="n">
        <v>50</v>
      </c>
      <c r="E6" s="43" t="inlineStr">
        <is>
          <t>GB/Month</t>
        </is>
      </c>
      <c r="F6" s="45" t="n">
        <v>0.09</v>
      </c>
      <c r="G6" s="45">
        <f>D6*F6*12</f>
        <v/>
      </c>
      <c r="H6" s="45">
        <f>G6</f>
        <v/>
      </c>
      <c r="I6" s="45">
        <f>G6</f>
        <v/>
      </c>
      <c r="J6" s="45">
        <f>G6+H6+I6</f>
        <v/>
      </c>
      <c r="K6" s="43" t="inlineStr">
        <is>
          <t>Egress charges</t>
        </is>
      </c>
    </row>
    <row r="7" ht="20" customHeight="1">
      <c r="A7" s="38" t="inlineStr">
        <is>
          <t>Software Licenses</t>
        </is>
      </c>
      <c r="B7" s="39" t="inlineStr">
        <is>
          <t>Monitoring</t>
        </is>
      </c>
      <c r="C7" s="39" t="inlineStr">
        <is>
          <t>Application monitoring</t>
        </is>
      </c>
      <c r="D7" s="40" t="n">
        <v>1</v>
      </c>
      <c r="E7" s="39" t="inlineStr">
        <is>
          <t>Service/Month</t>
        </is>
      </c>
      <c r="F7" s="41" t="n">
        <v>50</v>
      </c>
      <c r="G7" s="41">
        <f>D7*F7*12</f>
        <v/>
      </c>
      <c r="H7" s="41">
        <f>G7</f>
        <v/>
      </c>
      <c r="I7" s="41">
        <f>G7</f>
        <v/>
      </c>
      <c r="J7" s="41">
        <f>G7+H7+I7</f>
        <v/>
      </c>
      <c r="K7" s="39" t="inlineStr">
        <is>
          <t>Metrics and logging</t>
        </is>
      </c>
    </row>
    <row r="8" ht="20" customHeight="1">
      <c r="A8" s="42" t="inlineStr">
        <is>
          <t>Software Licenses</t>
        </is>
      </c>
      <c r="B8" s="43" t="inlineStr">
        <is>
          <t>Security</t>
        </is>
      </c>
      <c r="C8" s="43" t="inlineStr">
        <is>
          <t>Web application firewall</t>
        </is>
      </c>
      <c r="D8" s="44" t="n">
        <v>1</v>
      </c>
      <c r="E8" s="43" t="inlineStr">
        <is>
          <t>Service/Month</t>
        </is>
      </c>
      <c r="F8" s="45" t="n">
        <v>25</v>
      </c>
      <c r="G8" s="45">
        <f>D8*F8*12</f>
        <v/>
      </c>
      <c r="H8" s="45">
        <f>G8</f>
        <v/>
      </c>
      <c r="I8" s="45">
        <f>G8</f>
        <v/>
      </c>
      <c r="J8" s="45">
        <f>G8+H8+I8</f>
        <v/>
      </c>
      <c r="K8" s="43" t="inlineStr">
        <is>
          <t>Security controls</t>
        </is>
      </c>
    </row>
    <row r="9" ht="20" customHeight="1">
      <c r="A9" s="38" t="inlineStr">
        <is>
          <t>Support &amp; Maintenance</t>
        </is>
      </c>
      <c r="B9" s="39" t="inlineStr">
        <is>
          <t>Cloud Support</t>
        </is>
      </c>
      <c r="C9" s="39" t="inlineStr">
        <is>
          <t>Provider support plan</t>
        </is>
      </c>
      <c r="D9" s="40" t="n">
        <v>1</v>
      </c>
      <c r="E9" s="39" t="inlineStr">
        <is>
          <t>Plan/Month</t>
        </is>
      </c>
      <c r="F9" s="41" t="n">
        <v>100</v>
      </c>
      <c r="G9" s="41">
        <f>D9*F9*12</f>
        <v/>
      </c>
      <c r="H9" s="41">
        <f>G9</f>
        <v/>
      </c>
      <c r="I9" s="41">
        <f>G9</f>
        <v/>
      </c>
      <c r="J9" s="41">
        <f>G9+H9+I9</f>
        <v/>
      </c>
      <c r="K9" s="39" t="inlineStr">
        <is>
          <t>Technical support</t>
        </is>
      </c>
    </row>
    <row r="10" ht="20" customHeight="1">
      <c r="A10" s="42" t="inlineStr">
        <is>
          <t>Hardware/Equipment</t>
        </is>
      </c>
      <c r="B10" s="43" t="inlineStr">
        <is>
          <t>Network Switch</t>
        </is>
      </c>
      <c r="C10" s="43" t="inlineStr">
        <is>
          <t>Network equipment</t>
        </is>
      </c>
      <c r="D10" s="44" t="n">
        <v>0</v>
      </c>
      <c r="E10" s="43" t="inlineStr">
        <is>
          <t>Device</t>
        </is>
      </c>
      <c r="F10" s="45" t="n">
        <v>2500</v>
      </c>
      <c r="G10" s="45">
        <f>D10*F10</f>
        <v/>
      </c>
      <c r="H10" s="45">
        <f>G10</f>
        <v/>
      </c>
      <c r="I10" s="45">
        <f>G10</f>
        <v/>
      </c>
      <c r="J10" s="45">
        <f>G10+H10+I10</f>
        <v/>
      </c>
      <c r="K10" s="43" t="inlineStr">
        <is>
          <t>Optional on-premises</t>
        </is>
      </c>
    </row>
    <row r="11" ht="26" customHeight="1">
      <c r="A11" s="46" t="inlineStr">
        <is>
          <t>TOTAL</t>
        </is>
      </c>
      <c r="B11" s="47" t="n"/>
      <c r="C11" s="47" t="n"/>
      <c r="D11" s="47" t="n"/>
      <c r="E11" s="47" t="n"/>
      <c r="F11" s="47" t="n"/>
      <c r="G11" s="48">
        <f>SUM(G3:G10)</f>
        <v/>
      </c>
      <c r="H11" s="48">
        <f>SUM(H3:H10)</f>
        <v/>
      </c>
      <c r="I11" s="48">
        <f>SUM(I3:I10)</f>
        <v/>
      </c>
      <c r="J11" s="48">
        <f>SUM(J3:J10)</f>
        <v/>
      </c>
      <c r="K11" s="47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2" t="inlineStr">
        <is>
          <t>Credits</t>
        </is>
      </c>
    </row>
    <row r="2" ht="32" customHeight="1">
      <c r="A2" s="33" t="inlineStr">
        <is>
          <t>Category</t>
        </is>
      </c>
      <c r="B2" s="33" t="inlineStr">
        <is>
          <t>Credit Type</t>
        </is>
      </c>
      <c r="C2" s="33" t="inlineStr">
        <is>
          <t>Credit Amount</t>
        </is>
      </c>
      <c r="D2" s="33" t="inlineStr">
        <is>
          <t>Credit Comments</t>
        </is>
      </c>
    </row>
    <row r="3" ht="20" customHeight="1">
      <c r="A3" s="38" t="inlineStr">
        <is>
          <t>Cloud Infrastructure</t>
        </is>
      </c>
      <c r="B3" s="49" t="inlineStr">
        <is>
          <t>Provider Credit</t>
        </is>
      </c>
      <c r="C3" s="41" t="n">
        <v>-1800</v>
      </c>
      <c r="D3" s="49" t="inlineStr">
        <is>
          <t>30% credit on eligible compute and database services</t>
        </is>
      </c>
    </row>
    <row r="4" ht="20" customHeight="1">
      <c r="A4" s="42" t="inlineStr">
        <is>
          <t>Software Licenses</t>
        </is>
      </c>
      <c r="B4" s="50" t="inlineStr">
        <is>
          <t>Partner Credit</t>
        </is>
      </c>
      <c r="C4" s="45" t="n">
        <v>0</v>
      </c>
      <c r="D4" s="50" t="inlineStr">
        <is>
          <t>No software credits available</t>
        </is>
      </c>
    </row>
    <row r="5" ht="20" customHeight="1">
      <c r="A5" s="38" t="inlineStr">
        <is>
          <t>Support &amp; Maintenance</t>
        </is>
      </c>
      <c r="B5" s="49" t="inlineStr">
        <is>
          <t>Program Credit</t>
        </is>
      </c>
      <c r="C5" s="41" t="n">
        <v>0</v>
      </c>
      <c r="D5" s="49" t="inlineStr">
        <is>
          <t>No support credits available</t>
        </is>
      </c>
    </row>
    <row r="6" ht="20" customHeight="1">
      <c r="A6" s="42" t="inlineStr">
        <is>
          <t>Hardware/Equipment</t>
        </is>
      </c>
      <c r="B6" s="50" t="inlineStr">
        <is>
          <t>Equipment Credit</t>
        </is>
      </c>
      <c r="C6" s="45" t="n">
        <v>0</v>
      </c>
      <c r="D6" s="50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2" t="inlineStr">
        <is>
          <t>3-Year Summary</t>
        </is>
      </c>
    </row>
    <row r="2" ht="32" customHeight="1">
      <c r="A2" s="33" t="inlineStr">
        <is>
          <t>Category</t>
        </is>
      </c>
      <c r="B2" s="33" t="inlineStr">
        <is>
          <t>Year 1 List</t>
        </is>
      </c>
      <c r="C2" s="33" t="inlineStr">
        <is>
          <t>Year 1 Credits</t>
        </is>
      </c>
      <c r="D2" s="33" t="inlineStr">
        <is>
          <t>Year 1 Net</t>
        </is>
      </c>
      <c r="E2" s="33" t="inlineStr">
        <is>
          <t>Year 2</t>
        </is>
      </c>
      <c r="F2" s="33" t="inlineStr">
        <is>
          <t>Year 3</t>
        </is>
      </c>
      <c r="G2" s="33" t="inlineStr">
        <is>
          <t>3-Year Total</t>
        </is>
      </c>
    </row>
    <row r="3" ht="20" customHeight="1">
      <c r="A3" s="38" t="inlineStr">
        <is>
          <t>Cloud Infrastructure</t>
        </is>
      </c>
      <c r="B3" s="41">
        <f>SUMIF('Infrastructure Costs'!$A:$A,A3,'Infrastructure Costs'!$G:$G)</f>
        <v/>
      </c>
      <c r="C3" s="41">
        <f>SUMIF(Credits!$A:$A,A3,Credits!$C:$C)</f>
        <v/>
      </c>
      <c r="D3" s="41">
        <f>B3+C3</f>
        <v/>
      </c>
      <c r="E3" s="41">
        <f>SUMIF('Infrastructure Costs'!$A:$A,A3,'Infrastructure Costs'!$H:$H)</f>
        <v/>
      </c>
      <c r="F3" s="41">
        <f>SUMIF('Infrastructure Costs'!$A:$A,A3,'Infrastructure Costs'!$I:$I)</f>
        <v/>
      </c>
      <c r="G3" s="41">
        <f>D3+E3+F3</f>
        <v/>
      </c>
    </row>
    <row r="4" ht="20" customHeight="1">
      <c r="A4" s="42" t="inlineStr">
        <is>
          <t>Software Licenses</t>
        </is>
      </c>
      <c r="B4" s="45">
        <f>SUMIF('Infrastructure Costs'!$A:$A,A4,'Infrastructure Costs'!$G:$G)</f>
        <v/>
      </c>
      <c r="C4" s="45">
        <f>SUMIF(Credits!$A:$A,A4,Credits!$C:$C)</f>
        <v/>
      </c>
      <c r="D4" s="45">
        <f>B4+C4</f>
        <v/>
      </c>
      <c r="E4" s="45">
        <f>SUMIF('Infrastructure Costs'!$A:$A,A4,'Infrastructure Costs'!$H:$H)</f>
        <v/>
      </c>
      <c r="F4" s="45">
        <f>SUMIF('Infrastructure Costs'!$A:$A,A4,'Infrastructure Costs'!$I:$I)</f>
        <v/>
      </c>
      <c r="G4" s="45">
        <f>D4+E4+F4</f>
        <v/>
      </c>
    </row>
    <row r="5" ht="20" customHeight="1">
      <c r="A5" s="38" t="inlineStr">
        <is>
          <t>Support &amp; Maintenance</t>
        </is>
      </c>
      <c r="B5" s="41">
        <f>SUMIF('Infrastructure Costs'!$A:$A,A5,'Infrastructure Costs'!$G:$G)</f>
        <v/>
      </c>
      <c r="C5" s="41">
        <f>SUMIF(Credits!$A:$A,A5,Credits!$C:$C)</f>
        <v/>
      </c>
      <c r="D5" s="41">
        <f>B5+C5</f>
        <v/>
      </c>
      <c r="E5" s="41">
        <f>SUMIF('Infrastructure Costs'!$A:$A,A5,'Infrastructure Costs'!$H:$H)</f>
        <v/>
      </c>
      <c r="F5" s="41">
        <f>SUMIF('Infrastructure Costs'!$A:$A,A5,'Infrastructure Costs'!$I:$I)</f>
        <v/>
      </c>
      <c r="G5" s="41">
        <f>D5+E5+F5</f>
        <v/>
      </c>
    </row>
    <row r="6" ht="20" customHeight="1">
      <c r="A6" s="42" t="inlineStr">
        <is>
          <t>Hardware/Equipment</t>
        </is>
      </c>
      <c r="B6" s="45">
        <f>SUMIF('Infrastructure Costs'!$A:$A,A6,'Infrastructure Costs'!$G:$G)</f>
        <v/>
      </c>
      <c r="C6" s="45">
        <f>SUMIF(Credits!$A:$A,A6,Credits!$C:$C)</f>
        <v/>
      </c>
      <c r="D6" s="45">
        <f>B6+C6</f>
        <v/>
      </c>
      <c r="E6" s="45">
        <f>SUMIF('Infrastructure Costs'!$A:$A,A6,'Infrastructure Costs'!$H:$H)</f>
        <v/>
      </c>
      <c r="F6" s="45">
        <f>SUMIF('Infrastructure Costs'!$A:$A,A6,'Infrastructure Costs'!$I:$I)</f>
        <v/>
      </c>
      <c r="G6" s="45">
        <f>D6+E6+F6</f>
        <v/>
      </c>
    </row>
    <row r="7" ht="20" customHeight="1">
      <c r="A7" s="46" t="inlineStr">
        <is>
          <t>TOTAL</t>
        </is>
      </c>
      <c r="B7" s="48">
        <f>SUM(B3:B6)</f>
        <v/>
      </c>
      <c r="C7" s="48">
        <f>SUM(C3:C6)</f>
        <v/>
      </c>
      <c r="D7" s="48">
        <f>SUM(D3:D6)</f>
        <v/>
      </c>
      <c r="E7" s="48">
        <f>SUM(E3:E6)</f>
        <v/>
      </c>
      <c r="F7" s="48">
        <f>SUM(F3:F6)</f>
        <v/>
      </c>
      <c r="G7" s="48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2025-11-19T21:45:48Z</dcterms:modified>
  <cp:lastModifiedBy>Kishan Siram</cp:lastModifiedBy>
</cp:coreProperties>
</file>