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Guidelines'!$A$2:$F$11</definedName>
    <definedName name="_xlnm._FilterDatabase" localSheetId="2" hidden="1">'Infrastructure Costs'!$A$2:$K$13</definedName>
    <definedName name="_xlnm._FilterDatabase" localSheetId="3" hidden="1">'Credits'!$A$2:$D$8</definedName>
    <definedName name="_xlnm._FilterDatabase" localSheetId="4" hidden="1">'3-Year Summary'!$A$2:$G$9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25, 2025</t>
        </is>
      </c>
    </row>
    <row r="8" ht="18" customHeight="1">
      <c r="B8" s="2" t="inlineStr">
        <is>
          <t>Customer:</t>
        </is>
      </c>
      <c r="C8" s="3" t="inlineStr">
        <is>
          <t>Sample Solution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Hardware</t>
        </is>
      </c>
      <c r="B3" s="38" t="inlineStr">
        <is>
          <t>Network Devices</t>
        </is>
      </c>
      <c r="C3" s="39" t="inlineStr">
        <is>
          <t>0-2 devices</t>
        </is>
      </c>
      <c r="D3" s="39" t="inlineStr">
        <is>
          <t>3-5 devices</t>
        </is>
      </c>
      <c r="E3" s="39" t="inlineStr">
        <is>
          <t>10+ devices</t>
        </is>
      </c>
      <c r="F3" s="38" t="inlineStr">
        <is>
          <t>Based on site count</t>
        </is>
      </c>
    </row>
    <row r="4" ht="26" customHeight="1">
      <c r="A4" s="40" t="inlineStr">
        <is>
          <t>Cloud Services</t>
        </is>
      </c>
      <c r="B4" s="41" t="inlineStr">
        <is>
          <t>Compute Instances</t>
        </is>
      </c>
      <c r="C4" s="42" t="inlineStr">
        <is>
          <t>2-4 instances</t>
        </is>
      </c>
      <c r="D4" s="42" t="inlineStr">
        <is>
          <t>5-10 instances</t>
        </is>
      </c>
      <c r="E4" s="42" t="inlineStr">
        <is>
          <t>15+ instances</t>
        </is>
      </c>
      <c r="F4" s="41" t="inlineStr">
        <is>
          <t>Production workload capacity</t>
        </is>
      </c>
    </row>
    <row r="5" ht="26" customHeight="1">
      <c r="A5" s="37" t="inlineStr">
        <is>
          <t>Cloud Services</t>
        </is>
      </c>
      <c r="B5" s="38" t="inlineStr">
        <is>
          <t>Storage Volume</t>
        </is>
      </c>
      <c r="C5" s="39" t="inlineStr">
        <is>
          <t>100 GB</t>
        </is>
      </c>
      <c r="D5" s="39" t="inlineStr">
        <is>
          <t>500 GB - 1 TB</t>
        </is>
      </c>
      <c r="E5" s="39" t="inlineStr">
        <is>
          <t>2+ TB</t>
        </is>
      </c>
      <c r="F5" s="38" t="inlineStr">
        <is>
          <t>Based on data requirements</t>
        </is>
      </c>
    </row>
    <row r="6" ht="26" customHeight="1">
      <c r="A6" s="40" t="inlineStr">
        <is>
          <t>Cloud Services</t>
        </is>
      </c>
      <c r="B6" s="41" t="inlineStr">
        <is>
          <t>Database Size</t>
        </is>
      </c>
      <c r="C6" s="42" t="inlineStr">
        <is>
          <t>Small/Standard tier</t>
        </is>
      </c>
      <c r="D6" s="42" t="inlineStr">
        <is>
          <t>Medium tier</t>
        </is>
      </c>
      <c r="E6" s="42" t="inlineStr">
        <is>
          <t>Large/Enterprise tier</t>
        </is>
      </c>
      <c r="F6" s="41" t="inlineStr">
        <is>
          <t>Based on transaction volume</t>
        </is>
      </c>
    </row>
    <row r="7" ht="26" customHeight="1">
      <c r="A7" s="37" t="inlineStr">
        <is>
          <t>Software Licenses</t>
        </is>
      </c>
      <c r="B7" s="38" t="inlineStr">
        <is>
          <t>User Licenses</t>
        </is>
      </c>
      <c r="C7" s="39" t="inlineStr">
        <is>
          <t>10-50 users</t>
        </is>
      </c>
      <c r="D7" s="39" t="inlineStr">
        <is>
          <t>50-250 users</t>
        </is>
      </c>
      <c r="E7" s="39" t="inlineStr">
        <is>
          <t>500+ users</t>
        </is>
      </c>
      <c r="F7" s="38" t="inlineStr">
        <is>
          <t>Concurrent or named users</t>
        </is>
      </c>
    </row>
    <row r="8" ht="26" customHeight="1">
      <c r="A8" s="40" t="inlineStr">
        <is>
          <t>Software Licenses</t>
        </is>
      </c>
      <c r="B8" s="41" t="inlineStr">
        <is>
          <t>Monitoring Tools</t>
        </is>
      </c>
      <c r="C8" s="42" t="inlineStr">
        <is>
          <t>Basic monitoring</t>
        </is>
      </c>
      <c r="D8" s="42" t="inlineStr">
        <is>
          <t>Advanced APM</t>
        </is>
      </c>
      <c r="E8" s="42" t="inlineStr">
        <is>
          <t>Enterprise observability</t>
        </is>
      </c>
      <c r="F8" s="41" t="inlineStr">
        <is>
          <t>Application performance monitoring</t>
        </is>
      </c>
    </row>
    <row r="9" ht="26" customHeight="1">
      <c r="A9" s="37" t="inlineStr">
        <is>
          <t>Connectivity</t>
        </is>
      </c>
      <c r="B9" s="38" t="inlineStr">
        <is>
          <t>Network Bandwidth</t>
        </is>
      </c>
      <c r="C9" s="39" t="inlineStr">
        <is>
          <t>100 Mbps</t>
        </is>
      </c>
      <c r="D9" s="39" t="inlineStr">
        <is>
          <t>500 Mbps</t>
        </is>
      </c>
      <c r="E9" s="39" t="inlineStr">
        <is>
          <t>1+ Gbps</t>
        </is>
      </c>
      <c r="F9" s="38" t="inlineStr">
        <is>
          <t>WAN/Internet circuit speed</t>
        </is>
      </c>
    </row>
    <row r="10" ht="26" customHeight="1">
      <c r="A10" s="40" t="inlineStr">
        <is>
          <t>Support &amp; Maintenance</t>
        </is>
      </c>
      <c r="B10" s="41" t="inlineStr">
        <is>
          <t>Support Level</t>
        </is>
      </c>
      <c r="C10" s="42" t="inlineStr">
        <is>
          <t>Business hours</t>
        </is>
      </c>
      <c r="D10" s="42" t="inlineStr">
        <is>
          <t>24x5 support</t>
        </is>
      </c>
      <c r="E10" s="42" t="inlineStr">
        <is>
          <t>24x7 premium</t>
        </is>
      </c>
      <c r="F10" s="41" t="inlineStr">
        <is>
          <t>SLA requirements</t>
        </is>
      </c>
    </row>
    <row r="11" ht="26" customHeight="1">
      <c r="A11" s="37" t="inlineStr">
        <is>
          <t>Facilities</t>
        </is>
      </c>
      <c r="B11" s="38" t="inlineStr">
        <is>
          <t>Data Center Space</t>
        </is>
      </c>
      <c r="C11" s="39" t="inlineStr">
        <is>
          <t>N/A</t>
        </is>
      </c>
      <c r="D11" s="39" t="inlineStr">
        <is>
          <t>N/A</t>
        </is>
      </c>
      <c r="E11" s="39" t="inlineStr">
        <is>
          <t>N/A</t>
        </is>
      </c>
      <c r="F11" s="38" t="inlineStr">
        <is>
          <t>Cloud-only solution (no facilities)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Network Switch</t>
        </is>
      </c>
      <c r="C3" s="44" t="inlineStr">
        <is>
          <t>Network equipment</t>
        </is>
      </c>
      <c r="D3" s="45" t="n">
        <v>0</v>
      </c>
      <c r="E3" s="44" t="inlineStr">
        <is>
          <t>Device</t>
        </is>
      </c>
      <c r="F3" s="46" t="n">
        <v>2500</v>
      </c>
      <c r="G3" s="46">
        <f>D3*F3</f>
        <v/>
      </c>
      <c r="H3" s="46">
        <f>0</f>
        <v/>
      </c>
      <c r="I3" s="46">
        <f>0</f>
        <v/>
      </c>
      <c r="J3" s="46">
        <f>G3+H3+I3</f>
        <v/>
      </c>
      <c r="K3" s="44" t="inlineStr">
        <is>
          <t>Optional on-premises</t>
        </is>
      </c>
    </row>
    <row r="4" ht="26" customHeight="1">
      <c r="A4" s="47" t="inlineStr">
        <is>
          <t>Cloud Services</t>
        </is>
      </c>
      <c r="B4" s="48" t="inlineStr">
        <is>
          <t>Compute Instance</t>
        </is>
      </c>
      <c r="C4" s="48" t="inlineStr">
        <is>
          <t>Cloud VM or equivalent</t>
        </is>
      </c>
      <c r="D4" s="49" t="n">
        <v>2</v>
      </c>
      <c r="E4" s="48" t="inlineStr">
        <is>
          <t>Instance/Month</t>
        </is>
      </c>
      <c r="F4" s="50" t="n">
        <v>150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Production workloads</t>
        </is>
      </c>
    </row>
    <row r="5" ht="26" customHeight="1">
      <c r="A5" s="43" t="inlineStr">
        <is>
          <t>Cloud Services</t>
        </is>
      </c>
      <c r="B5" s="44" t="inlineStr">
        <is>
          <t>Database</t>
        </is>
      </c>
      <c r="C5" s="44" t="inlineStr">
        <is>
          <t>Managed database service</t>
        </is>
      </c>
      <c r="D5" s="45" t="n">
        <v>1</v>
      </c>
      <c r="E5" s="44" t="inlineStr">
        <is>
          <t>Instance/Month</t>
        </is>
      </c>
      <c r="F5" s="46" t="n">
        <v>200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Relational database</t>
        </is>
      </c>
    </row>
    <row r="6" ht="26" customHeight="1">
      <c r="A6" s="47" t="inlineStr">
        <is>
          <t>Cloud Services</t>
        </is>
      </c>
      <c r="B6" s="48" t="inlineStr">
        <is>
          <t>Storage</t>
        </is>
      </c>
      <c r="C6" s="48" t="inlineStr">
        <is>
          <t>Object storage</t>
        </is>
      </c>
      <c r="D6" s="49" t="n">
        <v>100</v>
      </c>
      <c r="E6" s="48" t="inlineStr">
        <is>
          <t>GB/Month</t>
        </is>
      </c>
      <c r="F6" s="50" t="n">
        <v>0.023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Data storage</t>
        </is>
      </c>
    </row>
    <row r="7" ht="26" customHeight="1">
      <c r="A7" s="43" t="inlineStr">
        <is>
          <t>Cloud Services</t>
        </is>
      </c>
      <c r="B7" s="44" t="inlineStr">
        <is>
          <t>Data Transfer</t>
        </is>
      </c>
      <c r="C7" s="44" t="inlineStr">
        <is>
          <t>Outbound transfer</t>
        </is>
      </c>
      <c r="D7" s="45" t="n">
        <v>50</v>
      </c>
      <c r="E7" s="44" t="inlineStr">
        <is>
          <t>GB/Month</t>
        </is>
      </c>
      <c r="F7" s="46" t="n">
        <v>0.09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Egress charges</t>
        </is>
      </c>
    </row>
    <row r="8" ht="26" customHeight="1">
      <c r="A8" s="47" t="inlineStr">
        <is>
          <t>Software Licenses</t>
        </is>
      </c>
      <c r="B8" s="48" t="inlineStr">
        <is>
          <t>Monitoring</t>
        </is>
      </c>
      <c r="C8" s="48" t="inlineStr">
        <is>
          <t>Application monitoring</t>
        </is>
      </c>
      <c r="D8" s="49" t="n">
        <v>1</v>
      </c>
      <c r="E8" s="48" t="inlineStr">
        <is>
          <t>Service/Month</t>
        </is>
      </c>
      <c r="F8" s="50" t="n">
        <v>50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Metrics and logging</t>
        </is>
      </c>
    </row>
    <row r="9" ht="26" customHeight="1">
      <c r="A9" s="43" t="inlineStr">
        <is>
          <t>Software Licenses</t>
        </is>
      </c>
      <c r="B9" s="44" t="inlineStr">
        <is>
          <t>Security</t>
        </is>
      </c>
      <c r="C9" s="44" t="inlineStr">
        <is>
          <t>Web application firewall</t>
        </is>
      </c>
      <c r="D9" s="45" t="n">
        <v>1</v>
      </c>
      <c r="E9" s="44" t="inlineStr">
        <is>
          <t>Service/Month</t>
        </is>
      </c>
      <c r="F9" s="46" t="n">
        <v>25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Security controls</t>
        </is>
      </c>
    </row>
    <row r="10" ht="26" customHeight="1">
      <c r="A10" s="47" t="inlineStr">
        <is>
          <t>Connectivity</t>
        </is>
      </c>
      <c r="B10" s="48" t="inlineStr">
        <is>
          <t>Internet Circuit</t>
        </is>
      </c>
      <c r="C10" s="48" t="inlineStr">
        <is>
          <t>Business internet</t>
        </is>
      </c>
      <c r="D10" s="49" t="n">
        <v>0</v>
      </c>
      <c r="E10" s="48" t="inlineStr">
        <is>
          <t>Circuit/Month</t>
        </is>
      </c>
      <c r="F10" s="50" t="n">
        <v>500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Cloud-only (no circuit needed)</t>
        </is>
      </c>
    </row>
    <row r="11" ht="26" customHeight="1">
      <c r="A11" s="43" t="inlineStr">
        <is>
          <t>Support &amp; Maintenance</t>
        </is>
      </c>
      <c r="B11" s="44" t="inlineStr">
        <is>
          <t>Cloud Support</t>
        </is>
      </c>
      <c r="C11" s="44" t="inlineStr">
        <is>
          <t>Provider support plan</t>
        </is>
      </c>
      <c r="D11" s="45" t="n">
        <v>1</v>
      </c>
      <c r="E11" s="44" t="inlineStr">
        <is>
          <t>Plan/Month</t>
        </is>
      </c>
      <c r="F11" s="46" t="n">
        <v>100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Technical support</t>
        </is>
      </c>
    </row>
    <row r="12" ht="26" customHeight="1">
      <c r="A12" s="47" t="inlineStr">
        <is>
          <t>Facilities</t>
        </is>
      </c>
      <c r="B12" s="48" t="inlineStr">
        <is>
          <t>Data Center</t>
        </is>
      </c>
      <c r="C12" s="48" t="inlineStr">
        <is>
          <t>Rack space and power</t>
        </is>
      </c>
      <c r="D12" s="49" t="n">
        <v>0</v>
      </c>
      <c r="E12" s="48" t="inlineStr">
        <is>
          <t>Rack/Month</t>
        </is>
      </c>
      <c r="F12" s="50" t="n">
        <v>0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Cloud-only (no facilities)</t>
        </is>
      </c>
    </row>
    <row r="13" ht="26" customHeight="1">
      <c r="A13" s="51" t="inlineStr">
        <is>
          <t>TOTAL</t>
        </is>
      </c>
      <c r="B13" s="52" t="n"/>
      <c r="C13" s="52" t="n"/>
      <c r="D13" s="52" t="n"/>
      <c r="E13" s="52" t="n"/>
      <c r="F13" s="52" t="n"/>
      <c r="G13" s="53">
        <f>SUM(G3:G12)</f>
        <v/>
      </c>
      <c r="H13" s="53">
        <f>SUM(H3:H12)</f>
        <v/>
      </c>
      <c r="I13" s="53">
        <f>SUM(I3:I12)</f>
        <v/>
      </c>
      <c r="J13" s="53">
        <f>SUM(J3:J12)</f>
        <v/>
      </c>
      <c r="K13" s="52" t="n"/>
    </row>
  </sheetData>
  <autoFilter ref="A2:K1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Equipment Credit</t>
        </is>
      </c>
      <c r="C3" s="46" t="n">
        <v>0</v>
      </c>
      <c r="D3" s="44" t="inlineStr">
        <is>
          <t>No hardware credits available</t>
        </is>
      </c>
    </row>
    <row r="4" ht="26" customHeight="1">
      <c r="A4" s="47" t="inlineStr">
        <is>
          <t>Cloud Services</t>
        </is>
      </c>
      <c r="B4" s="48" t="inlineStr">
        <is>
          <t>Provider Credit</t>
        </is>
      </c>
      <c r="C4" s="50" t="n">
        <v>-1800</v>
      </c>
      <c r="D4" s="48" t="inlineStr">
        <is>
          <t>30% credit on eligible compute and database services</t>
        </is>
      </c>
    </row>
    <row r="5" ht="26" customHeight="1">
      <c r="A5" s="43" t="inlineStr">
        <is>
          <t>Software Licenses</t>
        </is>
      </c>
      <c r="B5" s="44" t="inlineStr">
        <is>
          <t>Partner Credit</t>
        </is>
      </c>
      <c r="C5" s="46" t="n">
        <v>0</v>
      </c>
      <c r="D5" s="44" t="inlineStr">
        <is>
          <t>No software credits available</t>
        </is>
      </c>
    </row>
    <row r="6" ht="26" customHeight="1">
      <c r="A6" s="47" t="inlineStr">
        <is>
          <t>Connectivity</t>
        </is>
      </c>
      <c r="B6" s="48" t="inlineStr">
        <is>
          <t>Circuit Credit</t>
        </is>
      </c>
      <c r="C6" s="50" t="n">
        <v>0</v>
      </c>
      <c r="D6" s="48" t="inlineStr">
        <is>
          <t>No connectivity credits available</t>
        </is>
      </c>
    </row>
    <row r="7" ht="26" customHeight="1">
      <c r="A7" s="43" t="inlineStr">
        <is>
          <t>Support &amp; Maintenance</t>
        </is>
      </c>
      <c r="B7" s="44" t="inlineStr">
        <is>
          <t>Program Credit</t>
        </is>
      </c>
      <c r="C7" s="46" t="n">
        <v>0</v>
      </c>
      <c r="D7" s="44" t="inlineStr">
        <is>
          <t>No support credits available</t>
        </is>
      </c>
    </row>
    <row r="8" ht="26" customHeight="1">
      <c r="A8" s="47" t="inlineStr">
        <is>
          <t>Facilities</t>
        </is>
      </c>
      <c r="B8" s="48" t="inlineStr">
        <is>
          <t>Facilities Credit</t>
        </is>
      </c>
      <c r="C8" s="50" t="n">
        <v>0</v>
      </c>
      <c r="D8" s="48" t="inlineStr">
        <is>
          <t>No facilities (cloud-only solution)</t>
        </is>
      </c>
    </row>
  </sheetData>
  <autoFilter ref="A2:D8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Cloud Services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Software Licenses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Connectivity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Support &amp; Maintenance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47" t="inlineStr">
        <is>
          <t>Facilities</t>
        </is>
      </c>
      <c r="B8" s="50">
        <f>SUMIF('Infrastructure Costs'!$A:$A,A8,'Infrastructure Costs'!$G:$G)</f>
        <v/>
      </c>
      <c r="C8" s="50">
        <f>SUMIF(Credits!$A:$A,A8,Credits!$C:$C)</f>
        <v/>
      </c>
      <c r="D8" s="50">
        <f>B8+C8</f>
        <v/>
      </c>
      <c r="E8" s="50">
        <f>SUMIF('Infrastructure Costs'!$A:$A,A8,'Infrastructure Costs'!$H:$H)</f>
        <v/>
      </c>
      <c r="F8" s="50">
        <f>SUMIF('Infrastructure Costs'!$A:$A,A8,'Infrastructure Costs'!$I:$I)</f>
        <v/>
      </c>
      <c r="G8" s="50">
        <f>D8+E8+F8</f>
        <v/>
      </c>
    </row>
    <row r="9" ht="26" customHeight="1">
      <c r="A9" s="51" t="inlineStr">
        <is>
          <t>TOTAL</t>
        </is>
      </c>
      <c r="B9" s="53">
        <f>SUM(B3:B8)</f>
        <v/>
      </c>
      <c r="C9" s="53">
        <f>SUM(C3:C8)</f>
        <v/>
      </c>
      <c r="D9" s="53">
        <f>SUM(D3:D8)</f>
        <v/>
      </c>
      <c r="E9" s="53">
        <f>SUM(E3:E8)</f>
        <v/>
      </c>
      <c r="F9" s="53">
        <f>SUM(F3:F8)</f>
        <v/>
      </c>
      <c r="G9" s="53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2025-11-25T17:30:28Z</dcterms:modified>
  <cp:lastModifiedBy>Kishan Siram</cp:lastModifiedBy>
</cp:coreProperties>
</file>