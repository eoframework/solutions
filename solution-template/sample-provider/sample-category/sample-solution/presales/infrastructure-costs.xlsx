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1">
    <font>
      <name val="Calibri"/>
      <family val="2"/>
      <color theme="1"/>
      <sz val="11"/>
      <scheme val="minor"/>
    </font>
    <font>
      <name val="Segoe UI"/>
      <color rgb="0095A5A6"/>
      <sz val="12"/>
    </font>
    <font>
      <name val="Segoe UI Light"/>
      <color rgb="002C3E50"/>
      <sz val="28"/>
    </font>
    <font>
      <name val="Segoe UI"/>
      <color rgb="005D6D7E"/>
      <sz val="14"/>
    </font>
    <font>
      <name val="Segoe UI"/>
      <b val="1"/>
      <color rgb="005D6D7E"/>
      <sz val="12"/>
    </font>
    <font>
      <name val="Calibri"/>
      <color rgb="002C3E50"/>
      <sz val="12"/>
    </font>
    <font>
      <name val="Segoe UI"/>
      <color rgb="00CC0000"/>
      <sz val="12"/>
    </font>
    <font>
      <name val="Calibri"/>
      <color rgb="005D6D7E"/>
      <sz val="11"/>
      <u val="single"/>
    </font>
    <font>
      <name val="Segoe UI Semibold"/>
      <b val="1"/>
      <color rgb="00FFFFFF"/>
      <sz val="12"/>
    </font>
    <font>
      <name val="Calibri"/>
      <b val="1"/>
      <color rgb="00CC0000"/>
      <sz val="12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CC0000"/>
        <bgColor rgb="00CC0000"/>
      </patternFill>
    </fill>
    <fill>
      <patternFill patternType="solid">
        <fgColor rgb="002C3E50"/>
        <bgColor rgb="002C3E50"/>
      </patternFill>
    </fill>
    <fill>
      <patternFill patternType="solid">
        <fgColor rgb="00F8FAFB"/>
        <bgColor rgb="00F8FAFB"/>
      </patternFill>
    </fill>
    <fill>
      <patternFill patternType="solid">
        <fgColor rgb="00E8F4F8"/>
        <bgColor rgb="00E8F4F8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medium">
        <color rgb="002C3E50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top"/>
    </xf>
    <xf numFmtId="0" fontId="8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left" vertical="center" wrapText="1" indent="1"/>
    </xf>
    <xf numFmtId="0" fontId="5" fillId="4" borderId="2" applyAlignment="1" pivotButton="0" quotePrefix="0" xfId="0">
      <alignment horizontal="right" vertical="center" wrapText="1" indent="1"/>
    </xf>
    <xf numFmtId="164" fontId="5" fillId="4" borderId="2" applyAlignment="1" pivotButton="0" quotePrefix="0" xfId="0">
      <alignment horizontal="right" vertical="center" wrapText="1" indent="1"/>
    </xf>
    <xf numFmtId="0" fontId="5" fillId="0" borderId="2" applyAlignment="1" pivotButton="0" quotePrefix="0" xfId="0">
      <alignment horizontal="left" vertical="center" wrapText="1" indent="1"/>
    </xf>
    <xf numFmtId="0" fontId="5" fillId="0" borderId="2" applyAlignment="1" pivotButton="0" quotePrefix="0" xfId="0">
      <alignment horizontal="right" vertical="center" wrapText="1" indent="1"/>
    </xf>
    <xf numFmtId="164" fontId="5" fillId="0" borderId="2" applyAlignment="1" pivotButton="0" quotePrefix="0" xfId="0">
      <alignment horizontal="right" vertical="center" wrapText="1" indent="1"/>
    </xf>
    <xf numFmtId="0" fontId="9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9" fillId="5" borderId="2" applyAlignment="1" pivotButton="0" quotePrefix="0" xfId="0">
      <alignment horizontal="right" vertical="center" wrapText="1" indent="1"/>
    </xf>
    <xf numFmtId="0" fontId="10" fillId="0" borderId="0" pivotButton="0" quotePrefix="0" xfId="0"/>
    <xf numFmtId="0" fontId="8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left" vertical="center" wrapText="1" indent="1"/>
    </xf>
    <xf numFmtId="164" fontId="5" fillId="4" borderId="2" applyAlignment="1" pivotButton="0" quotePrefix="0" xfId="0">
      <alignment horizontal="left" vertical="center" wrapText="1" indent="1"/>
    </xf>
    <xf numFmtId="164" fontId="5" fillId="6" borderId="2" applyAlignment="1" pivotButton="0" quotePrefix="0" xfId="0">
      <alignment horizontal="left" vertical="center" wrapText="1" indent="1"/>
    </xf>
    <xf numFmtId="0" fontId="9" fillId="0" borderId="2" applyAlignment="1" pivotButton="0" quotePrefix="0" xfId="0">
      <alignment horizontal="left" vertical="center" wrapText="1" indent="1"/>
    </xf>
    <xf numFmtId="164" fontId="9" fillId="0" borderId="2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12</row>
      <rowOff>0</rowOff>
    </from>
    <ext cx="12382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60" customHeight="1">
      <c r="B2" s="2" t="inlineStr">
        <is>
          <t>[VENDOR LOGO]</t>
        </is>
      </c>
    </row>
    <row r="3" ht="15" customHeight="1"/>
    <row r="4" ht="40" customHeight="1">
      <c r="B4" s="3" t="inlineStr">
        <is>
          <t>Infrastructure Costs</t>
        </is>
      </c>
    </row>
    <row r="5" ht="25" customHeight="1">
      <c r="B5" s="4" t="inlineStr">
        <is>
          <t>Presales Document</t>
        </is>
      </c>
    </row>
    <row r="6" ht="30" customHeight="1"/>
    <row r="7" ht="18" customHeight="1">
      <c r="B7" s="5" t="inlineStr">
        <is>
          <t>Generated:</t>
        </is>
      </c>
      <c r="C7" s="6" t="inlineStr">
        <is>
          <t>November 18, 2025</t>
        </is>
      </c>
    </row>
    <row r="8" ht="18" customHeight="1">
      <c r="B8" s="5" t="inlineStr">
        <is>
          <t>Solution:</t>
        </is>
      </c>
      <c r="C8" s="6" t="inlineStr">
        <is>
          <t>Sample Solution</t>
        </is>
      </c>
    </row>
    <row r="9" ht="18" customHeight="1">
      <c r="B9" s="5" t="inlineStr">
        <is>
          <t>Customer:</t>
        </is>
      </c>
      <c r="C9" s="6" t="inlineStr">
        <is>
          <t>[Customer Name]</t>
        </is>
      </c>
    </row>
    <row r="10" ht="18" customHeight="1">
      <c r="B10" s="5" t="inlineStr">
        <is>
          <t>Version:</t>
        </is>
      </c>
      <c r="C10" s="6" t="inlineStr">
        <is>
          <t>1.0</t>
        </is>
      </c>
    </row>
    <row r="11" ht="18" customHeight="1">
      <c r="B11" s="5" t="inlineStr">
        <is>
          <t>Status:</t>
        </is>
      </c>
      <c r="C11" s="7" t="inlineStr">
        <is>
          <t>Draft</t>
        </is>
      </c>
    </row>
    <row r="12" ht="40" customHeight="1"/>
    <row r="13" ht="30" customHeight="1">
      <c r="C13" s="8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20" customWidth="1" min="3" max="3"/>
    <col width="20" customWidth="1" min="4" max="4"/>
    <col width="25" customWidth="1" min="5" max="5"/>
    <col width="40" customWidth="1" min="6" max="6"/>
  </cols>
  <sheetData>
    <row r="1">
      <c r="A1" s="19" t="inlineStr">
        <is>
          <t>SIZING GUIDELINES - Based on Solution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Small</t>
        </is>
      </c>
      <c r="D3" s="20" t="inlineStr">
        <is>
          <t>Medium</t>
        </is>
      </c>
      <c r="E3" s="20" t="inlineStr">
        <is>
          <t>Large</t>
        </is>
      </c>
      <c r="F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Compute Instances</t>
        </is>
      </c>
      <c r="C4" s="10" t="inlineStr">
        <is>
          <t>2-4 instances</t>
        </is>
      </c>
      <c r="D4" s="10" t="inlineStr">
        <is>
          <t>5-10 instances</t>
        </is>
      </c>
      <c r="E4" s="10" t="inlineStr">
        <is>
          <t>15+ instances</t>
        </is>
      </c>
      <c r="F4" s="10" t="inlineStr">
        <is>
          <t>Production workload capacity</t>
        </is>
      </c>
    </row>
    <row r="5" ht="26" customHeight="1">
      <c r="A5" s="21" t="inlineStr">
        <is>
          <t>Cloud Infrastructure</t>
        </is>
      </c>
      <c r="B5" s="21" t="inlineStr">
        <is>
          <t>Storage Volume</t>
        </is>
      </c>
      <c r="C5" s="21" t="inlineStr">
        <is>
          <t>100 GB</t>
        </is>
      </c>
      <c r="D5" s="21" t="inlineStr">
        <is>
          <t>500 GB - 1 TB</t>
        </is>
      </c>
      <c r="E5" s="21" t="inlineStr">
        <is>
          <t>2+ TB</t>
        </is>
      </c>
      <c r="F5" s="21" t="inlineStr">
        <is>
          <t>Based on data requirements</t>
        </is>
      </c>
    </row>
    <row r="6" ht="26" customHeight="1">
      <c r="A6" s="10" t="inlineStr">
        <is>
          <t>Cloud Infrastructure</t>
        </is>
      </c>
      <c r="B6" s="10" t="inlineStr">
        <is>
          <t>Database Size</t>
        </is>
      </c>
      <c r="C6" s="10" t="inlineStr">
        <is>
          <t>Small/Standard tier</t>
        </is>
      </c>
      <c r="D6" s="10" t="inlineStr">
        <is>
          <t>Medium tier</t>
        </is>
      </c>
      <c r="E6" s="10" t="inlineStr">
        <is>
          <t>Large/Enterprise tier</t>
        </is>
      </c>
      <c r="F6" s="10" t="inlineStr">
        <is>
          <t>Based on transaction volume</t>
        </is>
      </c>
    </row>
    <row r="7" ht="26" customHeight="1">
      <c r="A7" s="21" t="inlineStr">
        <is>
          <t>Software Licenses</t>
        </is>
      </c>
      <c r="B7" s="21" t="inlineStr">
        <is>
          <t>User Licenses</t>
        </is>
      </c>
      <c r="C7" s="21" t="inlineStr">
        <is>
          <t>10-50 users</t>
        </is>
      </c>
      <c r="D7" s="21" t="inlineStr">
        <is>
          <t>50-250 users</t>
        </is>
      </c>
      <c r="E7" s="21" t="inlineStr">
        <is>
          <t>500+ users</t>
        </is>
      </c>
      <c r="F7" s="21" t="inlineStr">
        <is>
          <t>Concurrent or named users</t>
        </is>
      </c>
    </row>
    <row r="8" ht="26" customHeight="1">
      <c r="A8" s="10" t="inlineStr">
        <is>
          <t>Software Licenses</t>
        </is>
      </c>
      <c r="B8" s="10" t="inlineStr">
        <is>
          <t>Monitoring Tools</t>
        </is>
      </c>
      <c r="C8" s="10" t="inlineStr">
        <is>
          <t>Basic monitoring</t>
        </is>
      </c>
      <c r="D8" s="10" t="inlineStr">
        <is>
          <t>Advanced APM</t>
        </is>
      </c>
      <c r="E8" s="10" t="inlineStr">
        <is>
          <t>Enterprise observability</t>
        </is>
      </c>
      <c r="F8" s="10" t="inlineStr">
        <is>
          <t>Application performance monitoring</t>
        </is>
      </c>
    </row>
    <row r="9" ht="26" customHeight="1">
      <c r="A9" s="21" t="inlineStr">
        <is>
          <t>Support &amp; Maintenance</t>
        </is>
      </c>
      <c r="B9" s="21" t="inlineStr">
        <is>
          <t>Support Level</t>
        </is>
      </c>
      <c r="C9" s="21" t="inlineStr">
        <is>
          <t>Business hours</t>
        </is>
      </c>
      <c r="D9" s="21" t="inlineStr">
        <is>
          <t>24x5 support</t>
        </is>
      </c>
      <c r="E9" s="21" t="inlineStr">
        <is>
          <t>24x7 premium</t>
        </is>
      </c>
      <c r="F9" s="21" t="inlineStr">
        <is>
          <t>SLA requirements</t>
        </is>
      </c>
    </row>
    <row r="10" ht="26" customHeight="1">
      <c r="A10" s="10" t="inlineStr">
        <is>
          <t>Hardware/Equipment</t>
        </is>
      </c>
      <c r="B10" s="10" t="inlineStr">
        <is>
          <t>Network Devices</t>
        </is>
      </c>
      <c r="C10" s="10" t="inlineStr">
        <is>
          <t>0-2 devices</t>
        </is>
      </c>
      <c r="D10" s="10" t="inlineStr">
        <is>
          <t>3-5 devices</t>
        </is>
      </c>
      <c r="E10" s="10" t="inlineStr">
        <is>
          <t>10+ devices</t>
        </is>
      </c>
      <c r="F10" s="10" t="inlineStr">
        <is>
          <t>Based on site count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30" customWidth="1" min="11" max="11"/>
  </cols>
  <sheetData>
    <row r="1">
      <c r="A1" s="19" t="inlineStr">
        <is>
          <t>INFRASTRUCTURE COSTS - Quantities Default to Small Scope</t>
        </is>
      </c>
    </row>
    <row r="3" ht="32" customHeight="1">
      <c r="A3" s="20" t="inlineStr">
        <is>
          <t>Category</t>
        </is>
      </c>
      <c r="B3" s="20" t="inlineStr">
        <is>
          <t>Component</t>
        </is>
      </c>
      <c r="C3" s="20" t="inlineStr">
        <is>
          <t>Description</t>
        </is>
      </c>
      <c r="D3" s="20" t="inlineStr">
        <is>
          <t>Quantity</t>
        </is>
      </c>
      <c r="E3" s="20" t="inlineStr">
        <is>
          <t>Unit</t>
        </is>
      </c>
      <c r="F3" s="20" t="inlineStr">
        <is>
          <t>Unit Price</t>
        </is>
      </c>
      <c r="G3" s="20" t="inlineStr">
        <is>
          <t>Annual Cost</t>
        </is>
      </c>
      <c r="H3" s="20" t="inlineStr">
        <is>
          <t>Year 2</t>
        </is>
      </c>
      <c r="I3" s="20" t="inlineStr">
        <is>
          <t>Year 3</t>
        </is>
      </c>
      <c r="J3" s="20" t="inlineStr">
        <is>
          <t>3-Year Total</t>
        </is>
      </c>
      <c r="K3" s="20" t="inlineStr">
        <is>
          <t>Notes</t>
        </is>
      </c>
    </row>
    <row r="4" ht="26" customHeight="1">
      <c r="A4" s="10" t="inlineStr">
        <is>
          <t>Cloud Infrastructure</t>
        </is>
      </c>
      <c r="B4" s="10" t="inlineStr">
        <is>
          <t>Compute Instance</t>
        </is>
      </c>
      <c r="C4" s="10" t="inlineStr">
        <is>
          <t>Cloud VM or equivalent</t>
        </is>
      </c>
      <c r="D4" s="10" t="inlineStr">
        <is>
          <t>2</t>
        </is>
      </c>
      <c r="E4" s="10" t="inlineStr">
        <is>
          <t>Instance/Month</t>
        </is>
      </c>
      <c r="F4" s="22" t="inlineStr">
        <is>
          <t>$150</t>
        </is>
      </c>
      <c r="G4" s="22">
        <f>D4*F4*12</f>
        <v/>
      </c>
      <c r="H4" s="22">
        <f>G4</f>
        <v/>
      </c>
      <c r="I4" s="22">
        <f>G4</f>
        <v/>
      </c>
      <c r="J4" s="22">
        <f>G4+H4+I4</f>
        <v/>
      </c>
      <c r="K4" s="10" t="inlineStr">
        <is>
          <t>Production workloads</t>
        </is>
      </c>
    </row>
    <row r="5" ht="26" customHeight="1">
      <c r="A5" s="21" t="inlineStr">
        <is>
          <t>Cloud Infrastructure</t>
        </is>
      </c>
      <c r="B5" s="21" t="inlineStr">
        <is>
          <t>Database</t>
        </is>
      </c>
      <c r="C5" s="21" t="inlineStr">
        <is>
          <t>Managed database service</t>
        </is>
      </c>
      <c r="D5" s="21" t="inlineStr">
        <is>
          <t>1</t>
        </is>
      </c>
      <c r="E5" s="21" t="inlineStr">
        <is>
          <t>Instance/Month</t>
        </is>
      </c>
      <c r="F5" s="23" t="inlineStr">
        <is>
          <t>$200</t>
        </is>
      </c>
      <c r="G5" s="23">
        <f>D5*F5*12</f>
        <v/>
      </c>
      <c r="H5" s="23">
        <f>G5</f>
        <v/>
      </c>
      <c r="I5" s="23">
        <f>G5</f>
        <v/>
      </c>
      <c r="J5" s="23">
        <f>G5+H5+I5</f>
        <v/>
      </c>
      <c r="K5" s="21" t="inlineStr">
        <is>
          <t>Relational database</t>
        </is>
      </c>
    </row>
    <row r="6" ht="26" customHeight="1">
      <c r="A6" s="10" t="inlineStr">
        <is>
          <t>Cloud Infrastructure</t>
        </is>
      </c>
      <c r="B6" s="10" t="inlineStr">
        <is>
          <t>Storage</t>
        </is>
      </c>
      <c r="C6" s="10" t="inlineStr">
        <is>
          <t>Object storage</t>
        </is>
      </c>
      <c r="D6" s="10" t="inlineStr">
        <is>
          <t>100</t>
        </is>
      </c>
      <c r="E6" s="10" t="inlineStr">
        <is>
          <t>GB/Month</t>
        </is>
      </c>
      <c r="F6" s="22" t="inlineStr">
        <is>
          <t>$0.023</t>
        </is>
      </c>
      <c r="G6" s="22">
        <f>D6*F6*12</f>
        <v/>
      </c>
      <c r="H6" s="22">
        <f>G6</f>
        <v/>
      </c>
      <c r="I6" s="22">
        <f>G6</f>
        <v/>
      </c>
      <c r="J6" s="22">
        <f>G6+H6+I6</f>
        <v/>
      </c>
      <c r="K6" s="10" t="inlineStr">
        <is>
          <t>Data storage</t>
        </is>
      </c>
    </row>
    <row r="7" ht="26" customHeight="1">
      <c r="A7" s="21" t="inlineStr">
        <is>
          <t>Cloud Infrastructure</t>
        </is>
      </c>
      <c r="B7" s="21" t="inlineStr">
        <is>
          <t>Data Transfer</t>
        </is>
      </c>
      <c r="C7" s="21" t="inlineStr">
        <is>
          <t>Outbound transfer</t>
        </is>
      </c>
      <c r="D7" s="21" t="inlineStr">
        <is>
          <t>50</t>
        </is>
      </c>
      <c r="E7" s="21" t="inlineStr">
        <is>
          <t>GB/Month</t>
        </is>
      </c>
      <c r="F7" s="23" t="inlineStr">
        <is>
          <t>$0.09</t>
        </is>
      </c>
      <c r="G7" s="23">
        <f>D7*F7*12</f>
        <v/>
      </c>
      <c r="H7" s="23">
        <f>G7</f>
        <v/>
      </c>
      <c r="I7" s="23">
        <f>G7</f>
        <v/>
      </c>
      <c r="J7" s="23">
        <f>G7+H7+I7</f>
        <v/>
      </c>
      <c r="K7" s="21" t="inlineStr">
        <is>
          <t>Egress charges</t>
        </is>
      </c>
    </row>
    <row r="8" ht="26" customHeight="1">
      <c r="A8" s="10" t="inlineStr">
        <is>
          <t>Software Licenses</t>
        </is>
      </c>
      <c r="B8" s="10" t="inlineStr">
        <is>
          <t>Monitoring</t>
        </is>
      </c>
      <c r="C8" s="10" t="inlineStr">
        <is>
          <t>Application monitoring</t>
        </is>
      </c>
      <c r="D8" s="10" t="inlineStr">
        <is>
          <t>1</t>
        </is>
      </c>
      <c r="E8" s="10" t="inlineStr">
        <is>
          <t>Service/Month</t>
        </is>
      </c>
      <c r="F8" s="22" t="inlineStr">
        <is>
          <t>$50</t>
        </is>
      </c>
      <c r="G8" s="22">
        <f>D8*F8*12</f>
        <v/>
      </c>
      <c r="H8" s="22">
        <f>G8</f>
        <v/>
      </c>
      <c r="I8" s="22">
        <f>G8</f>
        <v/>
      </c>
      <c r="J8" s="22">
        <f>G8+H8+I8</f>
        <v/>
      </c>
      <c r="K8" s="10" t="inlineStr">
        <is>
          <t>Metrics and logging</t>
        </is>
      </c>
    </row>
    <row r="9" ht="26" customHeight="1">
      <c r="A9" s="21" t="inlineStr">
        <is>
          <t>Software Licenses</t>
        </is>
      </c>
      <c r="B9" s="21" t="inlineStr">
        <is>
          <t>Security</t>
        </is>
      </c>
      <c r="C9" s="21" t="inlineStr">
        <is>
          <t>Web application firewall</t>
        </is>
      </c>
      <c r="D9" s="21" t="inlineStr">
        <is>
          <t>1</t>
        </is>
      </c>
      <c r="E9" s="21" t="inlineStr">
        <is>
          <t>Service/Month</t>
        </is>
      </c>
      <c r="F9" s="23" t="inlineStr">
        <is>
          <t>$25</t>
        </is>
      </c>
      <c r="G9" s="23">
        <f>D9*F9*12</f>
        <v/>
      </c>
      <c r="H9" s="23">
        <f>G9</f>
        <v/>
      </c>
      <c r="I9" s="23">
        <f>G9</f>
        <v/>
      </c>
      <c r="J9" s="23">
        <f>G9+H9+I9</f>
        <v/>
      </c>
      <c r="K9" s="21" t="inlineStr">
        <is>
          <t>Security controls</t>
        </is>
      </c>
    </row>
    <row r="10" ht="26" customHeight="1">
      <c r="A10" s="10" t="inlineStr">
        <is>
          <t>Support &amp; Maintenance</t>
        </is>
      </c>
      <c r="B10" s="10" t="inlineStr">
        <is>
          <t>Cloud Support</t>
        </is>
      </c>
      <c r="C10" s="10" t="inlineStr">
        <is>
          <t>Provider support plan</t>
        </is>
      </c>
      <c r="D10" s="10" t="inlineStr">
        <is>
          <t>1</t>
        </is>
      </c>
      <c r="E10" s="10" t="inlineStr">
        <is>
          <t>Plan/Month</t>
        </is>
      </c>
      <c r="F10" s="22" t="inlineStr">
        <is>
          <t>$100</t>
        </is>
      </c>
      <c r="G10" s="22">
        <f>D10*F10*12</f>
        <v/>
      </c>
      <c r="H10" s="22">
        <f>G10</f>
        <v/>
      </c>
      <c r="I10" s="22">
        <f>G10</f>
        <v/>
      </c>
      <c r="J10" s="22">
        <f>G10+H10+I10</f>
        <v/>
      </c>
      <c r="K10" s="10" t="inlineStr">
        <is>
          <t>Technical support</t>
        </is>
      </c>
    </row>
    <row r="11" ht="26" customHeight="1">
      <c r="A11" s="21" t="inlineStr">
        <is>
          <t>Hardware/Equipment</t>
        </is>
      </c>
      <c r="B11" s="21" t="inlineStr">
        <is>
          <t>Network Switch</t>
        </is>
      </c>
      <c r="C11" s="21" t="inlineStr">
        <is>
          <t>Network equipment</t>
        </is>
      </c>
      <c r="D11" s="21" t="inlineStr">
        <is>
          <t>0</t>
        </is>
      </c>
      <c r="E11" s="21" t="inlineStr">
        <is>
          <t>Device</t>
        </is>
      </c>
      <c r="F11" s="23" t="inlineStr">
        <is>
          <t>$2500</t>
        </is>
      </c>
      <c r="G11" s="23">
        <f>D11*F11</f>
        <v/>
      </c>
      <c r="H11" s="23">
        <f>G11</f>
        <v/>
      </c>
      <c r="I11" s="23">
        <f>G11</f>
        <v/>
      </c>
      <c r="J11" s="23">
        <f>G11+H11+I11</f>
        <v/>
      </c>
      <c r="K11" s="21" t="inlineStr">
        <is>
          <t>Optional on-premises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8" customWidth="1" min="3" max="3"/>
    <col width="50" customWidth="1" min="4" max="4"/>
  </cols>
  <sheetData>
    <row r="1">
      <c r="A1" s="19" t="inlineStr">
        <is>
          <t>CREDITS - Applied per Category (Year 1 Only)</t>
        </is>
      </c>
    </row>
    <row r="3" ht="32" customHeight="1">
      <c r="A3" s="20" t="inlineStr">
        <is>
          <t>Category</t>
        </is>
      </c>
      <c r="B3" s="20" t="inlineStr">
        <is>
          <t>Credit Type</t>
        </is>
      </c>
      <c r="C3" s="20" t="inlineStr">
        <is>
          <t>Credit Amount</t>
        </is>
      </c>
      <c r="D3" s="20" t="inlineStr">
        <is>
          <t>Credit Comments</t>
        </is>
      </c>
    </row>
    <row r="4" ht="26" customHeight="1">
      <c r="A4" s="10" t="inlineStr">
        <is>
          <t>Cloud Infrastructure</t>
        </is>
      </c>
      <c r="B4" s="10" t="inlineStr">
        <is>
          <t>Provider Credit</t>
        </is>
      </c>
      <c r="C4" s="22" t="n">
        <v>-1800</v>
      </c>
      <c r="D4" s="10" t="inlineStr">
        <is>
          <t>30% credit on eligible compute and database services</t>
        </is>
      </c>
    </row>
    <row r="5" ht="26" customHeight="1">
      <c r="A5" s="21" t="inlineStr">
        <is>
          <t>Software Licenses</t>
        </is>
      </c>
      <c r="B5" s="21" t="inlineStr">
        <is>
          <t>Partner Credit</t>
        </is>
      </c>
      <c r="C5" s="23" t="n">
        <v>0</v>
      </c>
      <c r="D5" s="21" t="inlineStr">
        <is>
          <t>No software credits available</t>
        </is>
      </c>
    </row>
    <row r="6" ht="26" customHeight="1">
      <c r="A6" s="10" t="inlineStr">
        <is>
          <t>Support &amp; Maintenance</t>
        </is>
      </c>
      <c r="B6" s="10" t="inlineStr">
        <is>
          <t>Program Credit</t>
        </is>
      </c>
      <c r="C6" s="22" t="n">
        <v>0</v>
      </c>
      <c r="D6" s="10" t="inlineStr">
        <is>
          <t>No support credits available</t>
        </is>
      </c>
    </row>
    <row r="7" ht="26" customHeight="1">
      <c r="A7" s="21" t="inlineStr">
        <is>
          <t>Hardware/Equipment</t>
        </is>
      </c>
      <c r="B7" s="21" t="inlineStr">
        <is>
          <t>Equipment Credit</t>
        </is>
      </c>
      <c r="C7" s="23" t="n">
        <v>0</v>
      </c>
      <c r="D7" s="21" t="inlineStr">
        <is>
          <t>No hardware credits available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5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16" customWidth="1" min="7" max="7"/>
  </cols>
  <sheetData>
    <row r="1">
      <c r="A1" s="19" t="inlineStr">
        <is>
          <t>INFRASTRUCTURE COSTS SUMMARY</t>
        </is>
      </c>
    </row>
    <row r="3" ht="32" customHeight="1">
      <c r="A3" s="20" t="inlineStr">
        <is>
          <t>Category</t>
        </is>
      </c>
      <c r="B3" s="20" t="inlineStr">
        <is>
          <t>Year 1 List</t>
        </is>
      </c>
      <c r="C3" s="20" t="inlineStr">
        <is>
          <t>Year 1 Credits</t>
        </is>
      </c>
      <c r="D3" s="20" t="inlineStr">
        <is>
          <t>Year 1 Net</t>
        </is>
      </c>
      <c r="E3" s="20" t="inlineStr">
        <is>
          <t>Year 2</t>
        </is>
      </c>
      <c r="F3" s="20" t="inlineStr">
        <is>
          <t>Year 3</t>
        </is>
      </c>
      <c r="G3" s="20" t="inlineStr">
        <is>
          <t>3-Year Total</t>
        </is>
      </c>
    </row>
    <row r="4" ht="26" customHeight="1">
      <c r="A4" s="10" t="inlineStr">
        <is>
          <t>Cloud Infrastructure</t>
        </is>
      </c>
      <c r="B4" s="22">
        <f>SUMIF('Infrastructure Costs'!A:A,"Cloud Infrastructure",'Infrastructure Costs'!G:G)</f>
        <v/>
      </c>
      <c r="C4" s="22">
        <f>Credits!C4</f>
        <v/>
      </c>
      <c r="D4" s="22">
        <f>B4+C4</f>
        <v/>
      </c>
      <c r="E4" s="22">
        <f>SUMIF('Infrastructure Costs'!A:A,"Cloud Infrastructure",'Infrastructure Costs'!H:H)</f>
        <v/>
      </c>
      <c r="F4" s="22">
        <f>SUMIF('Infrastructure Costs'!A:A,"Cloud Infrastructure",'Infrastructure Costs'!I:I)</f>
        <v/>
      </c>
      <c r="G4" s="22">
        <f>D4+E4+F4</f>
        <v/>
      </c>
    </row>
    <row r="5" ht="26" customHeight="1">
      <c r="A5" s="21" t="inlineStr">
        <is>
          <t>Software Licenses</t>
        </is>
      </c>
      <c r="B5" s="23">
        <f>SUMIF('Infrastructure Costs'!A:A,"Software Licenses",'Infrastructure Costs'!G:G)</f>
        <v/>
      </c>
      <c r="C5" s="23">
        <f>Credits!C5</f>
        <v/>
      </c>
      <c r="D5" s="23">
        <f>B5+C5</f>
        <v/>
      </c>
      <c r="E5" s="23">
        <f>SUMIF('Infrastructure Costs'!A:A,"Software Licenses",'Infrastructure Costs'!H:H)</f>
        <v/>
      </c>
      <c r="F5" s="23">
        <f>SUMIF('Infrastructure Costs'!A:A,"Software Licenses",'Infrastructure Costs'!I:I)</f>
        <v/>
      </c>
      <c r="G5" s="23">
        <f>D5+E5+F5</f>
        <v/>
      </c>
    </row>
    <row r="6" ht="26" customHeight="1">
      <c r="A6" s="10" t="inlineStr">
        <is>
          <t>Support &amp; Maintenance</t>
        </is>
      </c>
      <c r="B6" s="22">
        <f>SUMIF('Infrastructure Costs'!A:A,"Support &amp; Maintenance",'Infrastructure Costs'!G:G)</f>
        <v/>
      </c>
      <c r="C6" s="22">
        <f>Credits!C6</f>
        <v/>
      </c>
      <c r="D6" s="22">
        <f>B6+C6</f>
        <v/>
      </c>
      <c r="E6" s="22">
        <f>SUMIF('Infrastructure Costs'!A:A,"Support &amp; Maintenance",'Infrastructure Costs'!H:H)</f>
        <v/>
      </c>
      <c r="F6" s="22">
        <f>SUMIF('Infrastructure Costs'!A:A,"Support &amp; Maintenance",'Infrastructure Costs'!I:I)</f>
        <v/>
      </c>
      <c r="G6" s="22">
        <f>D6+E6+F6</f>
        <v/>
      </c>
    </row>
    <row r="7" ht="26" customHeight="1">
      <c r="A7" s="21" t="inlineStr">
        <is>
          <t>Hardware/Equipment</t>
        </is>
      </c>
      <c r="B7" s="23">
        <f>SUMIF('Infrastructure Costs'!A:A,"Hardware/Equipment",'Infrastructure Costs'!G:G)</f>
        <v/>
      </c>
      <c r="C7" s="23">
        <f>Credits!C7</f>
        <v/>
      </c>
      <c r="D7" s="23">
        <f>B7+C7</f>
        <v/>
      </c>
      <c r="E7" s="23">
        <f>SUMIF('Infrastructure Costs'!A:A,"Hardware/Equipment",'Infrastructure Costs'!H:H)</f>
        <v/>
      </c>
      <c r="F7" s="23">
        <f>SUMIF('Infrastructure Costs'!A:A,"Hardware/Equipment",'Infrastructure Costs'!I:I)</f>
        <v/>
      </c>
      <c r="G7" s="23">
        <f>D7+E7+F7</f>
        <v/>
      </c>
    </row>
    <row r="8" ht="26" customHeight="1">
      <c r="A8" s="24" t="inlineStr">
        <is>
          <t>TOTAL</t>
        </is>
      </c>
      <c r="B8" s="25">
        <f>SUM(B4:B7)</f>
        <v/>
      </c>
      <c r="C8" s="25">
        <f>SUM(C4:C7)</f>
        <v/>
      </c>
      <c r="D8" s="25">
        <f>SUM(D4:D7)</f>
        <v/>
      </c>
      <c r="E8" s="25">
        <f>SUM(E4:E7)</f>
        <v/>
      </c>
      <c r="F8" s="25">
        <f>SUM(F4:F7)</f>
        <v/>
      </c>
      <c r="G8" s="25">
        <f>SUM(G4:G7)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2025-11-18T09:36:54Z</dcterms:modified>
</cp:coreProperties>
</file>