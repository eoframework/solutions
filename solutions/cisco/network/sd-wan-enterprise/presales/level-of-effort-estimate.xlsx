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'LOE'!$A$2:$J$33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Network - Sd Wan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SD-WAN for 25 branch offices</t>
        </is>
      </c>
      <c r="D3" s="38" t="inlineStr">
        <is>
          <t>SD-WAN for 25 sites</t>
        </is>
      </c>
      <c r="E3" s="38" t="inlineStr">
        <is>
          <t>SD-WAN for 50 sites</t>
        </is>
      </c>
      <c r="F3" s="38" t="inlineStr">
        <is>
          <t>SD-WAN for 100+ sites</t>
        </is>
      </c>
      <c r="G3" s="38" t="inlineStr">
        <is>
          <t>Branch office count and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SD-WAN deployment</t>
        </is>
      </c>
      <c r="D4" s="41" t="inlineStr">
        <is>
          <t>Standard policies</t>
        </is>
      </c>
      <c r="E4" s="41" t="inlineStr">
        <is>
          <t>Custom application policies and QoS</t>
        </is>
      </c>
      <c r="F4" s="41" t="inlineStr">
        <is>
          <t>Extensive custom routing and security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(cloud + monitoring)</t>
        </is>
      </c>
      <c r="D5" s="38" t="inlineStr">
        <is>
          <t>2 systems</t>
        </is>
      </c>
      <c r="E5" s="38" t="inlineStr">
        <is>
          <t>4 systems (cloud monitoring ITSM IPAM)</t>
        </is>
      </c>
      <c r="F5" s="38" t="inlineStr">
        <is>
          <t>6+ systems including orchestration</t>
        </is>
      </c>
      <c r="G5" s="38" t="inlineStr">
        <is>
          <t>Cloud and management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WAN telemetry only</t>
        </is>
      </c>
      <c r="D6" s="41" t="inlineStr">
        <is>
          <t>WAN telemetry</t>
        </is>
      </c>
      <c r="E6" s="41" t="inlineStr">
        <is>
          <t>WAN + application + security data</t>
        </is>
      </c>
      <c r="F6" s="41" t="inlineStr">
        <is>
          <t>WAN + app + security + external feeds</t>
        </is>
      </c>
      <c r="G6" s="41" t="inlineStr">
        <is>
          <t>Performance and security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engineers</t>
        </is>
      </c>
      <c r="E7" s="38" t="inlineStr">
        <is>
          <t>10 network team members</t>
        </is>
      </c>
      <c r="F7" s="38" t="inlineStr">
        <is>
          <t>20+ distributed WAN team</t>
        </is>
      </c>
      <c r="G7" s="38" t="inlineStr">
        <is>
          <t>vManage and SD-WAN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regional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25 sites WAN traffic</t>
        </is>
      </c>
      <c r="D9" s="38" t="inlineStr">
        <is>
          <t>25 sites</t>
        </is>
      </c>
      <c r="E9" s="38" t="inlineStr">
        <is>
          <t>50 sites WAN traffic</t>
        </is>
      </c>
      <c r="F9" s="38" t="inlineStr">
        <is>
          <t>100+ sites WAN traffic</t>
        </is>
      </c>
      <c r="G9" s="38" t="inlineStr">
        <is>
          <t>SD-WAN overlay traffic volume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200 GB (90-day logs)</t>
        </is>
      </c>
      <c r="D10" s="41" t="inlineStr">
        <is>
          <t>200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vManage telemetry and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 regions</t>
        </is>
      </c>
      <c r="F11" s="38" t="inlineStr">
        <is>
          <t>Multi-region global deployment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WAN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hub-spoke WAN</t>
        </is>
      </c>
      <c r="D13" s="38" t="inlineStr">
        <is>
          <t>Basic hub-spoke</t>
        </is>
      </c>
      <c r="E13" s="38" t="inlineStr">
        <is>
          <t>Regional hubs with mesh</t>
        </is>
      </c>
      <c r="F13" s="38" t="inlineStr">
        <is>
          <t>Complex multi-tier WAN architecture</t>
        </is>
      </c>
      <c r="G13" s="38" t="inlineStr">
        <is>
          <t>WAN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VPN encryption</t>
        </is>
      </c>
      <c r="D14" s="41" t="inlineStr">
        <is>
          <t>Basic encryption</t>
        </is>
      </c>
      <c r="E14" s="41" t="inlineStr">
        <is>
          <t>Integrated firewall + IPS</t>
        </is>
      </c>
      <c r="F14" s="41" t="inlineStr">
        <is>
          <t>Advanced security + SASE integration</t>
        </is>
      </c>
      <c r="G14" s="41" t="inlineStr">
        <is>
          <t>WAN security architecture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application routing</t>
        </is>
      </c>
      <c r="D16" s="41" t="inlineStr">
        <is>
          <t>Standard routing</t>
        </is>
      </c>
      <c r="E16" s="41" t="inlineStr">
        <is>
          <t>Application-aware routing + SLA</t>
        </is>
      </c>
      <c r="F16" s="41" t="inlineStr">
        <is>
          <t>Advanced TE and performance optimization</t>
        </is>
      </c>
      <c r="G16" s="41" t="inlineStr">
        <is>
          <t>Traffic engineering sophistication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(WAN Assessment, Circuit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(Controller Deployment, Router Configuration, Policy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Performance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(Site Deployment, MPLS Cutover,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Baseline, MPLS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WAN Assessment</t>
        </is>
      </c>
      <c r="C3" s="46" t="inlineStr">
        <is>
          <t>Assess current MPLS WAN architecture and costs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MPLS circuits bandwidth and costs</t>
        </is>
      </c>
    </row>
    <row r="4" ht="26" customHeight="1">
      <c r="A4" s="48" t="inlineStr">
        <is>
          <t>Discovery</t>
        </is>
      </c>
      <c r="B4" s="49" t="inlineStr">
        <is>
          <t>Circuit Availability Analysis</t>
        </is>
      </c>
      <c r="C4" s="49" t="inlineStr">
        <is>
          <t>Analyze broadband and LTE availability at sites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High</t>
        </is>
      </c>
      <c r="J4" s="49" t="inlineStr">
        <is>
          <t>Circuit procurement feasibility</t>
        </is>
      </c>
    </row>
    <row r="5" ht="26" customHeight="1">
      <c r="A5" s="45" t="inlineStr">
        <is>
          <t>Discovery</t>
        </is>
      </c>
      <c r="B5" s="46" t="inlineStr">
        <is>
          <t>Application Inventory</t>
        </is>
      </c>
      <c r="C5" s="46" t="inlineStr">
        <is>
          <t>Identify critical applications and SLA requirements</t>
        </is>
      </c>
      <c r="D5" s="46">
        <f>ROUND($C$23*32,0)</f>
        <v/>
      </c>
      <c r="E5" s="47" t="n">
        <v>32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Office 365 SAP VoIP performance needs</t>
        </is>
      </c>
    </row>
    <row r="6" ht="26" customHeight="1">
      <c r="A6" s="48" t="inlineStr">
        <is>
          <t>Discovery</t>
        </is>
      </c>
      <c r="B6" s="49" t="inlineStr">
        <is>
          <t>Traffic Analysis</t>
        </is>
      </c>
      <c r="C6" s="49" t="inlineStr">
        <is>
          <t>Analyze WAN traffic patterns and bandwidth usage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NetFlow analysis and capacity planning</t>
        </is>
      </c>
    </row>
    <row r="7" ht="26" customHeight="1">
      <c r="A7" s="45" t="inlineStr">
        <is>
          <t>Planning</t>
        </is>
      </c>
      <c r="B7" s="46" t="inlineStr">
        <is>
          <t>SD-WAN Architecture</t>
        </is>
      </c>
      <c r="C7" s="46" t="inlineStr">
        <is>
          <t>Design SD-WAN architecture for 25 sites</t>
        </is>
      </c>
      <c r="D7" s="46">
        <f>ROUND($C$24*60,0)</f>
        <v/>
      </c>
      <c r="E7" s="47" t="n">
        <v>60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vManage vSmart vBond controller design</t>
        </is>
      </c>
    </row>
    <row r="8" ht="26" customHeight="1">
      <c r="A8" s="48" t="inlineStr">
        <is>
          <t>Planning</t>
        </is>
      </c>
      <c r="B8" s="49" t="inlineStr">
        <is>
          <t>Routing Policy Design</t>
        </is>
      </c>
      <c r="C8" s="49" t="inlineStr">
        <is>
          <t>Design application-aware routing and SLA policies</t>
        </is>
      </c>
      <c r="D8" s="49">
        <f>ROUND($C$24*48,0)</f>
        <v/>
      </c>
      <c r="E8" s="50" t="n">
        <v>48</v>
      </c>
      <c r="F8" s="50" t="n">
        <v>225</v>
      </c>
      <c r="G8" s="49">
        <f>TEXT(E8*F8,"$#,##0")</f>
        <v/>
      </c>
      <c r="H8" s="49" t="inlineStr">
        <is>
          <t>Application Inventory</t>
        </is>
      </c>
      <c r="I8" s="49" t="inlineStr">
        <is>
          <t>High</t>
        </is>
      </c>
      <c r="J8" s="49" t="inlineStr">
        <is>
          <t>SaaS optimization and QoS policies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SD-WAN security and firewall policies</t>
        </is>
      </c>
      <c r="D9" s="46">
        <f>ROUND($C$24*32,0)</f>
        <v/>
      </c>
      <c r="E9" s="47" t="n">
        <v>32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VPN encryption and firewall rules</t>
        </is>
      </c>
    </row>
    <row r="10" ht="26" customHeight="1">
      <c r="A10" s="48" t="inlineStr">
        <is>
          <t>Planning</t>
        </is>
      </c>
      <c r="B10" s="49" t="inlineStr">
        <is>
          <t>Migration Strategy</t>
        </is>
      </c>
      <c r="C10" s="49" t="inlineStr">
        <is>
          <t>Plan MPLS to SD-WAN migration approach</t>
        </is>
      </c>
      <c r="D10" s="49">
        <f>ROUND($C$24*40,0)</f>
        <v/>
      </c>
      <c r="E10" s="50" t="n">
        <v>40</v>
      </c>
      <c r="F10" s="50" t="n">
        <v>200</v>
      </c>
      <c r="G10" s="49">
        <f>TEXT(E10*F10,"$#,##0")</f>
        <v/>
      </c>
      <c r="H10" s="49" t="inlineStr">
        <is>
          <t>Routing Design</t>
        </is>
      </c>
      <c r="I10" s="49" t="inlineStr">
        <is>
          <t>High</t>
        </is>
      </c>
      <c r="J10" s="49" t="inlineStr">
        <is>
          <t>Pilot sites and phased rollout</t>
        </is>
      </c>
    </row>
    <row r="11" ht="26" customHeight="1">
      <c r="A11" s="45" t="inlineStr">
        <is>
          <t>Development</t>
        </is>
      </c>
      <c r="B11" s="46" t="inlineStr">
        <is>
          <t>Controller Deployment</t>
        </is>
      </c>
      <c r="C11" s="46" t="inlineStr">
        <is>
          <t>Deploy vManage vSmart vBond controllers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Virtual controllers in data center</t>
        </is>
      </c>
    </row>
    <row r="12" ht="26" customHeight="1">
      <c r="A12" s="48" t="inlineStr">
        <is>
          <t>Development</t>
        </is>
      </c>
      <c r="B12" s="49" t="inlineStr">
        <is>
          <t>Hub Router Configuration</t>
        </is>
      </c>
      <c r="C12" s="49" t="inlineStr">
        <is>
          <t>Configure 2 hub routers at data centers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Controllers</t>
        </is>
      </c>
      <c r="I12" s="49" t="inlineStr">
        <is>
          <t>Medium</t>
        </is>
      </c>
      <c r="J12" s="49" t="inlineStr">
        <is>
          <t>ISR 4451 dual-hub configuration</t>
        </is>
      </c>
    </row>
    <row r="13" ht="26" customHeight="1">
      <c r="A13" s="45" t="inlineStr">
        <is>
          <t>Development</t>
        </is>
      </c>
      <c r="B13" s="46" t="inlineStr">
        <is>
          <t>Routing Policy Configuration</t>
        </is>
      </c>
      <c r="C13" s="46" t="inlineStr">
        <is>
          <t>Configure application routing and SLA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Design</t>
        </is>
      </c>
      <c r="I13" s="46" t="inlineStr">
        <is>
          <t>High</t>
        </is>
      </c>
      <c r="J13" s="46" t="inlineStr">
        <is>
          <t>Office 365 SaaS ERP VoIP policies</t>
        </is>
      </c>
    </row>
    <row r="14" ht="26" customHeight="1">
      <c r="A14" s="48" t="inlineStr">
        <is>
          <t>Development</t>
        </is>
      </c>
      <c r="B14" s="49" t="inlineStr">
        <is>
          <t>Security Policy Configuration</t>
        </is>
      </c>
      <c r="C14" s="49" t="inlineStr">
        <is>
          <t>Configure firewall and security policies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Routing Policies</t>
        </is>
      </c>
      <c r="I14" s="49" t="inlineStr">
        <is>
          <t>Medium</t>
        </is>
      </c>
      <c r="J14" s="49" t="inlineStr">
        <is>
          <t>Zone-based firewall and IPS</t>
        </is>
      </c>
    </row>
    <row r="15" ht="26" customHeight="1">
      <c r="A15" s="45" t="inlineStr">
        <is>
          <t>Development</t>
        </is>
      </c>
      <c r="B15" s="46" t="inlineStr">
        <is>
          <t>Cloud Integration</t>
        </is>
      </c>
      <c r="C15" s="46" t="inlineStr">
        <is>
          <t>Configure cloud on-ramps for AWS/Azure (optional)</t>
        </is>
      </c>
      <c r="D15" s="46">
        <f>ROUND($C$25*30,0)</f>
        <v/>
      </c>
      <c r="E15" s="47" t="n">
        <v>30</v>
      </c>
      <c r="F15" s="47" t="n">
        <v>225</v>
      </c>
      <c r="G15" s="46">
        <f>TEXT(E15*F15,"$#,##0")</f>
        <v/>
      </c>
      <c r="H15" s="46" t="inlineStr">
        <is>
          <t>Security Policies</t>
        </is>
      </c>
      <c r="I15" s="46" t="inlineStr">
        <is>
          <t>Low</t>
        </is>
      </c>
      <c r="J15" s="46" t="inlineStr">
        <is>
          <t>Direct cloud connectivity setup</t>
        </is>
      </c>
    </row>
    <row r="16" ht="26" customHeight="1">
      <c r="A16" s="48" t="inlineStr">
        <is>
          <t>Development</t>
        </is>
      </c>
      <c r="B16" s="49" t="inlineStr">
        <is>
          <t>Branch Router Preconfiguration</t>
        </is>
      </c>
      <c r="C16" s="49" t="inlineStr">
        <is>
          <t>Preconfigure 25 ISR branch routers for ZTP</t>
        </is>
      </c>
      <c r="D16" s="49">
        <f>ROUND($C$25*50,0)</f>
        <v/>
      </c>
      <c r="E16" s="50" t="n">
        <v>50</v>
      </c>
      <c r="F16" s="50" t="n">
        <v>200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Zero-touch provisioning templates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SD-WAN policies in lab environment</t>
        </is>
      </c>
      <c r="D17" s="46">
        <f>ROUND($C$26*32,0)</f>
        <v/>
      </c>
      <c r="E17" s="47" t="n">
        <v>32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GNS3 or CML testing</t>
        </is>
      </c>
    </row>
    <row r="18" ht="26" customHeight="1">
      <c r="A18" s="48" t="inlineStr">
        <is>
          <t>Testing</t>
        </is>
      </c>
      <c r="B18" s="49" t="inlineStr">
        <is>
          <t>Pilot Site Deployment</t>
        </is>
      </c>
      <c r="C18" s="49" t="inlineStr">
        <is>
          <t>Deploy 3 pilot sites for validation</t>
        </is>
      </c>
      <c r="D18" s="49">
        <f>ROUND($C$26*60,0)</f>
        <v/>
      </c>
      <c r="E18" s="50" t="n">
        <v>60</v>
      </c>
      <c r="F18" s="50" t="n">
        <v>200</v>
      </c>
      <c r="G18" s="49">
        <f>TEXT(E18*F18,"$#,##0")</f>
        <v/>
      </c>
      <c r="H18" s="49" t="inlineStr">
        <is>
          <t>Lab Testing</t>
        </is>
      </c>
      <c r="I18" s="49" t="inlineStr">
        <is>
          <t>High</t>
        </is>
      </c>
      <c r="J18" s="49" t="inlineStr">
        <is>
          <t>Low-risk site validation</t>
        </is>
      </c>
    </row>
    <row r="19" ht="26" customHeight="1">
      <c r="A19" s="45" t="inlineStr">
        <is>
          <t>Testing</t>
        </is>
      </c>
      <c r="B19" s="46" t="inlineStr">
        <is>
          <t>Performance Testing</t>
        </is>
      </c>
      <c r="C19" s="46" t="inlineStr">
        <is>
          <t>Test application performance and SLA compliance</t>
        </is>
      </c>
      <c r="D19" s="46">
        <f>ROUND($C$26*40,0)</f>
        <v/>
      </c>
      <c r="E19" s="47" t="n">
        <v>40</v>
      </c>
      <c r="F19" s="47" t="n">
        <v>200</v>
      </c>
      <c r="G19" s="46">
        <f>TEXT(E19*F19,"$#,##0")</f>
        <v/>
      </c>
      <c r="H19" s="46" t="inlineStr">
        <is>
          <t>Pilot Deploy</t>
        </is>
      </c>
      <c r="I19" s="46" t="inlineStr">
        <is>
          <t>High</t>
        </is>
      </c>
      <c r="J19" s="46" t="inlineStr">
        <is>
          <t>Office 365 VoIP and ERP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WAN circuit failover scenarios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Performance Tests</t>
        </is>
      </c>
      <c r="I20" s="49" t="inlineStr">
        <is>
          <t>Medium</t>
        </is>
      </c>
      <c r="J20" s="49" t="inlineStr">
        <is>
          <t>Broadband to LTE failover</t>
        </is>
      </c>
    </row>
    <row r="21" ht="26" customHeight="1">
      <c r="A21" s="45" t="inlineStr">
        <is>
          <t>Deployment</t>
        </is>
      </c>
      <c r="B21" s="46" t="inlineStr">
        <is>
          <t>Site Deployment Wave 1</t>
        </is>
      </c>
      <c r="C21" s="46" t="inlineStr">
        <is>
          <t>Deploy 10 sites (Wave 1)</t>
        </is>
      </c>
      <c r="D21" s="46">
        <f>ROUND($C$27*60,0)</f>
        <v/>
      </c>
      <c r="E21" s="47" t="n">
        <v>60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Circuit installation and ZTP</t>
        </is>
      </c>
    </row>
    <row r="22" ht="26" customHeight="1">
      <c r="A22" s="48" t="inlineStr">
        <is>
          <t>Deployment</t>
        </is>
      </c>
      <c r="B22" s="49" t="inlineStr">
        <is>
          <t>Site Deployment Wave 2</t>
        </is>
      </c>
      <c r="C22" s="49" t="inlineStr">
        <is>
          <t>Deploy 12 remaining sites (Wave 2)</t>
        </is>
      </c>
      <c r="D22" s="49">
        <f>ROUND($C$27*60,0)</f>
        <v/>
      </c>
      <c r="E22" s="50" t="n">
        <v>60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Final site rollout</t>
        </is>
      </c>
    </row>
    <row r="23" ht="26" customHeight="1">
      <c r="A23" s="45" t="inlineStr">
        <is>
          <t>Deployment</t>
        </is>
      </c>
      <c r="B23" s="46" t="inlineStr">
        <is>
          <t>MPLS Cutover</t>
        </is>
      </c>
      <c r="C23" s="46" t="inlineStr">
        <is>
          <t>Decommission MPLS circuits site-by-site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All Sites Deployed</t>
        </is>
      </c>
      <c r="I23" s="46" t="inlineStr">
        <is>
          <t>High</t>
        </is>
      </c>
      <c r="J23" s="46" t="inlineStr">
        <is>
          <t>Validate SD-WAN before MPLS disconnect</t>
        </is>
      </c>
    </row>
    <row r="24" ht="26" customHeight="1">
      <c r="A24" s="48" t="inlineStr">
        <is>
          <t>Deployment</t>
        </is>
      </c>
      <c r="B24" s="49" t="inlineStr">
        <is>
          <t>Hypercare Support</t>
        </is>
      </c>
      <c r="C24" s="49" t="inlineStr">
        <is>
          <t>Provide post-deployment stabilization support</t>
        </is>
      </c>
      <c r="D24" s="49">
        <f>ROUND($C$27*60,0)</f>
        <v/>
      </c>
      <c r="E24" s="50" t="n">
        <v>60</v>
      </c>
      <c r="F24" s="50" t="n">
        <v>150</v>
      </c>
      <c r="G24" s="49">
        <f>TEXT(E24*F24,"$#,##0")</f>
        <v/>
      </c>
      <c r="H24" s="49" t="inlineStr">
        <is>
          <t>Deployment Complete</t>
        </is>
      </c>
      <c r="I24" s="49" t="inlineStr">
        <is>
          <t>Medium</t>
        </is>
      </c>
      <c r="J24" s="49" t="inlineStr">
        <is>
          <t>4-week hypercare period</t>
        </is>
      </c>
    </row>
    <row r="25" ht="26" customHeight="1">
      <c r="A25" s="45" t="inlineStr">
        <is>
          <t>Training</t>
        </is>
      </c>
      <c r="B25" s="46" t="inlineStr">
        <is>
          <t>vManage Training</t>
        </is>
      </c>
      <c r="C25" s="46" t="inlineStr">
        <is>
          <t>Train team on vManage operations and monitoring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Policy management and dashboards</t>
        </is>
      </c>
    </row>
    <row r="26" ht="26" customHeight="1">
      <c r="A26" s="48" t="inlineStr">
        <is>
          <t>Training</t>
        </is>
      </c>
      <c r="B26" s="49" t="inlineStr">
        <is>
          <t>Troubleshooting Training</t>
        </is>
      </c>
      <c r="C26" s="49" t="inlineStr">
        <is>
          <t>Train team on SD-WAN troubleshooting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vManage Training</t>
        </is>
      </c>
      <c r="I26" s="49" t="inlineStr">
        <is>
          <t>Low</t>
        </is>
      </c>
      <c r="J26" s="49" t="inlineStr">
        <is>
          <t>Packet trace and path analysis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SOPs and architecture docs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diagrams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SD-WAN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WAN performance baselines and SLAs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Hypercare</t>
        </is>
      </c>
      <c r="I29" s="46" t="inlineStr">
        <is>
          <t>Low</t>
        </is>
      </c>
      <c r="J29" s="46" t="inlineStr">
        <is>
          <t>Application SLA compliance metrics</t>
        </is>
      </c>
    </row>
    <row r="30" ht="26" customHeight="1">
      <c r="A30" s="48" t="inlineStr">
        <is>
          <t>Closeout</t>
        </is>
      </c>
      <c r="B30" s="49" t="inlineStr">
        <is>
          <t>MPLS Decommission Completion</t>
        </is>
      </c>
      <c r="C30" s="49" t="inlineStr">
        <is>
          <t>Complete MPLS circuit disconnections</t>
        </is>
      </c>
      <c r="D30" s="49">
        <f>ROUND($C$29*16,0)</f>
        <v/>
      </c>
      <c r="E30" s="50" t="n">
        <v>16</v>
      </c>
      <c r="F30" s="50" t="n">
        <v>150</v>
      </c>
      <c r="G30" s="49">
        <f>TEXT(E30*F30,"$#,##0")</f>
        <v/>
      </c>
      <c r="H30" s="49" t="inlineStr">
        <is>
          <t>MPLS Cutover</t>
        </is>
      </c>
      <c r="I30" s="49" t="inlineStr">
        <is>
          <t>Medium</t>
        </is>
      </c>
      <c r="J30" s="49" t="inlineStr">
        <is>
          <t>Final circuit cancellations and validation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Technical quarterback and architecture oversight</t>
        </is>
      </c>
      <c r="D31" s="46">
        <f>ROUND(SUM(E3:E30)*$C$30,0)</f>
        <v/>
      </c>
      <c r="E31" s="51">
        <f>ROUND(SUM(E3:E30)*0.25,0)</f>
        <v/>
      </c>
      <c r="F31" s="47" t="n">
        <v>225</v>
      </c>
      <c r="G31" s="46">
        <f>TEXT(E31*F31,"$#,##0")</f>
        <v/>
      </c>
      <c r="H31" s="46" t="inlineStr"/>
      <c r="I31" s="46" t="inlineStr">
        <is>
          <t>Medium</t>
        </is>
      </c>
      <c r="J31" s="46" t="inlineStr">
        <is>
          <t>25% of total engineering effort</t>
        </is>
      </c>
    </row>
    <row r="32" ht="26" customHeight="1">
      <c r="A32" s="48" t="inlineStr">
        <is>
          <t>Management</t>
        </is>
      </c>
      <c r="B32" s="49" t="inlineStr">
        <is>
          <t>Project Management</t>
        </is>
      </c>
      <c r="C32" s="49" t="inlineStr">
        <is>
          <t>Project coordination and stakeholder management</t>
        </is>
      </c>
      <c r="D32" s="49">
        <f>ROUND(SUM(E3:E31)*0.20,0)</f>
        <v/>
      </c>
      <c r="E32" s="52">
        <f>ROUND(SUM(E3:E31)*0.20,0)</f>
        <v/>
      </c>
      <c r="F32" s="50" t="n">
        <v>175</v>
      </c>
      <c r="G32" s="49">
        <f>TEXT(E32*F32,"$#,##0")</f>
        <v/>
      </c>
      <c r="H32" s="49" t="inlineStr"/>
      <c r="I32" s="49" t="inlineStr">
        <is>
          <t>Low</t>
        </is>
      </c>
      <c r="J32" s="49" t="inlineStr">
        <is>
          <t>20% of total engineering effort</t>
        </is>
      </c>
    </row>
    <row r="33" ht="26" customHeight="1">
      <c r="A33" s="53" t="inlineStr"/>
      <c r="B33" s="53" t="inlineStr"/>
      <c r="C33" s="53" t="inlineStr"/>
      <c r="D33" s="54" t="inlineStr">
        <is>
          <t>TOTAL HOURS</t>
        </is>
      </c>
      <c r="E33" s="54">
        <f>SUM(E3:E32)</f>
        <v/>
      </c>
      <c r="F33" s="54" t="inlineStr">
        <is>
          <t>TOTAL COST</t>
        </is>
      </c>
      <c r="G33" s="54">
        <f>TEXT(SUM(G3:G32),"$#,##0")</f>
        <v/>
      </c>
      <c r="H33" s="53" t="inlineStr"/>
      <c r="I33" s="53" t="inlineStr"/>
      <c r="J33" s="54" t="inlineStr">
        <is>
          <t>Total SD-WAN implementation cost</t>
        </is>
      </c>
    </row>
  </sheetData>
  <autoFilter ref="A2:J33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Router Trade-In Credit</t>
        </is>
      </c>
      <c r="C3" s="55" t="n">
        <v>-8000</v>
      </c>
      <c r="D3" s="38" t="inlineStr">
        <is>
          <t>Legacy router trade-in credit</t>
        </is>
      </c>
    </row>
    <row r="4" ht="26" customHeight="1">
      <c r="A4" s="40" t="inlineStr">
        <is>
          <t>Software</t>
        </is>
      </c>
      <c r="B4" s="41" t="inlineStr">
        <is>
          <t>SD-WAN License Promotion</t>
        </is>
      </c>
      <c r="C4" s="56" t="n">
        <v>-15000</v>
      </c>
      <c r="D4" s="41" t="inlineStr">
        <is>
          <t>Year 1 SD-WAN license 25% discount promotion</t>
        </is>
      </c>
    </row>
    <row r="5" ht="26" customHeight="1">
      <c r="A5" s="37" t="inlineStr">
        <is>
          <t>WAN Circuits</t>
        </is>
      </c>
      <c r="B5" s="38" t="inlineStr">
        <is>
          <t>Circuit Installation Waiver</t>
        </is>
      </c>
      <c r="C5" s="55" t="n">
        <v>-12000</v>
      </c>
      <c r="D5" s="38" t="inlineStr">
        <is>
          <t>Year 1 broadband circuit installation fees waived by provider</t>
        </is>
      </c>
    </row>
    <row r="6" ht="26" customHeight="1">
      <c r="A6" s="40" t="inlineStr">
        <is>
          <t>Professional Services</t>
        </is>
      </c>
      <c r="B6" s="41" t="inlineStr">
        <is>
          <t>Implementation Services</t>
        </is>
      </c>
      <c r="C6" s="56" t="n">
        <v>0</v>
      </c>
      <c r="D6" s="41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2025-11-26T15:23:59Z</dcterms:modified>
  <cp:lastModifiedBy>Kishan Siram</cp:lastModifiedBy>
</cp:coreProperties>
</file>