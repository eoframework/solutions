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Assumptions'!$A$2:$G$17</definedName>
    <definedName name="_xlnm._FilterDatabase" localSheetId="2" hidden="1">'Estimate Settings'!$A$2:$D$10</definedName>
    <definedName name="_xlnm._FilterDatabase" localSheetId="3" hidden="1">'LOE'!$A$2:$J$33</definedName>
    <definedName name="_xlnm._FilterDatabase" localSheetId="4" hidden="1">'Credits'!$A$2:$D$6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166" fontId="18" fillId="11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CISCO - Network - Sd Wan Enterprise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Primary Features/Capabilities</t>
        </is>
      </c>
      <c r="C3" s="39" t="inlineStr">
        <is>
          <t>SD-WAN for 25 branch offices</t>
        </is>
      </c>
      <c r="D3" s="38" t="inlineStr">
        <is>
          <t>SD-WAN for 25 sites</t>
        </is>
      </c>
      <c r="E3" s="38" t="inlineStr">
        <is>
          <t>SD-WAN for 50 sites</t>
        </is>
      </c>
      <c r="F3" s="38" t="inlineStr">
        <is>
          <t>SD-WAN for 100+ sites</t>
        </is>
      </c>
      <c r="G3" s="38" t="inlineStr">
        <is>
          <t>Branch office count and scope</t>
        </is>
      </c>
    </row>
    <row r="4" ht="26" customHeight="1">
      <c r="A4" s="40" t="inlineStr">
        <is>
          <t>Solution Scope</t>
        </is>
      </c>
      <c r="B4" s="41" t="inlineStr">
        <is>
          <t>Customization Level</t>
        </is>
      </c>
      <c r="C4" s="39" t="inlineStr">
        <is>
          <t>Standard SD-WAN deployment</t>
        </is>
      </c>
      <c r="D4" s="41" t="inlineStr">
        <is>
          <t>Standard policies</t>
        </is>
      </c>
      <c r="E4" s="41" t="inlineStr">
        <is>
          <t>Custom application policies and QoS</t>
        </is>
      </c>
      <c r="F4" s="41" t="inlineStr">
        <is>
          <t>Extensive custom routing and security</t>
        </is>
      </c>
      <c r="G4" s="41" t="inlineStr">
        <is>
          <t>Configuration vs customization</t>
        </is>
      </c>
    </row>
    <row r="5" ht="26" customHeight="1">
      <c r="A5" s="37" t="inlineStr">
        <is>
          <t>Integration</t>
        </is>
      </c>
      <c r="B5" s="38" t="inlineStr">
        <is>
          <t>External System Integrations</t>
        </is>
      </c>
      <c r="C5" s="39" t="inlineStr">
        <is>
          <t>2 systems (cloud + monitoring)</t>
        </is>
      </c>
      <c r="D5" s="38" t="inlineStr">
        <is>
          <t>2 systems</t>
        </is>
      </c>
      <c r="E5" s="38" t="inlineStr">
        <is>
          <t>4 systems (cloud monitoring ITSM IPAM)</t>
        </is>
      </c>
      <c r="F5" s="38" t="inlineStr">
        <is>
          <t>6+ systems including orchestration</t>
        </is>
      </c>
      <c r="G5" s="38" t="inlineStr">
        <is>
          <t>Cloud and management integration</t>
        </is>
      </c>
    </row>
    <row r="6" ht="26" customHeight="1">
      <c r="A6" s="40" t="inlineStr">
        <is>
          <t>Integration</t>
        </is>
      </c>
      <c r="B6" s="41" t="inlineStr">
        <is>
          <t>Data Sources</t>
        </is>
      </c>
      <c r="C6" s="39" t="inlineStr">
        <is>
          <t>WAN telemetry only</t>
        </is>
      </c>
      <c r="D6" s="41" t="inlineStr">
        <is>
          <t>WAN telemetry</t>
        </is>
      </c>
      <c r="E6" s="41" t="inlineStr">
        <is>
          <t>WAN + application + security data</t>
        </is>
      </c>
      <c r="F6" s="41" t="inlineStr">
        <is>
          <t>WAN + app + security + external feeds</t>
        </is>
      </c>
      <c r="G6" s="41" t="inlineStr">
        <is>
          <t>Performance and security data</t>
        </is>
      </c>
    </row>
    <row r="7" ht="26" customHeight="1">
      <c r="A7" s="37" t="inlineStr">
        <is>
          <t>User Base</t>
        </is>
      </c>
      <c r="B7" s="38" t="inlineStr">
        <is>
          <t>Total Users</t>
        </is>
      </c>
      <c r="C7" s="39" t="inlineStr">
        <is>
          <t>5 network engineers</t>
        </is>
      </c>
      <c r="D7" s="38" t="inlineStr">
        <is>
          <t>5 engineers</t>
        </is>
      </c>
      <c r="E7" s="38" t="inlineStr">
        <is>
          <t>10 network team members</t>
        </is>
      </c>
      <c r="F7" s="38" t="inlineStr">
        <is>
          <t>20+ distributed WAN team</t>
        </is>
      </c>
      <c r="G7" s="38" t="inlineStr">
        <is>
          <t>vManage and SD-WAN operators</t>
        </is>
      </c>
    </row>
    <row r="8" ht="26" customHeight="1">
      <c r="A8" s="40" t="inlineStr">
        <is>
          <t>User Base</t>
        </is>
      </c>
      <c r="B8" s="41" t="inlineStr">
        <is>
          <t>User Roles</t>
        </is>
      </c>
      <c r="C8" s="39" t="inlineStr">
        <is>
          <t>2 roles (admin + operator)</t>
        </is>
      </c>
      <c r="D8" s="41" t="inlineStr">
        <is>
          <t>2 roles</t>
        </is>
      </c>
      <c r="E8" s="41" t="inlineStr">
        <is>
          <t>4 roles with regional delegation</t>
        </is>
      </c>
      <c r="F8" s="41" t="inlineStr">
        <is>
          <t>6+ roles with complex RBAC</t>
        </is>
      </c>
      <c r="G8" s="41" t="inlineStr">
        <is>
          <t>Role-based access control</t>
        </is>
      </c>
    </row>
    <row r="9" ht="26" customHeight="1">
      <c r="A9" s="37" t="inlineStr">
        <is>
          <t>Data Volume</t>
        </is>
      </c>
      <c r="B9" s="38" t="inlineStr">
        <is>
          <t>Data Processing Volume</t>
        </is>
      </c>
      <c r="C9" s="39" t="inlineStr">
        <is>
          <t>25 sites WAN traffic</t>
        </is>
      </c>
      <c r="D9" s="38" t="inlineStr">
        <is>
          <t>25 sites</t>
        </is>
      </c>
      <c r="E9" s="38" t="inlineStr">
        <is>
          <t>50 sites WAN traffic</t>
        </is>
      </c>
      <c r="F9" s="38" t="inlineStr">
        <is>
          <t>100+ sites WAN traffic</t>
        </is>
      </c>
      <c r="G9" s="38" t="inlineStr">
        <is>
          <t>SD-WAN overlay traffic volume</t>
        </is>
      </c>
    </row>
    <row r="10" ht="26" customHeight="1">
      <c r="A10" s="40" t="inlineStr">
        <is>
          <t>Data Volume</t>
        </is>
      </c>
      <c r="B10" s="41" t="inlineStr">
        <is>
          <t>Data Storage Requirements</t>
        </is>
      </c>
      <c r="C10" s="39" t="inlineStr">
        <is>
          <t>200 GB (90-day logs)</t>
        </is>
      </c>
      <c r="D10" s="41" t="inlineStr">
        <is>
          <t>200 GB</t>
        </is>
      </c>
      <c r="E10" s="41" t="inlineStr">
        <is>
          <t>500 GB (1-year logs)</t>
        </is>
      </c>
      <c r="F10" s="41" t="inlineStr">
        <is>
          <t>2+ TB (multi-year logs)</t>
        </is>
      </c>
      <c r="G10" s="41" t="inlineStr">
        <is>
          <t>vManage telemetry and logs</t>
        </is>
      </c>
    </row>
    <row r="11" ht="26" customHeight="1">
      <c r="A11" s="37" t="inlineStr">
        <is>
          <t>Technical Environment</t>
        </is>
      </c>
      <c r="B11" s="38" t="inlineStr">
        <is>
          <t>Deployment Regions</t>
        </is>
      </c>
      <c r="C11" s="39" t="inlineStr">
        <is>
          <t>Single region</t>
        </is>
      </c>
      <c r="D11" s="38" t="inlineStr">
        <is>
          <t>Single region</t>
        </is>
      </c>
      <c r="E11" s="38" t="inlineStr">
        <is>
          <t>2 regions</t>
        </is>
      </c>
      <c r="F11" s="38" t="inlineStr">
        <is>
          <t>Multi-region global deployment</t>
        </is>
      </c>
      <c r="G11" s="38" t="inlineStr">
        <is>
          <t>Geographic distribution</t>
        </is>
      </c>
    </row>
    <row r="12" ht="26" customHeight="1">
      <c r="A12" s="40" t="inlineStr">
        <is>
          <t>Technical Environment</t>
        </is>
      </c>
      <c r="B12" s="41" t="inlineStr">
        <is>
          <t>Availability Requirements</t>
        </is>
      </c>
      <c r="C12" s="39" t="inlineStr">
        <is>
          <t>Standard (99.5%)</t>
        </is>
      </c>
      <c r="D12" s="41" t="inlineStr">
        <is>
          <t>Standard (99.5%)</t>
        </is>
      </c>
      <c r="E12" s="41" t="inlineStr">
        <is>
          <t>High availability (99.9%)</t>
        </is>
      </c>
      <c r="F12" s="41" t="inlineStr">
        <is>
          <t>Mission critical (99.95%+)</t>
        </is>
      </c>
      <c r="G12" s="41" t="inlineStr">
        <is>
          <t>WAN uptime SLA</t>
        </is>
      </c>
    </row>
    <row r="13" ht="26" customHeight="1">
      <c r="A13" s="37" t="inlineStr">
        <is>
          <t>Technical Environment</t>
        </is>
      </c>
      <c r="B13" s="38" t="inlineStr">
        <is>
          <t>Infrastructure Complexity</t>
        </is>
      </c>
      <c r="C13" s="39" t="inlineStr">
        <is>
          <t>Basic hub-spoke WAN</t>
        </is>
      </c>
      <c r="D13" s="38" t="inlineStr">
        <is>
          <t>Basic hub-spoke</t>
        </is>
      </c>
      <c r="E13" s="38" t="inlineStr">
        <is>
          <t>Regional hubs with mesh</t>
        </is>
      </c>
      <c r="F13" s="38" t="inlineStr">
        <is>
          <t>Complex multi-tier WAN architecture</t>
        </is>
      </c>
      <c r="G13" s="38" t="inlineStr">
        <is>
          <t>WAN topology complexity</t>
        </is>
      </c>
    </row>
    <row r="14" ht="26" customHeight="1">
      <c r="A14" s="40" t="inlineStr">
        <is>
          <t>Security &amp; Compliance</t>
        </is>
      </c>
      <c r="B14" s="41" t="inlineStr">
        <is>
          <t>Security Requirements</t>
        </is>
      </c>
      <c r="C14" s="39" t="inlineStr">
        <is>
          <t>Basic VPN encryption</t>
        </is>
      </c>
      <c r="D14" s="41" t="inlineStr">
        <is>
          <t>Basic encryption</t>
        </is>
      </c>
      <c r="E14" s="41" t="inlineStr">
        <is>
          <t>Integrated firewall + IPS</t>
        </is>
      </c>
      <c r="F14" s="41" t="inlineStr">
        <is>
          <t>Advanced security + SASE integration</t>
        </is>
      </c>
      <c r="G14" s="41" t="inlineStr">
        <is>
          <t>WAN security architecture</t>
        </is>
      </c>
    </row>
    <row r="15" ht="26" customHeight="1">
      <c r="A15" s="37" t="inlineStr">
        <is>
          <t>Security &amp; Compliance</t>
        </is>
      </c>
      <c r="B15" s="38" t="inlineStr">
        <is>
          <t>Compliance Frameworks</t>
        </is>
      </c>
      <c r="C15" s="39" t="inlineStr">
        <is>
          <t>Basic logging</t>
        </is>
      </c>
      <c r="D15" s="38" t="inlineStr">
        <is>
          <t>Basic logging</t>
        </is>
      </c>
      <c r="E15" s="38" t="inlineStr">
        <is>
          <t>PCI DSS or SOC 2</t>
        </is>
      </c>
      <c r="F15" s="38" t="inlineStr">
        <is>
          <t>Multiple regulatory frameworks</t>
        </is>
      </c>
      <c r="G15" s="38" t="inlineStr">
        <is>
          <t>Compliance automation requirements</t>
        </is>
      </c>
    </row>
    <row r="16" ht="26" customHeight="1">
      <c r="A16" s="40" t="inlineStr">
        <is>
          <t>Performance</t>
        </is>
      </c>
      <c r="B16" s="41" t="inlineStr">
        <is>
          <t>Performance Requirements</t>
        </is>
      </c>
      <c r="C16" s="39" t="inlineStr">
        <is>
          <t>Standard application routing</t>
        </is>
      </c>
      <c r="D16" s="41" t="inlineStr">
        <is>
          <t>Standard routing</t>
        </is>
      </c>
      <c r="E16" s="41" t="inlineStr">
        <is>
          <t>Application-aware routing + SLA</t>
        </is>
      </c>
      <c r="F16" s="41" t="inlineStr">
        <is>
          <t>Advanced TE and performance optimization</t>
        </is>
      </c>
      <c r="G16" s="41" t="inlineStr">
        <is>
          <t>Traffic engineering sophistication</t>
        </is>
      </c>
    </row>
    <row r="17" ht="26" customHeight="1">
      <c r="A17" s="37" t="inlineStr">
        <is>
          <t>Environment</t>
        </is>
      </c>
      <c r="B17" s="38" t="inlineStr">
        <is>
          <t>Deployment Environments</t>
        </is>
      </c>
      <c r="C17" s="39" t="inlineStr">
        <is>
          <t>Production only</t>
        </is>
      </c>
      <c r="D17" s="38" t="inlineStr">
        <is>
          <t>Production only</t>
        </is>
      </c>
      <c r="E17" s="38" t="inlineStr">
        <is>
          <t>Lab + production</t>
        </is>
      </c>
      <c r="F17" s="38" t="inlineStr">
        <is>
          <t>Lab + staging + production</t>
        </is>
      </c>
      <c r="G17" s="38" t="inlineStr">
        <is>
          <t>Testing and validation environments</t>
        </is>
      </c>
    </row>
  </sheetData>
  <autoFilter ref="A2:G17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(WAN Assessment, Circuit Analysis, Requirements Gathering)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(Architecture Design, Policy Design, Migration Planning)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(Controller Deployment, Router Configuration, Policy Setup)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(Lab Testing, Pilot Validation, Performance Testing)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(Site Deployment, MPLS Cutover, Go-Live Support)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(Team Training, Documentation, Knowledge Transfer)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(Operational Handoff, Performance Baseline, MPLS Decommission)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0.25</v>
      </c>
      <c r="D10" s="41" t="inlineStr">
        <is>
          <t>Project management and technical leadership (25% of total engineering effort)</t>
        </is>
      </c>
    </row>
    <row r="12" ht="20" customHeight="1">
      <c r="A12" s="44" t="inlineStr">
        <is>
          <t>EO Sales Engineer Updates Multipliers Based on Customer Scope</t>
        </is>
      </c>
    </row>
  </sheetData>
  <autoFilter ref="A2:D10"/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8" customWidth="1" min="4" max="4"/>
    <col width="10" customWidth="1" min="5" max="5"/>
    <col width="12" customWidth="1" min="6" max="6"/>
    <col width="18" customWidth="1" min="7" max="7"/>
    <col width="14" customWidth="1" min="8" max="8"/>
    <col width="12" customWidth="1" min="9" max="9"/>
    <col width="40" customWidth="1" min="10" max="10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Estimated Hours</t>
        </is>
      </c>
      <c r="F2" s="36" t="inlineStr">
        <is>
          <t>Rate</t>
        </is>
      </c>
      <c r="G2" s="36" t="inlineStr">
        <is>
          <t>Cost Estimate</t>
        </is>
      </c>
      <c r="H2" s="36" t="inlineStr">
        <is>
          <t>Dependencies</t>
        </is>
      </c>
      <c r="I2" s="36" t="inlineStr">
        <is>
          <t>Risk Level</t>
        </is>
      </c>
      <c r="J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WAN Assessment</t>
        </is>
      </c>
      <c r="C3" s="46" t="inlineStr">
        <is>
          <t>Assess current MPLS WAN architecture and costs</t>
        </is>
      </c>
      <c r="D3" s="46">
        <f>ROUND($C$23*40,0)</f>
        <v/>
      </c>
      <c r="E3" s="47" t="n">
        <v>40</v>
      </c>
      <c r="F3" s="47" t="n">
        <v>225</v>
      </c>
      <c r="G3" s="46">
        <f>TEXT(E3*F3,"$#,##0")</f>
        <v/>
      </c>
      <c r="H3" s="46" t="inlineStr"/>
      <c r="I3" s="46" t="inlineStr">
        <is>
          <t>Medium</t>
        </is>
      </c>
      <c r="J3" s="46" t="inlineStr">
        <is>
          <t>MPLS circuits bandwidth and costs</t>
        </is>
      </c>
    </row>
    <row r="4" ht="26" customHeight="1">
      <c r="A4" s="48" t="inlineStr">
        <is>
          <t>Discovery</t>
        </is>
      </c>
      <c r="B4" s="49" t="inlineStr">
        <is>
          <t>Circuit Availability Analysis</t>
        </is>
      </c>
      <c r="C4" s="49" t="inlineStr">
        <is>
          <t>Analyze broadband and LTE availability at sites</t>
        </is>
      </c>
      <c r="D4" s="49">
        <f>ROUND($C$23*32,0)</f>
        <v/>
      </c>
      <c r="E4" s="50" t="n">
        <v>32</v>
      </c>
      <c r="F4" s="50" t="n">
        <v>200</v>
      </c>
      <c r="G4" s="49">
        <f>TEXT(E4*F4,"$#,##0")</f>
        <v/>
      </c>
      <c r="H4" s="49" t="inlineStr"/>
      <c r="I4" s="49" t="inlineStr">
        <is>
          <t>High</t>
        </is>
      </c>
      <c r="J4" s="49" t="inlineStr">
        <is>
          <t>Circuit procurement feasibility</t>
        </is>
      </c>
    </row>
    <row r="5" ht="26" customHeight="1">
      <c r="A5" s="45" t="inlineStr">
        <is>
          <t>Discovery</t>
        </is>
      </c>
      <c r="B5" s="46" t="inlineStr">
        <is>
          <t>Application Inventory</t>
        </is>
      </c>
      <c r="C5" s="46" t="inlineStr">
        <is>
          <t>Identify critical applications and SLA requirements</t>
        </is>
      </c>
      <c r="D5" s="46">
        <f>ROUND($C$23*32,0)</f>
        <v/>
      </c>
      <c r="E5" s="47" t="n">
        <v>32</v>
      </c>
      <c r="F5" s="47" t="n">
        <v>200</v>
      </c>
      <c r="G5" s="46">
        <f>TEXT(E5*F5,"$#,##0")</f>
        <v/>
      </c>
      <c r="H5" s="46" t="inlineStr"/>
      <c r="I5" s="46" t="inlineStr">
        <is>
          <t>Medium</t>
        </is>
      </c>
      <c r="J5" s="46" t="inlineStr">
        <is>
          <t>Office 365 SAP VoIP performance needs</t>
        </is>
      </c>
    </row>
    <row r="6" ht="26" customHeight="1">
      <c r="A6" s="48" t="inlineStr">
        <is>
          <t>Discovery</t>
        </is>
      </c>
      <c r="B6" s="49" t="inlineStr">
        <is>
          <t>Traffic Analysis</t>
        </is>
      </c>
      <c r="C6" s="49" t="inlineStr">
        <is>
          <t>Analyze WAN traffic patterns and bandwidth usage</t>
        </is>
      </c>
      <c r="D6" s="49">
        <f>ROUND($C$23*24,0)</f>
        <v/>
      </c>
      <c r="E6" s="50" t="n">
        <v>24</v>
      </c>
      <c r="F6" s="50" t="n">
        <v>175</v>
      </c>
      <c r="G6" s="49">
        <f>TEXT(E6*F6,"$#,##0")</f>
        <v/>
      </c>
      <c r="H6" s="49" t="inlineStr"/>
      <c r="I6" s="49" t="inlineStr">
        <is>
          <t>Medium</t>
        </is>
      </c>
      <c r="J6" s="49" t="inlineStr">
        <is>
          <t>NetFlow analysis and capacity planning</t>
        </is>
      </c>
    </row>
    <row r="7" ht="26" customHeight="1">
      <c r="A7" s="45" t="inlineStr">
        <is>
          <t>Planning</t>
        </is>
      </c>
      <c r="B7" s="46" t="inlineStr">
        <is>
          <t>SD-WAN Architecture</t>
        </is>
      </c>
      <c r="C7" s="46" t="inlineStr">
        <is>
          <t>Design SD-WAN architecture for 25 sites</t>
        </is>
      </c>
      <c r="D7" s="46">
        <f>ROUND($C$24*60,0)</f>
        <v/>
      </c>
      <c r="E7" s="47" t="n">
        <v>60</v>
      </c>
      <c r="F7" s="47" t="n">
        <v>225</v>
      </c>
      <c r="G7" s="46">
        <f>TEXT(E7*F7,"$#,##0")</f>
        <v/>
      </c>
      <c r="H7" s="46" t="inlineStr">
        <is>
          <t>Assessment</t>
        </is>
      </c>
      <c r="I7" s="46" t="inlineStr">
        <is>
          <t>Medium</t>
        </is>
      </c>
      <c r="J7" s="46" t="inlineStr">
        <is>
          <t>vManage vSmart vBond controller design</t>
        </is>
      </c>
    </row>
    <row r="8" ht="26" customHeight="1">
      <c r="A8" s="48" t="inlineStr">
        <is>
          <t>Planning</t>
        </is>
      </c>
      <c r="B8" s="49" t="inlineStr">
        <is>
          <t>Routing Policy Design</t>
        </is>
      </c>
      <c r="C8" s="49" t="inlineStr">
        <is>
          <t>Design application-aware routing and SLA policies</t>
        </is>
      </c>
      <c r="D8" s="49">
        <f>ROUND($C$24*48,0)</f>
        <v/>
      </c>
      <c r="E8" s="50" t="n">
        <v>48</v>
      </c>
      <c r="F8" s="50" t="n">
        <v>225</v>
      </c>
      <c r="G8" s="49">
        <f>TEXT(E8*F8,"$#,##0")</f>
        <v/>
      </c>
      <c r="H8" s="49" t="inlineStr">
        <is>
          <t>Application Inventory</t>
        </is>
      </c>
      <c r="I8" s="49" t="inlineStr">
        <is>
          <t>High</t>
        </is>
      </c>
      <c r="J8" s="49" t="inlineStr">
        <is>
          <t>SaaS optimization and QoS policies</t>
        </is>
      </c>
    </row>
    <row r="9" ht="26" customHeight="1">
      <c r="A9" s="45" t="inlineStr">
        <is>
          <t>Planning</t>
        </is>
      </c>
      <c r="B9" s="46" t="inlineStr">
        <is>
          <t>Security Architecture</t>
        </is>
      </c>
      <c r="C9" s="46" t="inlineStr">
        <is>
          <t>Design SD-WAN security and firewall policies</t>
        </is>
      </c>
      <c r="D9" s="46">
        <f>ROUND($C$24*32,0)</f>
        <v/>
      </c>
      <c r="E9" s="47" t="n">
        <v>32</v>
      </c>
      <c r="F9" s="47" t="n">
        <v>225</v>
      </c>
      <c r="G9" s="46">
        <f>TEXT(E9*F9,"$#,##0")</f>
        <v/>
      </c>
      <c r="H9" s="46" t="inlineStr">
        <is>
          <t>Architecture</t>
        </is>
      </c>
      <c r="I9" s="46" t="inlineStr">
        <is>
          <t>Medium</t>
        </is>
      </c>
      <c r="J9" s="46" t="inlineStr">
        <is>
          <t>VPN encryption and firewall rules</t>
        </is>
      </c>
    </row>
    <row r="10" ht="26" customHeight="1">
      <c r="A10" s="48" t="inlineStr">
        <is>
          <t>Planning</t>
        </is>
      </c>
      <c r="B10" s="49" t="inlineStr">
        <is>
          <t>Migration Strategy</t>
        </is>
      </c>
      <c r="C10" s="49" t="inlineStr">
        <is>
          <t>Plan MPLS to SD-WAN migration approach</t>
        </is>
      </c>
      <c r="D10" s="49">
        <f>ROUND($C$24*40,0)</f>
        <v/>
      </c>
      <c r="E10" s="50" t="n">
        <v>40</v>
      </c>
      <c r="F10" s="50" t="n">
        <v>200</v>
      </c>
      <c r="G10" s="49">
        <f>TEXT(E10*F10,"$#,##0")</f>
        <v/>
      </c>
      <c r="H10" s="49" t="inlineStr">
        <is>
          <t>Routing Design</t>
        </is>
      </c>
      <c r="I10" s="49" t="inlineStr">
        <is>
          <t>High</t>
        </is>
      </c>
      <c r="J10" s="49" t="inlineStr">
        <is>
          <t>Pilot sites and phased rollout</t>
        </is>
      </c>
    </row>
    <row r="11" ht="26" customHeight="1">
      <c r="A11" s="45" t="inlineStr">
        <is>
          <t>Development</t>
        </is>
      </c>
      <c r="B11" s="46" t="inlineStr">
        <is>
          <t>Controller Deployment</t>
        </is>
      </c>
      <c r="C11" s="46" t="inlineStr">
        <is>
          <t>Deploy vManage vSmart vBond controllers</t>
        </is>
      </c>
      <c r="D11" s="46">
        <f>ROUND($C$25*40,0)</f>
        <v/>
      </c>
      <c r="E11" s="47" t="n">
        <v>40</v>
      </c>
      <c r="F11" s="47" t="n">
        <v>225</v>
      </c>
      <c r="G11" s="46">
        <f>TEXT(E11*F11,"$#,##0")</f>
        <v/>
      </c>
      <c r="H11" s="46" t="inlineStr">
        <is>
          <t>Architecture</t>
        </is>
      </c>
      <c r="I11" s="46" t="inlineStr">
        <is>
          <t>Medium</t>
        </is>
      </c>
      <c r="J11" s="46" t="inlineStr">
        <is>
          <t>Virtual controllers in data center</t>
        </is>
      </c>
    </row>
    <row r="12" ht="26" customHeight="1">
      <c r="A12" s="48" t="inlineStr">
        <is>
          <t>Development</t>
        </is>
      </c>
      <c r="B12" s="49" t="inlineStr">
        <is>
          <t>Hub Router Configuration</t>
        </is>
      </c>
      <c r="C12" s="49" t="inlineStr">
        <is>
          <t>Configure 2 hub routers at data centers</t>
        </is>
      </c>
      <c r="D12" s="49">
        <f>ROUND($C$25*40,0)</f>
        <v/>
      </c>
      <c r="E12" s="50" t="n">
        <v>40</v>
      </c>
      <c r="F12" s="50" t="n">
        <v>200</v>
      </c>
      <c r="G12" s="49">
        <f>TEXT(E12*F12,"$#,##0")</f>
        <v/>
      </c>
      <c r="H12" s="49" t="inlineStr">
        <is>
          <t>Controllers</t>
        </is>
      </c>
      <c r="I12" s="49" t="inlineStr">
        <is>
          <t>Medium</t>
        </is>
      </c>
      <c r="J12" s="49" t="inlineStr">
        <is>
          <t>ISR 4451 dual-hub configuration</t>
        </is>
      </c>
    </row>
    <row r="13" ht="26" customHeight="1">
      <c r="A13" s="45" t="inlineStr">
        <is>
          <t>Development</t>
        </is>
      </c>
      <c r="B13" s="46" t="inlineStr">
        <is>
          <t>Routing Policy Configuration</t>
        </is>
      </c>
      <c r="C13" s="46" t="inlineStr">
        <is>
          <t>Configure application routing and SLA policies</t>
        </is>
      </c>
      <c r="D13" s="46">
        <f>ROUND($C$25*60,0)</f>
        <v/>
      </c>
      <c r="E13" s="47" t="n">
        <v>60</v>
      </c>
      <c r="F13" s="47" t="n">
        <v>200</v>
      </c>
      <c r="G13" s="46">
        <f>TEXT(E13*F13,"$#,##0")</f>
        <v/>
      </c>
      <c r="H13" s="46" t="inlineStr">
        <is>
          <t>Policy Design</t>
        </is>
      </c>
      <c r="I13" s="46" t="inlineStr">
        <is>
          <t>High</t>
        </is>
      </c>
      <c r="J13" s="46" t="inlineStr">
        <is>
          <t>Office 365 SaaS ERP VoIP policies</t>
        </is>
      </c>
    </row>
    <row r="14" ht="26" customHeight="1">
      <c r="A14" s="48" t="inlineStr">
        <is>
          <t>Development</t>
        </is>
      </c>
      <c r="B14" s="49" t="inlineStr">
        <is>
          <t>Security Policy Configuration</t>
        </is>
      </c>
      <c r="C14" s="49" t="inlineStr">
        <is>
          <t>Configure firewall and security policies</t>
        </is>
      </c>
      <c r="D14" s="49">
        <f>ROUND($C$25*40,0)</f>
        <v/>
      </c>
      <c r="E14" s="50" t="n">
        <v>40</v>
      </c>
      <c r="F14" s="50" t="n">
        <v>200</v>
      </c>
      <c r="G14" s="49">
        <f>TEXT(E14*F14,"$#,##0")</f>
        <v/>
      </c>
      <c r="H14" s="49" t="inlineStr">
        <is>
          <t>Routing Policies</t>
        </is>
      </c>
      <c r="I14" s="49" t="inlineStr">
        <is>
          <t>Medium</t>
        </is>
      </c>
      <c r="J14" s="49" t="inlineStr">
        <is>
          <t>Zone-based firewall and IPS</t>
        </is>
      </c>
    </row>
    <row r="15" ht="26" customHeight="1">
      <c r="A15" s="45" t="inlineStr">
        <is>
          <t>Development</t>
        </is>
      </c>
      <c r="B15" s="46" t="inlineStr">
        <is>
          <t>Cloud Integration</t>
        </is>
      </c>
      <c r="C15" s="46" t="inlineStr">
        <is>
          <t>Configure cloud on-ramps for AWS/Azure (optional)</t>
        </is>
      </c>
      <c r="D15" s="46">
        <f>ROUND($C$25*30,0)</f>
        <v/>
      </c>
      <c r="E15" s="47" t="n">
        <v>30</v>
      </c>
      <c r="F15" s="47" t="n">
        <v>225</v>
      </c>
      <c r="G15" s="46">
        <f>TEXT(E15*F15,"$#,##0")</f>
        <v/>
      </c>
      <c r="H15" s="46" t="inlineStr">
        <is>
          <t>Security Policies</t>
        </is>
      </c>
      <c r="I15" s="46" t="inlineStr">
        <is>
          <t>Low</t>
        </is>
      </c>
      <c r="J15" s="46" t="inlineStr">
        <is>
          <t>Direct cloud connectivity setup</t>
        </is>
      </c>
    </row>
    <row r="16" ht="26" customHeight="1">
      <c r="A16" s="48" t="inlineStr">
        <is>
          <t>Development</t>
        </is>
      </c>
      <c r="B16" s="49" t="inlineStr">
        <is>
          <t>Branch Router Preconfiguration</t>
        </is>
      </c>
      <c r="C16" s="49" t="inlineStr">
        <is>
          <t>Preconfigure 25 ISR branch routers for ZTP</t>
        </is>
      </c>
      <c r="D16" s="49">
        <f>ROUND($C$25*50,0)</f>
        <v/>
      </c>
      <c r="E16" s="50" t="n">
        <v>50</v>
      </c>
      <c r="F16" s="50" t="n">
        <v>200</v>
      </c>
      <c r="G16" s="49">
        <f>TEXT(E16*F16,"$#,##0")</f>
        <v/>
      </c>
      <c r="H16" s="49" t="inlineStr">
        <is>
          <t>Policy Config</t>
        </is>
      </c>
      <c r="I16" s="49" t="inlineStr">
        <is>
          <t>Medium</t>
        </is>
      </c>
      <c r="J16" s="49" t="inlineStr">
        <is>
          <t>Zero-touch provisioning templates</t>
        </is>
      </c>
    </row>
    <row r="17" ht="26" customHeight="1">
      <c r="A17" s="45" t="inlineStr">
        <is>
          <t>Testing</t>
        </is>
      </c>
      <c r="B17" s="46" t="inlineStr">
        <is>
          <t>Lab Validation</t>
        </is>
      </c>
      <c r="C17" s="46" t="inlineStr">
        <is>
          <t>Test SD-WAN policies in lab environment</t>
        </is>
      </c>
      <c r="D17" s="46">
        <f>ROUND($C$26*32,0)</f>
        <v/>
      </c>
      <c r="E17" s="47" t="n">
        <v>32</v>
      </c>
      <c r="F17" s="47" t="n">
        <v>200</v>
      </c>
      <c r="G17" s="46">
        <f>TEXT(E17*F17,"$#,##0")</f>
        <v/>
      </c>
      <c r="H17" s="46" t="inlineStr">
        <is>
          <t>Config Complete</t>
        </is>
      </c>
      <c r="I17" s="46" t="inlineStr">
        <is>
          <t>Medium</t>
        </is>
      </c>
      <c r="J17" s="46" t="inlineStr">
        <is>
          <t>GNS3 or CML testing</t>
        </is>
      </c>
    </row>
    <row r="18" ht="26" customHeight="1">
      <c r="A18" s="48" t="inlineStr">
        <is>
          <t>Testing</t>
        </is>
      </c>
      <c r="B18" s="49" t="inlineStr">
        <is>
          <t>Pilot Site Deployment</t>
        </is>
      </c>
      <c r="C18" s="49" t="inlineStr">
        <is>
          <t>Deploy 3 pilot sites for validation</t>
        </is>
      </c>
      <c r="D18" s="49">
        <f>ROUND($C$26*60,0)</f>
        <v/>
      </c>
      <c r="E18" s="50" t="n">
        <v>60</v>
      </c>
      <c r="F18" s="50" t="n">
        <v>200</v>
      </c>
      <c r="G18" s="49">
        <f>TEXT(E18*F18,"$#,##0")</f>
        <v/>
      </c>
      <c r="H18" s="49" t="inlineStr">
        <is>
          <t>Lab Testing</t>
        </is>
      </c>
      <c r="I18" s="49" t="inlineStr">
        <is>
          <t>High</t>
        </is>
      </c>
      <c r="J18" s="49" t="inlineStr">
        <is>
          <t>Low-risk site validation</t>
        </is>
      </c>
    </row>
    <row r="19" ht="26" customHeight="1">
      <c r="A19" s="45" t="inlineStr">
        <is>
          <t>Testing</t>
        </is>
      </c>
      <c r="B19" s="46" t="inlineStr">
        <is>
          <t>Performance Testing</t>
        </is>
      </c>
      <c r="C19" s="46" t="inlineStr">
        <is>
          <t>Test application performance and SLA compliance</t>
        </is>
      </c>
      <c r="D19" s="46">
        <f>ROUND($C$26*40,0)</f>
        <v/>
      </c>
      <c r="E19" s="47" t="n">
        <v>40</v>
      </c>
      <c r="F19" s="47" t="n">
        <v>200</v>
      </c>
      <c r="G19" s="46">
        <f>TEXT(E19*F19,"$#,##0")</f>
        <v/>
      </c>
      <c r="H19" s="46" t="inlineStr">
        <is>
          <t>Pilot Deploy</t>
        </is>
      </c>
      <c r="I19" s="46" t="inlineStr">
        <is>
          <t>High</t>
        </is>
      </c>
      <c r="J19" s="46" t="inlineStr">
        <is>
          <t>Office 365 VoIP and ERP testing</t>
        </is>
      </c>
    </row>
    <row r="20" ht="26" customHeight="1">
      <c r="A20" s="48" t="inlineStr">
        <is>
          <t>Testing</t>
        </is>
      </c>
      <c r="B20" s="49" t="inlineStr">
        <is>
          <t>Failover Testing</t>
        </is>
      </c>
      <c r="C20" s="49" t="inlineStr">
        <is>
          <t>Test WAN circuit failover scenarios</t>
        </is>
      </c>
      <c r="D20" s="49">
        <f>ROUND($C$26*24,0)</f>
        <v/>
      </c>
      <c r="E20" s="50" t="n">
        <v>24</v>
      </c>
      <c r="F20" s="50" t="n">
        <v>175</v>
      </c>
      <c r="G20" s="49">
        <f>TEXT(E20*F20,"$#,##0")</f>
        <v/>
      </c>
      <c r="H20" s="49" t="inlineStr">
        <is>
          <t>Performance Tests</t>
        </is>
      </c>
      <c r="I20" s="49" t="inlineStr">
        <is>
          <t>Medium</t>
        </is>
      </c>
      <c r="J20" s="49" t="inlineStr">
        <is>
          <t>Broadband to LTE failover</t>
        </is>
      </c>
    </row>
    <row r="21" ht="26" customHeight="1">
      <c r="A21" s="45" t="inlineStr">
        <is>
          <t>Deployment</t>
        </is>
      </c>
      <c r="B21" s="46" t="inlineStr">
        <is>
          <t>Site Deployment Wave 1</t>
        </is>
      </c>
      <c r="C21" s="46" t="inlineStr">
        <is>
          <t>Deploy 10 sites (Wave 1)</t>
        </is>
      </c>
      <c r="D21" s="46">
        <f>ROUND($C$27*60,0)</f>
        <v/>
      </c>
      <c r="E21" s="47" t="n">
        <v>60</v>
      </c>
      <c r="F21" s="47" t="n">
        <v>175</v>
      </c>
      <c r="G21" s="46">
        <f>TEXT(E21*F21,"$#,##0")</f>
        <v/>
      </c>
      <c r="H21" s="46" t="inlineStr">
        <is>
          <t>Testing Complete</t>
        </is>
      </c>
      <c r="I21" s="46" t="inlineStr">
        <is>
          <t>Medium</t>
        </is>
      </c>
      <c r="J21" s="46" t="inlineStr">
        <is>
          <t>Circuit installation and ZTP</t>
        </is>
      </c>
    </row>
    <row r="22" ht="26" customHeight="1">
      <c r="A22" s="48" t="inlineStr">
        <is>
          <t>Deployment</t>
        </is>
      </c>
      <c r="B22" s="49" t="inlineStr">
        <is>
          <t>Site Deployment Wave 2</t>
        </is>
      </c>
      <c r="C22" s="49" t="inlineStr">
        <is>
          <t>Deploy 12 remaining sites (Wave 2)</t>
        </is>
      </c>
      <c r="D22" s="49">
        <f>ROUND($C$27*60,0)</f>
        <v/>
      </c>
      <c r="E22" s="50" t="n">
        <v>60</v>
      </c>
      <c r="F22" s="50" t="n">
        <v>175</v>
      </c>
      <c r="G22" s="49">
        <f>TEXT(E22*F22,"$#,##0")</f>
        <v/>
      </c>
      <c r="H22" s="49" t="inlineStr">
        <is>
          <t>Wave 1 Success</t>
        </is>
      </c>
      <c r="I22" s="49" t="inlineStr">
        <is>
          <t>Medium</t>
        </is>
      </c>
      <c r="J22" s="49" t="inlineStr">
        <is>
          <t>Final site rollout</t>
        </is>
      </c>
    </row>
    <row r="23" ht="26" customHeight="1">
      <c r="A23" s="45" t="inlineStr">
        <is>
          <t>Deployment</t>
        </is>
      </c>
      <c r="B23" s="46" t="inlineStr">
        <is>
          <t>MPLS Cutover</t>
        </is>
      </c>
      <c r="C23" s="46" t="inlineStr">
        <is>
          <t>Decommission MPLS circuits site-by-site</t>
        </is>
      </c>
      <c r="D23" s="46">
        <f>ROUND($C$27*40,0)</f>
        <v/>
      </c>
      <c r="E23" s="47" t="n">
        <v>40</v>
      </c>
      <c r="F23" s="47" t="n">
        <v>175</v>
      </c>
      <c r="G23" s="46">
        <f>TEXT(E23*F23,"$#,##0")</f>
        <v/>
      </c>
      <c r="H23" s="46" t="inlineStr">
        <is>
          <t>All Sites Deployed</t>
        </is>
      </c>
      <c r="I23" s="46" t="inlineStr">
        <is>
          <t>High</t>
        </is>
      </c>
      <c r="J23" s="46" t="inlineStr">
        <is>
          <t>Validate SD-WAN before MPLS disconnect</t>
        </is>
      </c>
    </row>
    <row r="24" ht="26" customHeight="1">
      <c r="A24" s="48" t="inlineStr">
        <is>
          <t>Deployment</t>
        </is>
      </c>
      <c r="B24" s="49" t="inlineStr">
        <is>
          <t>Hypercare Support</t>
        </is>
      </c>
      <c r="C24" s="49" t="inlineStr">
        <is>
          <t>Provide post-deployment stabilization support</t>
        </is>
      </c>
      <c r="D24" s="49">
        <f>ROUND($C$27*60,0)</f>
        <v/>
      </c>
      <c r="E24" s="50" t="n">
        <v>60</v>
      </c>
      <c r="F24" s="50" t="n">
        <v>150</v>
      </c>
      <c r="G24" s="49">
        <f>TEXT(E24*F24,"$#,##0")</f>
        <v/>
      </c>
      <c r="H24" s="49" t="inlineStr">
        <is>
          <t>Deployment Complete</t>
        </is>
      </c>
      <c r="I24" s="49" t="inlineStr">
        <is>
          <t>Medium</t>
        </is>
      </c>
      <c r="J24" s="49" t="inlineStr">
        <is>
          <t>4-week hypercare period</t>
        </is>
      </c>
    </row>
    <row r="25" ht="26" customHeight="1">
      <c r="A25" s="45" t="inlineStr">
        <is>
          <t>Training</t>
        </is>
      </c>
      <c r="B25" s="46" t="inlineStr">
        <is>
          <t>vManage Training</t>
        </is>
      </c>
      <c r="C25" s="46" t="inlineStr">
        <is>
          <t>Train team on vManage operations and monitoring</t>
        </is>
      </c>
      <c r="D25" s="46">
        <f>ROUND($C$28*24,0)</f>
        <v/>
      </c>
      <c r="E25" s="47" t="n">
        <v>24</v>
      </c>
      <c r="F25" s="47" t="n">
        <v>175</v>
      </c>
      <c r="G25" s="46">
        <f>TEXT(E25*F25,"$#,##0")</f>
        <v/>
      </c>
      <c r="H25" s="46" t="inlineStr">
        <is>
          <t>Deployment</t>
        </is>
      </c>
      <c r="I25" s="46" t="inlineStr">
        <is>
          <t>Low</t>
        </is>
      </c>
      <c r="J25" s="46" t="inlineStr">
        <is>
          <t>Policy management and dashboards</t>
        </is>
      </c>
    </row>
    <row r="26" ht="26" customHeight="1">
      <c r="A26" s="48" t="inlineStr">
        <is>
          <t>Training</t>
        </is>
      </c>
      <c r="B26" s="49" t="inlineStr">
        <is>
          <t>Troubleshooting Training</t>
        </is>
      </c>
      <c r="C26" s="49" t="inlineStr">
        <is>
          <t>Train team on SD-WAN troubleshooting</t>
        </is>
      </c>
      <c r="D26" s="49">
        <f>ROUND($C$28*16,0)</f>
        <v/>
      </c>
      <c r="E26" s="50" t="n">
        <v>16</v>
      </c>
      <c r="F26" s="50" t="n">
        <v>175</v>
      </c>
      <c r="G26" s="49">
        <f>TEXT(E26*F26,"$#,##0")</f>
        <v/>
      </c>
      <c r="H26" s="49" t="inlineStr">
        <is>
          <t>vManage Training</t>
        </is>
      </c>
      <c r="I26" s="49" t="inlineStr">
        <is>
          <t>Low</t>
        </is>
      </c>
      <c r="J26" s="49" t="inlineStr">
        <is>
          <t>Packet trace and path analysis</t>
        </is>
      </c>
    </row>
    <row r="27" ht="26" customHeight="1">
      <c r="A27" s="45" t="inlineStr">
        <is>
          <t>Training</t>
        </is>
      </c>
      <c r="B27" s="46" t="inlineStr">
        <is>
          <t>Documentation</t>
        </is>
      </c>
      <c r="C27" s="46" t="inlineStr">
        <is>
          <t>Create runbooks SOPs and architecture docs</t>
        </is>
      </c>
      <c r="D27" s="46">
        <f>ROUND($C$28*32,0)</f>
        <v/>
      </c>
      <c r="E27" s="47" t="n">
        <v>32</v>
      </c>
      <c r="F27" s="47" t="n">
        <v>150</v>
      </c>
      <c r="G27" s="46">
        <f>TEXT(E27*F27,"$#,##0")</f>
        <v/>
      </c>
      <c r="H27" s="46" t="inlineStr"/>
      <c r="I27" s="46" t="inlineStr">
        <is>
          <t>Low</t>
        </is>
      </c>
      <c r="J27" s="46" t="inlineStr">
        <is>
          <t>Operational procedures and diagrams</t>
        </is>
      </c>
    </row>
    <row r="28" ht="26" customHeight="1">
      <c r="A28" s="48" t="inlineStr">
        <is>
          <t>Closeout</t>
        </is>
      </c>
      <c r="B28" s="49" t="inlineStr">
        <is>
          <t>Knowledge Transfer</t>
        </is>
      </c>
      <c r="C28" s="49" t="inlineStr">
        <is>
          <t>Transfer SD-WAN to operations team</t>
        </is>
      </c>
      <c r="D28" s="49">
        <f>ROUND($C$29*16,0)</f>
        <v/>
      </c>
      <c r="E28" s="50" t="n">
        <v>16</v>
      </c>
      <c r="F28" s="50" t="n">
        <v>175</v>
      </c>
      <c r="G28" s="49">
        <f>TEXT(E28*F28,"$#,##0")</f>
        <v/>
      </c>
      <c r="H28" s="49" t="inlineStr">
        <is>
          <t>Training Complete</t>
        </is>
      </c>
      <c r="I28" s="49" t="inlineStr">
        <is>
          <t>Low</t>
        </is>
      </c>
      <c r="J28" s="49" t="inlineStr">
        <is>
          <t>Operational handoff and escalation</t>
        </is>
      </c>
    </row>
    <row r="29" ht="26" customHeight="1">
      <c r="A29" s="45" t="inlineStr">
        <is>
          <t>Closeout</t>
        </is>
      </c>
      <c r="B29" s="46" t="inlineStr">
        <is>
          <t>Performance Baseline</t>
        </is>
      </c>
      <c r="C29" s="46" t="inlineStr">
        <is>
          <t>Establish WAN performance baselines and SLAs</t>
        </is>
      </c>
      <c r="D29" s="46">
        <f>ROUND($C$29*16,0)</f>
        <v/>
      </c>
      <c r="E29" s="47" t="n">
        <v>16</v>
      </c>
      <c r="F29" s="47" t="n">
        <v>175</v>
      </c>
      <c r="G29" s="46">
        <f>TEXT(E29*F29,"$#,##0")</f>
        <v/>
      </c>
      <c r="H29" s="46" t="inlineStr">
        <is>
          <t>Hypercare</t>
        </is>
      </c>
      <c r="I29" s="46" t="inlineStr">
        <is>
          <t>Low</t>
        </is>
      </c>
      <c r="J29" s="46" t="inlineStr">
        <is>
          <t>Application SLA compliance metrics</t>
        </is>
      </c>
    </row>
    <row r="30" ht="26" customHeight="1">
      <c r="A30" s="48" t="inlineStr">
        <is>
          <t>Closeout</t>
        </is>
      </c>
      <c r="B30" s="49" t="inlineStr">
        <is>
          <t>MPLS Decommission Completion</t>
        </is>
      </c>
      <c r="C30" s="49" t="inlineStr">
        <is>
          <t>Complete MPLS circuit disconnections</t>
        </is>
      </c>
      <c r="D30" s="49">
        <f>ROUND($C$29*16,0)</f>
        <v/>
      </c>
      <c r="E30" s="50" t="n">
        <v>16</v>
      </c>
      <c r="F30" s="50" t="n">
        <v>150</v>
      </c>
      <c r="G30" s="49">
        <f>TEXT(E30*F30,"$#,##0")</f>
        <v/>
      </c>
      <c r="H30" s="49" t="inlineStr">
        <is>
          <t>MPLS Cutover</t>
        </is>
      </c>
      <c r="I30" s="49" t="inlineStr">
        <is>
          <t>Medium</t>
        </is>
      </c>
      <c r="J30" s="49" t="inlineStr">
        <is>
          <t>Final circuit cancellations and validation</t>
        </is>
      </c>
    </row>
    <row r="31" ht="26" customHeight="1">
      <c r="A31" s="45" t="inlineStr">
        <is>
          <t>Management</t>
        </is>
      </c>
      <c r="B31" s="46" t="inlineStr">
        <is>
          <t>Technical Leadership</t>
        </is>
      </c>
      <c r="C31" s="46" t="inlineStr">
        <is>
          <t>Technical quarterback and architecture oversight</t>
        </is>
      </c>
      <c r="D31" s="46">
        <f>ROUND(SUM(E17:E44)*$C$30,0)</f>
        <v/>
      </c>
      <c r="E31" s="51">
        <f>ROUND(SUM(E17:E44)*0.25,0)</f>
        <v/>
      </c>
      <c r="F31" s="47" t="n">
        <v>225</v>
      </c>
      <c r="G31" s="46">
        <f>TEXT(E31*F31,"$#,##0")</f>
        <v/>
      </c>
      <c r="H31" s="46" t="inlineStr"/>
      <c r="I31" s="46" t="inlineStr">
        <is>
          <t>Medium</t>
        </is>
      </c>
      <c r="J31" s="46" t="inlineStr">
        <is>
          <t>25% of total engineering effort</t>
        </is>
      </c>
    </row>
    <row r="32" ht="26" customHeight="1">
      <c r="A32" s="48" t="inlineStr">
        <is>
          <t>Management</t>
        </is>
      </c>
      <c r="B32" s="49" t="inlineStr">
        <is>
          <t>Project Management</t>
        </is>
      </c>
      <c r="C32" s="49" t="inlineStr">
        <is>
          <t>Project coordination and stakeholder management</t>
        </is>
      </c>
      <c r="D32" s="49">
        <f>ROUND(SUM(E17:E44)*0.20,0)</f>
        <v/>
      </c>
      <c r="E32" s="52">
        <f>ROUND(SUM(E17:E44)*0.20,0)</f>
        <v/>
      </c>
      <c r="F32" s="50" t="n">
        <v>175</v>
      </c>
      <c r="G32" s="49">
        <f>TEXT(E32*F32,"$#,##0")</f>
        <v/>
      </c>
      <c r="H32" s="49" t="inlineStr"/>
      <c r="I32" s="49" t="inlineStr">
        <is>
          <t>Low</t>
        </is>
      </c>
      <c r="J32" s="49" t="inlineStr">
        <is>
          <t>20% of total engineering effort</t>
        </is>
      </c>
    </row>
    <row r="33" ht="26" customHeight="1">
      <c r="A33" s="53" t="inlineStr"/>
      <c r="B33" s="53" t="inlineStr"/>
      <c r="C33" s="53" t="inlineStr"/>
      <c r="D33" s="54" t="inlineStr">
        <is>
          <t>TOTAL HOURS</t>
        </is>
      </c>
      <c r="E33" s="54">
        <f>SUM(E17:E46)</f>
        <v/>
      </c>
      <c r="F33" s="54" t="inlineStr">
        <is>
          <t>TOTAL COST</t>
        </is>
      </c>
      <c r="G33" s="54">
        <f>TEXT(SUM(G17:G46),"$#,##0")</f>
        <v/>
      </c>
      <c r="H33" s="53" t="inlineStr"/>
      <c r="I33" s="53" t="inlineStr"/>
      <c r="J33" s="54" t="inlineStr">
        <is>
          <t>Total SD-WAN implementation cost</t>
        </is>
      </c>
    </row>
  </sheetData>
  <autoFilter ref="A2:J33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6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37" t="inlineStr">
        <is>
          <t>Hardware</t>
        </is>
      </c>
      <c r="B3" s="38" t="inlineStr">
        <is>
          <t>Router Trade-In Credit</t>
        </is>
      </c>
      <c r="C3" s="55" t="n">
        <v>-8000</v>
      </c>
      <c r="D3" s="38" t="inlineStr">
        <is>
          <t>Legacy router trade-in credit</t>
        </is>
      </c>
    </row>
    <row r="4" ht="26" customHeight="1">
      <c r="A4" s="40" t="inlineStr">
        <is>
          <t>Software</t>
        </is>
      </c>
      <c r="B4" s="41" t="inlineStr">
        <is>
          <t>SD-WAN License Promotion</t>
        </is>
      </c>
      <c r="C4" s="56" t="n">
        <v>-15000</v>
      </c>
      <c r="D4" s="41" t="inlineStr">
        <is>
          <t>Year 1 SD-WAN license 25% discount promotion</t>
        </is>
      </c>
    </row>
    <row r="5" ht="26" customHeight="1">
      <c r="A5" s="37" t="inlineStr">
        <is>
          <t>WAN Circuits</t>
        </is>
      </c>
      <c r="B5" s="38" t="inlineStr">
        <is>
          <t>Circuit Installation Waiver</t>
        </is>
      </c>
      <c r="C5" s="55" t="n">
        <v>-12000</v>
      </c>
      <c r="D5" s="38" t="inlineStr">
        <is>
          <t>Year 1 broadband circuit installation fees waived by provider</t>
        </is>
      </c>
    </row>
    <row r="6" ht="26" customHeight="1">
      <c r="A6" s="40" t="inlineStr">
        <is>
          <t>Professional Services</t>
        </is>
      </c>
      <c r="B6" s="41" t="inlineStr">
        <is>
          <t>Implementation Services</t>
        </is>
      </c>
      <c r="C6" s="56" t="n">
        <v>0</v>
      </c>
      <c r="D6" s="41" t="inlineStr">
        <is>
          <t>No professional services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2025-11-22T23:09:01Z</dcterms:modified>
  <cp:lastModifiedBy>Kishan Siram</cp:lastModifiedBy>
</cp:coreProperties>
</file>