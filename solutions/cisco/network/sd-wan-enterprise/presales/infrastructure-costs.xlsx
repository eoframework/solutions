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Guidelines'!$A$2:$F$9</definedName>
    <definedName name="_xlnm._FilterDatabase" localSheetId="2" hidden="1">'Infrastructure Costs'!$A$2:$K$21</definedName>
    <definedName name="_xlnm._FilterDatabase" localSheetId="3" hidden="1">'Credits'!$A$2:$D$6</definedName>
    <definedName name="_xlnm._FilterDatabase" localSheetId="4" hidden="1">'3-Year Summary'!$A$2:$G$8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Sd Wan Enterprise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Site Count</t>
        </is>
      </c>
      <c r="B3" s="38" t="inlineStr">
        <is>
          <t>Branch Offices</t>
        </is>
      </c>
      <c r="C3" s="39" t="inlineStr">
        <is>
          <t>10-25 sites</t>
        </is>
      </c>
      <c r="D3" s="39" t="inlineStr">
        <is>
          <t>25-50 sites</t>
        </is>
      </c>
      <c r="E3" s="39" t="inlineStr">
        <is>
          <t>50-100+ sites</t>
        </is>
      </c>
      <c r="F3" s="38" t="inlineStr">
        <is>
          <t>Number of branch locations</t>
        </is>
      </c>
    </row>
    <row r="4" ht="26" customHeight="1">
      <c r="A4" s="40" t="inlineStr">
        <is>
          <t>Site Bandwidth</t>
        </is>
      </c>
      <c r="B4" s="41" t="inlineStr">
        <is>
          <t>Bandwidth per Site</t>
        </is>
      </c>
      <c r="C4" s="42" t="inlineStr">
        <is>
          <t>50-100 Mbps</t>
        </is>
      </c>
      <c r="D4" s="42" t="inlineStr">
        <is>
          <t>100-250 Mbps</t>
        </is>
      </c>
      <c r="E4" s="42" t="inlineStr">
        <is>
          <t>250-500+ Mbps</t>
        </is>
      </c>
      <c r="F4" s="41" t="inlineStr">
        <is>
          <t>Primary WAN circuit capacity</t>
        </is>
      </c>
    </row>
    <row r="5" ht="26" customHeight="1">
      <c r="A5" s="37" t="inlineStr">
        <is>
          <t>Router Model</t>
        </is>
      </c>
      <c r="B5" s="38" t="inlineStr">
        <is>
          <t>Branch Router</t>
        </is>
      </c>
      <c r="C5" s="39" t="inlineStr">
        <is>
          <t>ISR 1100 (small)</t>
        </is>
      </c>
      <c r="D5" s="39" t="inlineStr">
        <is>
          <t>ISR 4300 (medium)</t>
        </is>
      </c>
      <c r="E5" s="39" t="inlineStr">
        <is>
          <t>ISR 4400 (large)</t>
        </is>
      </c>
      <c r="F5" s="38" t="inlineStr">
        <is>
          <t>Edge router based on site size</t>
        </is>
      </c>
    </row>
    <row r="6" ht="26" customHeight="1">
      <c r="A6" s="40" t="inlineStr">
        <is>
          <t>Hub Router</t>
        </is>
      </c>
      <c r="B6" s="41" t="inlineStr">
        <is>
          <t>Data Center Hub</t>
        </is>
      </c>
      <c r="C6" s="42" t="inlineStr">
        <is>
          <t>ISR 4400 series</t>
        </is>
      </c>
      <c r="D6" s="42" t="inlineStr">
        <is>
          <t>ASR 1000 series</t>
        </is>
      </c>
      <c r="E6" s="42" t="inlineStr">
        <is>
          <t>ASR 1000 HA pair</t>
        </is>
      </c>
      <c r="F6" s="41" t="inlineStr">
        <is>
          <t>Hub router capacity and redundancy</t>
        </is>
      </c>
    </row>
    <row r="7" ht="26" customHeight="1">
      <c r="A7" s="37" t="inlineStr">
        <is>
          <t>Controllers</t>
        </is>
      </c>
      <c r="B7" s="38" t="inlineStr">
        <is>
          <t>vManage/vSmart/vBond</t>
        </is>
      </c>
      <c r="C7" s="39" t="inlineStr">
        <is>
          <t>Shared virtual</t>
        </is>
      </c>
      <c r="D7" s="39" t="inlineStr">
        <is>
          <t>Dedicated virtual</t>
        </is>
      </c>
      <c r="E7" s="39" t="inlineStr">
        <is>
          <t>Dedicated hardware</t>
        </is>
      </c>
      <c r="F7" s="38" t="inlineStr">
        <is>
          <t>SD-WAN controller platform</t>
        </is>
      </c>
    </row>
    <row r="8" ht="26" customHeight="1">
      <c r="A8" s="40" t="inlineStr">
        <is>
          <t>WAN Circuits</t>
        </is>
      </c>
      <c r="B8" s="41" t="inlineStr">
        <is>
          <t>Circuit Diversity</t>
        </is>
      </c>
      <c r="C8" s="42" t="inlineStr">
        <is>
          <t>Single broadband</t>
        </is>
      </c>
      <c r="D8" s="42" t="inlineStr">
        <is>
          <t>Dual circuits (active)</t>
        </is>
      </c>
      <c r="E8" s="42" t="inlineStr">
        <is>
          <t>Dual + LTE backup</t>
        </is>
      </c>
      <c r="F8" s="41" t="inlineStr">
        <is>
          <t>WAN redundancy and failover</t>
        </is>
      </c>
    </row>
    <row r="9" ht="26" customHeight="1">
      <c r="A9" s="37" t="inlineStr">
        <is>
          <t>Software License</t>
        </is>
      </c>
      <c r="B9" s="38" t="inlineStr">
        <is>
          <t>License Tier</t>
        </is>
      </c>
      <c r="C9" s="39" t="inlineStr">
        <is>
          <t>SD-WAN Essentials</t>
        </is>
      </c>
      <c r="D9" s="39" t="inlineStr">
        <is>
          <t>SD-WAN Advantage</t>
        </is>
      </c>
      <c r="E9" s="39" t="inlineStr">
        <is>
          <t>DNA Advantage</t>
        </is>
      </c>
      <c r="F9" s="38" t="inlineStr">
        <is>
          <t>Feature set and advanced capabilities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Hardware</t>
        </is>
      </c>
      <c r="B3" s="44" t="inlineStr">
        <is>
          <t>Cisco ISR 4331 Branch Router</t>
        </is>
      </c>
      <c r="C3" s="44" t="inlineStr">
        <is>
          <t>Branch edge routers (25 sites)</t>
        </is>
      </c>
      <c r="D3" s="45" t="n">
        <v>25</v>
      </c>
      <c r="E3" s="44" t="inlineStr">
        <is>
          <t>Routers</t>
        </is>
      </c>
      <c r="F3" s="46" t="n">
        <v>4500</v>
      </c>
      <c r="G3" s="46" t="n">
        <v>112500</v>
      </c>
      <c r="H3" s="46" t="n">
        <v>0</v>
      </c>
      <c r="I3" s="46" t="n">
        <v>0</v>
      </c>
      <c r="J3" s="46" t="n">
        <v>112500</v>
      </c>
      <c r="K3" s="44" t="inlineStr">
        <is>
          <t>Dual WAN ports per site</t>
        </is>
      </c>
    </row>
    <row r="4" ht="26" customHeight="1">
      <c r="A4" s="47" t="inlineStr">
        <is>
          <t>Hardware</t>
        </is>
      </c>
      <c r="B4" s="48" t="inlineStr">
        <is>
          <t>Cisco ISR 4451 Hub Router</t>
        </is>
      </c>
      <c r="C4" s="48" t="inlineStr">
        <is>
          <t>Data center hub routers (2 for HA)</t>
        </is>
      </c>
      <c r="D4" s="49" t="n">
        <v>2</v>
      </c>
      <c r="E4" s="48" t="inlineStr">
        <is>
          <t>Routers</t>
        </is>
      </c>
      <c r="F4" s="50" t="n">
        <v>12000</v>
      </c>
      <c r="G4" s="50" t="n">
        <v>24000</v>
      </c>
      <c r="H4" s="50" t="n">
        <v>0</v>
      </c>
      <c r="I4" s="50" t="n">
        <v>0</v>
      </c>
      <c r="J4" s="50" t="n">
        <v>24000</v>
      </c>
      <c r="K4" s="48" t="inlineStr">
        <is>
          <t>Redundant hub pair</t>
        </is>
      </c>
    </row>
    <row r="5" ht="26" customHeight="1">
      <c r="A5" s="43" t="inlineStr">
        <is>
          <t>Software Controllers</t>
        </is>
      </c>
      <c r="B5" s="44" t="inlineStr">
        <is>
          <t>vManage vSmart vBond</t>
        </is>
      </c>
      <c r="C5" s="44" t="inlineStr">
        <is>
          <t>Virtual controllers (hosted in DC or cloud)</t>
        </is>
      </c>
      <c r="D5" s="45" t="n">
        <v>3</v>
      </c>
      <c r="E5" s="44" t="inlineStr">
        <is>
          <t>Controllers</t>
        </is>
      </c>
      <c r="F5" s="46" t="n">
        <v>15000</v>
      </c>
      <c r="G5" s="46" t="n">
        <v>45000</v>
      </c>
      <c r="H5" s="46" t="n">
        <v>0</v>
      </c>
      <c r="I5" s="46" t="n">
        <v>0</v>
      </c>
      <c r="J5" s="46" t="n">
        <v>45000</v>
      </c>
      <c r="K5" s="44" t="inlineStr">
        <is>
          <t>SD-WAN control plane</t>
        </is>
      </c>
    </row>
    <row r="6" ht="26" customHeight="1">
      <c r="A6" s="47" t="inlineStr">
        <is>
          <t>WAN Circuits</t>
        </is>
      </c>
      <c r="B6" s="48" t="inlineStr">
        <is>
          <t>Broadband 100 Mbps</t>
        </is>
      </c>
      <c r="C6" s="48" t="inlineStr">
        <is>
          <t>Primary internet circuit per site (25 sites)</t>
        </is>
      </c>
      <c r="D6" s="49" t="n">
        <v>25</v>
      </c>
      <c r="E6" s="48" t="inlineStr">
        <is>
          <t>Circuits/Month</t>
        </is>
      </c>
      <c r="F6" s="50" t="n">
        <v>200</v>
      </c>
      <c r="G6" s="50">
        <f>D6*F6*12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Fiber or cable broadband</t>
        </is>
      </c>
    </row>
    <row r="7" ht="26" customHeight="1">
      <c r="A7" s="43" t="inlineStr">
        <is>
          <t>WAN Circuits</t>
        </is>
      </c>
      <c r="B7" s="44" t="inlineStr">
        <is>
          <t>LTE Backup 10 GB</t>
        </is>
      </c>
      <c r="C7" s="44" t="inlineStr">
        <is>
          <t>LTE failover circuit per site (25 sites)</t>
        </is>
      </c>
      <c r="D7" s="45" t="n">
        <v>25</v>
      </c>
      <c r="E7" s="44" t="inlineStr">
        <is>
          <t>Circuits/Month</t>
        </is>
      </c>
      <c r="F7" s="46" t="n">
        <v>50</v>
      </c>
      <c r="G7" s="46">
        <f>D7*F7*12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4G/5G backup connectivity</t>
        </is>
      </c>
    </row>
    <row r="8" ht="26" customHeight="1">
      <c r="A8" s="47" t="inlineStr">
        <is>
          <t>WAN Circuits</t>
        </is>
      </c>
      <c r="B8" s="48" t="inlineStr">
        <is>
          <t>Hub Data Center Circuits</t>
        </is>
      </c>
      <c r="C8" s="48" t="inlineStr">
        <is>
          <t>Redundant 1 Gbps circuits for hubs (2 sites)</t>
        </is>
      </c>
      <c r="D8" s="49" t="n">
        <v>2</v>
      </c>
      <c r="E8" s="48" t="inlineStr">
        <is>
          <t>Circuits/Month</t>
        </is>
      </c>
      <c r="F8" s="50" t="n">
        <v>800</v>
      </c>
      <c r="G8" s="50">
        <f>D8*F8*12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Hub internet/MPLS connectivity</t>
        </is>
      </c>
    </row>
    <row r="9" ht="26" customHeight="1">
      <c r="A9" s="43" t="inlineStr">
        <is>
          <t>Software</t>
        </is>
      </c>
      <c r="B9" s="44" t="inlineStr">
        <is>
          <t>Cisco SD-WAN Essentials</t>
        </is>
      </c>
      <c r="C9" s="44" t="inlineStr">
        <is>
          <t>Per-device subscription (27 devices)</t>
        </is>
      </c>
      <c r="D9" s="45" t="n">
        <v>27</v>
      </c>
      <c r="E9" s="44" t="inlineStr">
        <is>
          <t>Devices/Year</t>
        </is>
      </c>
      <c r="F9" s="46" t="n">
        <v>500</v>
      </c>
      <c r="G9" s="46">
        <f>D9*F9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Base SD-WAN features</t>
        </is>
      </c>
    </row>
    <row r="10" ht="26" customHeight="1">
      <c r="A10" s="47" t="inlineStr">
        <is>
          <t>Software</t>
        </is>
      </c>
      <c r="B10" s="48" t="inlineStr">
        <is>
          <t>Cisco DNA Advantage</t>
        </is>
      </c>
      <c r="C10" s="48" t="inlineStr">
        <is>
          <t>Advanced analytics and automation (27 devices)</t>
        </is>
      </c>
      <c r="D10" s="49" t="n">
        <v>27</v>
      </c>
      <c r="E10" s="48" t="inlineStr">
        <is>
          <t>Devices/Year</t>
        </is>
      </c>
      <c r="F10" s="50" t="n">
        <v>1200</v>
      </c>
      <c r="G10" s="50">
        <f>D10*F10</f>
        <v/>
      </c>
      <c r="H10" s="50">
        <f>G10</f>
        <v/>
      </c>
      <c r="I10" s="50">
        <f>G10</f>
        <v/>
      </c>
      <c r="J10" s="50">
        <f>G10+H10+I10</f>
        <v/>
      </c>
      <c r="K10" s="48" t="inlineStr">
        <is>
          <t>Application visibility and assurance</t>
        </is>
      </c>
    </row>
    <row r="11" ht="26" customHeight="1">
      <c r="A11" s="43" t="inlineStr">
        <is>
          <t>Software</t>
        </is>
      </c>
      <c r="B11" s="44" t="inlineStr">
        <is>
          <t>Cisco Umbrella DNS Security</t>
        </is>
      </c>
      <c r="C11" s="44" t="inlineStr">
        <is>
          <t>Cloud-delivered security per site (optional)</t>
        </is>
      </c>
      <c r="D11" s="45" t="n">
        <v>27</v>
      </c>
      <c r="E11" s="44" t="inlineStr">
        <is>
          <t>Devices/Year</t>
        </is>
      </c>
      <c r="F11" s="46" t="n">
        <v>400</v>
      </c>
      <c r="G11" s="46">
        <f>D11*F11</f>
        <v/>
      </c>
      <c r="H11" s="46">
        <f>G11</f>
        <v/>
      </c>
      <c r="I11" s="46">
        <f>G11</f>
        <v/>
      </c>
      <c r="J11" s="46">
        <f>G11+H11+I11</f>
        <v/>
      </c>
      <c r="K11" s="44" t="inlineStr">
        <is>
          <t>DNS filtering and threat protection</t>
        </is>
      </c>
    </row>
    <row r="12" ht="26" customHeight="1">
      <c r="A12" s="47" t="inlineStr">
        <is>
          <t>Support</t>
        </is>
      </c>
      <c r="B12" s="48" t="inlineStr">
        <is>
          <t>Cisco SmartNet 8x5xNBD</t>
        </is>
      </c>
      <c r="C12" s="48" t="inlineStr">
        <is>
          <t>Hardware support for routers</t>
        </is>
      </c>
      <c r="D12" s="49" t="n">
        <v>27</v>
      </c>
      <c r="E12" s="48" t="inlineStr">
        <is>
          <t>Devices/Year</t>
        </is>
      </c>
      <c r="F12" s="50" t="n">
        <v>600</v>
      </c>
      <c r="G12" s="50">
        <f>D12*F12</f>
        <v/>
      </c>
      <c r="H12" s="50">
        <f>G12</f>
        <v/>
      </c>
      <c r="I12" s="50">
        <f>G12</f>
        <v/>
      </c>
      <c r="J12" s="50">
        <f>G12+H12+I12</f>
        <v/>
      </c>
      <c r="K12" s="48" t="inlineStr">
        <is>
          <t>Business hours support NBD replacement</t>
        </is>
      </c>
    </row>
    <row r="13" ht="26" customHeight="1">
      <c r="A13" s="43" t="inlineStr">
        <is>
          <t>Professional Services</t>
        </is>
      </c>
      <c r="B13" s="44" t="inlineStr">
        <is>
          <t>SD-WAN Design &amp; Architecture</t>
        </is>
      </c>
      <c r="C13" s="44" t="inlineStr">
        <is>
          <t>Network design and policy framework</t>
        </is>
      </c>
      <c r="D13" s="45" t="n">
        <v>80</v>
      </c>
      <c r="E13" s="44" t="inlineStr">
        <is>
          <t>Hours</t>
        </is>
      </c>
      <c r="F13" s="46" t="n">
        <v>225</v>
      </c>
      <c r="G13" s="46">
        <f>D13*F13</f>
        <v/>
      </c>
      <c r="H13" s="46">
        <f>G13*0</f>
        <v/>
      </c>
      <c r="I13" s="46">
        <f>G13*0</f>
        <v/>
      </c>
      <c r="J13" s="46">
        <f>G13+H13+I13</f>
        <v/>
      </c>
      <c r="K13" s="44" t="inlineStr">
        <is>
          <t>Solution architecture and planning</t>
        </is>
      </c>
    </row>
    <row r="14" ht="26" customHeight="1">
      <c r="A14" s="47" t="inlineStr">
        <is>
          <t>Professional Services</t>
        </is>
      </c>
      <c r="B14" s="48" t="inlineStr">
        <is>
          <t>vManage Controller Deployment</t>
        </is>
      </c>
      <c r="C14" s="48" t="inlineStr">
        <is>
          <t>Install and configure controllers</t>
        </is>
      </c>
      <c r="D14" s="49" t="n">
        <v>40</v>
      </c>
      <c r="E14" s="48" t="inlineStr">
        <is>
          <t>Hours</t>
        </is>
      </c>
      <c r="F14" s="50" t="n">
        <v>225</v>
      </c>
      <c r="G14" s="50">
        <f>D14*F14</f>
        <v/>
      </c>
      <c r="H14" s="50">
        <f>G14*0</f>
        <v/>
      </c>
      <c r="I14" s="50">
        <f>G14*0</f>
        <v/>
      </c>
      <c r="J14" s="50">
        <f>G14+H14+I14</f>
        <v/>
      </c>
      <c r="K14" s="48" t="inlineStr">
        <is>
          <t>Control plane deployment</t>
        </is>
      </c>
    </row>
    <row r="15" ht="26" customHeight="1">
      <c r="A15" s="43" t="inlineStr">
        <is>
          <t>Professional Services</t>
        </is>
      </c>
      <c r="B15" s="44" t="inlineStr">
        <is>
          <t>Hub Router Configuration</t>
        </is>
      </c>
      <c r="C15" s="44" t="inlineStr">
        <is>
          <t>Configure hub routers and policies</t>
        </is>
      </c>
      <c r="D15" s="45" t="n">
        <v>40</v>
      </c>
      <c r="E15" s="44" t="inlineStr">
        <is>
          <t>Hours</t>
        </is>
      </c>
      <c r="F15" s="46" t="n">
        <v>200</v>
      </c>
      <c r="G15" s="46">
        <f>D15*F15</f>
        <v/>
      </c>
      <c r="H15" s="46">
        <f>G15*0</f>
        <v/>
      </c>
      <c r="I15" s="46">
        <f>G15*0</f>
        <v/>
      </c>
      <c r="J15" s="46">
        <f>G15+H15+I15</f>
        <v/>
      </c>
      <c r="K15" s="44" t="inlineStr">
        <is>
          <t>Data center hub setup</t>
        </is>
      </c>
    </row>
    <row r="16" ht="26" customHeight="1">
      <c r="A16" s="47" t="inlineStr">
        <is>
          <t>Professional Services</t>
        </is>
      </c>
      <c r="B16" s="48" t="inlineStr">
        <is>
          <t>Branch Router Deployment</t>
        </is>
      </c>
      <c r="C16" s="48" t="inlineStr">
        <is>
          <t>Deploy and configure 25 branch routers</t>
        </is>
      </c>
      <c r="D16" s="49" t="n">
        <v>100</v>
      </c>
      <c r="E16" s="48" t="inlineStr">
        <is>
          <t>Hours</t>
        </is>
      </c>
      <c r="F16" s="50" t="n">
        <v>200</v>
      </c>
      <c r="G16" s="50">
        <f>D16*F16</f>
        <v/>
      </c>
      <c r="H16" s="50">
        <f>G16*0</f>
        <v/>
      </c>
      <c r="I16" s="50">
        <f>G16*0</f>
        <v/>
      </c>
      <c r="J16" s="50">
        <f>G16+H16+I16</f>
        <v/>
      </c>
      <c r="K16" s="48" t="inlineStr">
        <is>
          <t>Site deployment and ZTP</t>
        </is>
      </c>
    </row>
    <row r="17" ht="26" customHeight="1">
      <c r="A17" s="43" t="inlineStr">
        <is>
          <t>Professional Services</t>
        </is>
      </c>
      <c r="B17" s="44" t="inlineStr">
        <is>
          <t>Policy Configuration</t>
        </is>
      </c>
      <c r="C17" s="44" t="inlineStr">
        <is>
          <t>Application-aware routing and SLA policies</t>
        </is>
      </c>
      <c r="D17" s="45" t="n">
        <v>60</v>
      </c>
      <c r="E17" s="44" t="inlineStr">
        <is>
          <t>Hours</t>
        </is>
      </c>
      <c r="F17" s="46" t="n">
        <v>200</v>
      </c>
      <c r="G17" s="46">
        <f>D17*F17</f>
        <v/>
      </c>
      <c r="H17" s="46">
        <f>G17*0</f>
        <v/>
      </c>
      <c r="I17" s="46">
        <f>G17*0</f>
        <v/>
      </c>
      <c r="J17" s="46">
        <f>G17+H17+I17</f>
        <v/>
      </c>
      <c r="K17" s="44" t="inlineStr">
        <is>
          <t>Traffic engineering policies</t>
        </is>
      </c>
    </row>
    <row r="18" ht="26" customHeight="1">
      <c r="A18" s="47" t="inlineStr">
        <is>
          <t>Professional Services</t>
        </is>
      </c>
      <c r="B18" s="48" t="inlineStr">
        <is>
          <t>Cloud Integration</t>
        </is>
      </c>
      <c r="C18" s="48" t="inlineStr">
        <is>
          <t>AWS Azure cloud on-ramp configuration</t>
        </is>
      </c>
      <c r="D18" s="49" t="n">
        <v>30</v>
      </c>
      <c r="E18" s="48" t="inlineStr">
        <is>
          <t>Hours</t>
        </is>
      </c>
      <c r="F18" s="50" t="n">
        <v>225</v>
      </c>
      <c r="G18" s="50">
        <f>D18*F18</f>
        <v/>
      </c>
      <c r="H18" s="50">
        <f>G18*0</f>
        <v/>
      </c>
      <c r="I18" s="50">
        <f>G18*0</f>
        <v/>
      </c>
      <c r="J18" s="50">
        <f>G18+H18+I18</f>
        <v/>
      </c>
      <c r="K18" s="48" t="inlineStr">
        <is>
          <t>Cloud connectivity setup (optional)</t>
        </is>
      </c>
    </row>
    <row r="19" ht="26" customHeight="1">
      <c r="A19" s="43" t="inlineStr">
        <is>
          <t>Professional Services</t>
        </is>
      </c>
      <c r="B19" s="44" t="inlineStr">
        <is>
          <t>Migration &amp; Testing</t>
        </is>
      </c>
      <c r="C19" s="44" t="inlineStr">
        <is>
          <t>Site cutover and validation</t>
        </is>
      </c>
      <c r="D19" s="45" t="n">
        <v>60</v>
      </c>
      <c r="E19" s="44" t="inlineStr">
        <is>
          <t>Hours</t>
        </is>
      </c>
      <c r="F19" s="46" t="n">
        <v>200</v>
      </c>
      <c r="G19" s="46">
        <f>D19*F19</f>
        <v/>
      </c>
      <c r="H19" s="46">
        <f>G19*0</f>
        <v/>
      </c>
      <c r="I19" s="46">
        <f>G19*0</f>
        <v/>
      </c>
      <c r="J19" s="46">
        <f>G19+H19+I19</f>
        <v/>
      </c>
      <c r="K19" s="44" t="inlineStr">
        <is>
          <t>MPLS to SD-WAN migration</t>
        </is>
      </c>
    </row>
    <row r="20" ht="26" customHeight="1">
      <c r="A20" s="47" t="inlineStr">
        <is>
          <t>Professional Services</t>
        </is>
      </c>
      <c r="B20" s="48" t="inlineStr">
        <is>
          <t>Training</t>
        </is>
      </c>
      <c r="C20" s="48" t="inlineStr">
        <is>
          <t>Administrator and operations training</t>
        </is>
      </c>
      <c r="D20" s="49" t="n">
        <v>24</v>
      </c>
      <c r="E20" s="48" t="inlineStr">
        <is>
          <t>Hours</t>
        </is>
      </c>
      <c r="F20" s="50" t="n">
        <v>175</v>
      </c>
      <c r="G20" s="50">
        <f>D20*F20</f>
        <v/>
      </c>
      <c r="H20" s="50">
        <f>G20*0</f>
        <v/>
      </c>
      <c r="I20" s="50">
        <f>G20*0</f>
        <v/>
      </c>
      <c r="J20" s="50">
        <f>G20+H20+I20</f>
        <v/>
      </c>
      <c r="K20" s="48" t="inlineStr">
        <is>
          <t>vManage and troubleshooting training</t>
        </is>
      </c>
    </row>
    <row r="21" ht="26" customHeight="1">
      <c r="A21" s="51" t="inlineStr">
        <is>
          <t>TOTAL</t>
        </is>
      </c>
      <c r="B21" s="52" t="n"/>
      <c r="C21" s="52" t="n"/>
      <c r="D21" s="52" t="n"/>
      <c r="E21" s="52" t="n"/>
      <c r="F21" s="52" t="n"/>
      <c r="G21" s="53">
        <f>SUM(G3:G20)</f>
        <v/>
      </c>
      <c r="H21" s="53">
        <f>SUM(H3:H20)</f>
        <v/>
      </c>
      <c r="I21" s="53">
        <f>SUM(I3:I20)</f>
        <v/>
      </c>
      <c r="J21" s="53">
        <f>SUM(J3:J20)</f>
        <v/>
      </c>
      <c r="K21" s="52" t="n"/>
    </row>
  </sheetData>
  <autoFilter ref="A2:K21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Hardware</t>
        </is>
      </c>
      <c r="B3" s="44" t="inlineStr">
        <is>
          <t>Trade-In Credit</t>
        </is>
      </c>
      <c r="C3" s="46" t="n">
        <v>-8000</v>
      </c>
      <c r="D3" s="44" t="inlineStr">
        <is>
          <t>Legacy router trade-in credit</t>
        </is>
      </c>
    </row>
    <row r="4" ht="26" customHeight="1">
      <c r="A4" s="47" t="inlineStr">
        <is>
          <t>Software</t>
        </is>
      </c>
      <c r="B4" s="48" t="inlineStr">
        <is>
          <t>SD-WAN Promotion</t>
        </is>
      </c>
      <c r="C4" s="50" t="n">
        <v>-15000</v>
      </c>
      <c r="D4" s="48" t="inlineStr">
        <is>
          <t>Year 1 SD-WAN license 25% discount</t>
        </is>
      </c>
    </row>
    <row r="5" ht="26" customHeight="1">
      <c r="A5" s="43" t="inlineStr">
        <is>
          <t>WAN Circuits</t>
        </is>
      </c>
      <c r="B5" s="44" t="inlineStr">
        <is>
          <t>Circuit Migration Credit</t>
        </is>
      </c>
      <c r="C5" s="46" t="n">
        <v>-12000</v>
      </c>
      <c r="D5" s="44" t="inlineStr">
        <is>
          <t>Year 1 circuit installation waiver from provider</t>
        </is>
      </c>
    </row>
    <row r="6" ht="26" customHeight="1">
      <c r="A6" s="47" t="inlineStr">
        <is>
          <t>Professional Services</t>
        </is>
      </c>
      <c r="B6" s="48" t="inlineStr">
        <is>
          <t>Implementation Credit</t>
        </is>
      </c>
      <c r="C6" s="50" t="n">
        <v>0</v>
      </c>
      <c r="D6" s="48" t="inlineStr">
        <is>
          <t>No services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Hardware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WAN Circuits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Software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Support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43" t="inlineStr">
        <is>
          <t>Professional Services</t>
        </is>
      </c>
      <c r="B7" s="46">
        <f>SUMIF('Infrastructure Costs'!$A:$A,A7,'Infrastructure Costs'!$G:$G)</f>
        <v/>
      </c>
      <c r="C7" s="46">
        <f>SUMIF(Credits!$A:$A,A7,Credits!$C:$C)</f>
        <v/>
      </c>
      <c r="D7" s="46">
        <f>B7+C7</f>
        <v/>
      </c>
      <c r="E7" s="46">
        <f>SUMIF('Infrastructure Costs'!$A:$A,A7,'Infrastructure Costs'!$H:$H)</f>
        <v/>
      </c>
      <c r="F7" s="46">
        <f>SUMIF('Infrastructure Costs'!$A:$A,A7,'Infrastructure Costs'!$I:$I)</f>
        <v/>
      </c>
      <c r="G7" s="46">
        <f>D7+E7+F7</f>
        <v/>
      </c>
    </row>
    <row r="8" ht="26" customHeight="1">
      <c r="A8" s="51" t="inlineStr">
        <is>
          <t>TOTAL</t>
        </is>
      </c>
      <c r="B8" s="53">
        <f>SUM(B3:B7)</f>
        <v/>
      </c>
      <c r="C8" s="53">
        <f>SUM(C3:C7)</f>
        <v/>
      </c>
      <c r="D8" s="53">
        <f>SUM(D3:D7)</f>
        <v/>
      </c>
      <c r="E8" s="53">
        <f>SUM(E3:E7)</f>
        <v/>
      </c>
      <c r="F8" s="53">
        <f>SUM(F3:F7)</f>
        <v/>
      </c>
      <c r="G8" s="53">
        <f>SUM(G3:G7)</f>
        <v/>
      </c>
    </row>
  </sheetData>
  <autoFilter ref="A2:G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2025-11-22T23:09:01Z</dcterms:modified>
  <cp:lastModifiedBy>Kishan Siram</cp:lastModifiedBy>
</cp:coreProperties>
</file>