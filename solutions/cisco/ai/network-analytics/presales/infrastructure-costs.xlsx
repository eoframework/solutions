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Costs'!$A$2:$K$16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Network Analytics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Network Infrastructure</t>
        </is>
      </c>
      <c r="B3" s="38" t="inlineStr">
        <is>
          <t>Device Count</t>
        </is>
      </c>
      <c r="C3" s="39" t="inlineStr">
        <is>
          <t>50-100 devices</t>
        </is>
      </c>
      <c r="D3" s="39" t="inlineStr">
        <is>
          <t>100-250 devices</t>
        </is>
      </c>
      <c r="E3" s="39" t="inlineStr">
        <is>
          <t>250-500+ devices</t>
        </is>
      </c>
      <c r="F3" s="38" t="inlineStr">
        <is>
          <t>Managed network devices (switches routers APs)</t>
        </is>
      </c>
    </row>
    <row r="4" ht="26" customHeight="1">
      <c r="A4" s="40" t="inlineStr">
        <is>
          <t>Hardware Appliance</t>
        </is>
      </c>
      <c r="B4" s="41" t="inlineStr">
        <is>
          <t>DNA Center Model</t>
        </is>
      </c>
      <c r="C4" s="42" t="inlineStr">
        <is>
          <t>DN1-HW-APL</t>
        </is>
      </c>
      <c r="D4" s="42" t="inlineStr">
        <is>
          <t>DN2-HW-APL</t>
        </is>
      </c>
      <c r="E4" s="42" t="inlineStr">
        <is>
          <t>DN2-HW-APL-L</t>
        </is>
      </c>
      <c r="F4" s="41" t="inlineStr">
        <is>
          <t>Appliance model based on device count</t>
        </is>
      </c>
    </row>
    <row r="5" ht="26" customHeight="1">
      <c r="A5" s="37" t="inlineStr">
        <is>
          <t>High Availability</t>
        </is>
      </c>
      <c r="B5" s="38" t="inlineStr">
        <is>
          <t>Secondary Appliance</t>
        </is>
      </c>
      <c r="C5" s="39" t="inlineStr">
        <is>
          <t>Optional</t>
        </is>
      </c>
      <c r="D5" s="39" t="inlineStr">
        <is>
          <t>Recommended</t>
        </is>
      </c>
      <c r="E5" s="39" t="inlineStr">
        <is>
          <t>Required</t>
        </is>
      </c>
      <c r="F5" s="38" t="inlineStr">
        <is>
          <t>HA redundancy for production</t>
        </is>
      </c>
    </row>
    <row r="6" ht="26" customHeight="1">
      <c r="A6" s="40" t="inlineStr">
        <is>
          <t>Software Licensing</t>
        </is>
      </c>
      <c r="B6" s="41" t="inlineStr">
        <is>
          <t>DNA License Tier</t>
        </is>
      </c>
      <c r="C6" s="42" t="inlineStr">
        <is>
          <t>Essentials</t>
        </is>
      </c>
      <c r="D6" s="42" t="inlineStr">
        <is>
          <t>Advantage</t>
        </is>
      </c>
      <c r="E6" s="42" t="inlineStr">
        <is>
          <t>Advantage</t>
        </is>
      </c>
      <c r="F6" s="41" t="inlineStr">
        <is>
          <t>Feature set and automation capabilities</t>
        </is>
      </c>
    </row>
    <row r="7" ht="26" customHeight="1">
      <c r="A7" s="37" t="inlineStr">
        <is>
          <t>AI Analytics</t>
        </is>
      </c>
      <c r="B7" s="38" t="inlineStr">
        <is>
          <t>AI Network Analytics</t>
        </is>
      </c>
      <c r="C7" s="39" t="inlineStr">
        <is>
          <t>Basic</t>
        </is>
      </c>
      <c r="D7" s="39" t="inlineStr">
        <is>
          <t>Standard</t>
        </is>
      </c>
      <c r="E7" s="39" t="inlineStr">
        <is>
          <t>Advanced</t>
        </is>
      </c>
      <c r="F7" s="38" t="inlineStr">
        <is>
          <t>Predictive insights and anomaly detection</t>
        </is>
      </c>
    </row>
    <row r="8" ht="26" customHeight="1">
      <c r="A8" s="40" t="inlineStr">
        <is>
          <t>SD-Access</t>
        </is>
      </c>
      <c r="B8" s="41" t="inlineStr">
        <is>
          <t>Fabric-Enabled Devices</t>
        </is>
      </c>
      <c r="C8" s="42" t="inlineStr">
        <is>
          <t>20-50 devices</t>
        </is>
      </c>
      <c r="D8" s="42" t="inlineStr">
        <is>
          <t>50-100 devices</t>
        </is>
      </c>
      <c r="E8" s="42" t="inlineStr">
        <is>
          <t>100-200+ devices</t>
        </is>
      </c>
      <c r="F8" s="41" t="inlineStr">
        <is>
          <t>Software Defined Access fabric devices</t>
        </is>
      </c>
    </row>
    <row r="9" ht="26" customHeight="1">
      <c r="A9" s="37" t="inlineStr">
        <is>
          <t>Support</t>
        </is>
      </c>
      <c r="B9" s="38" t="inlineStr">
        <is>
          <t>Cisco SmartNet</t>
        </is>
      </c>
      <c r="C9" s="39" t="inlineStr">
        <is>
          <t>8x5x4</t>
        </is>
      </c>
      <c r="D9" s="39" t="inlineStr">
        <is>
          <t>24x7x4</t>
        </is>
      </c>
      <c r="E9" s="39" t="inlineStr">
        <is>
          <t>24x7x2</t>
        </is>
      </c>
      <c r="F9" s="38" t="inlineStr">
        <is>
          <t>Hardware replacement SLA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Cisco DNA Center Appliance</t>
        </is>
      </c>
      <c r="C3" s="44" t="inlineStr">
        <is>
          <t>DN2-HW-APL for 200 devices</t>
        </is>
      </c>
      <c r="D3" s="45" t="n">
        <v>1</v>
      </c>
      <c r="E3" s="44" t="inlineStr">
        <is>
          <t>Appliance</t>
        </is>
      </c>
      <c r="F3" s="46" t="n">
        <v>60000</v>
      </c>
      <c r="G3" s="46" t="n">
        <v>60000</v>
      </c>
      <c r="H3" s="46" t="n">
        <v>0</v>
      </c>
      <c r="I3" s="46" t="n">
        <v>0</v>
      </c>
      <c r="J3" s="46" t="n">
        <v>60000</v>
      </c>
      <c r="K3" s="44" t="inlineStr">
        <is>
          <t>One-time hardware purchase</t>
        </is>
      </c>
    </row>
    <row r="4" ht="26" customHeight="1">
      <c r="A4" s="47" t="inlineStr">
        <is>
          <t>Hardware</t>
        </is>
      </c>
      <c r="B4" s="48" t="inlineStr">
        <is>
          <t>DNA Center HA Secondary</t>
        </is>
      </c>
      <c r="C4" s="48" t="inlineStr">
        <is>
          <t>DN2-HW-APL secondary for high availability</t>
        </is>
      </c>
      <c r="D4" s="49" t="n">
        <v>1</v>
      </c>
      <c r="E4" s="48" t="inlineStr">
        <is>
          <t>Appliance</t>
        </is>
      </c>
      <c r="F4" s="50" t="n">
        <v>60000</v>
      </c>
      <c r="G4" s="50" t="n">
        <v>60000</v>
      </c>
      <c r="H4" s="50" t="n">
        <v>0</v>
      </c>
      <c r="I4" s="50" t="n">
        <v>0</v>
      </c>
      <c r="J4" s="50" t="n">
        <v>60000</v>
      </c>
      <c r="K4" s="48" t="inlineStr">
        <is>
          <t>Optional HA redundancy</t>
        </is>
      </c>
    </row>
    <row r="5" ht="26" customHeight="1">
      <c r="A5" s="43" t="inlineStr">
        <is>
          <t>Software</t>
        </is>
      </c>
      <c r="B5" s="44" t="inlineStr">
        <is>
          <t>DNA Advantage License</t>
        </is>
      </c>
      <c r="C5" s="44" t="inlineStr">
        <is>
          <t>Per-device annual subscription (200 devices)</t>
        </is>
      </c>
      <c r="D5" s="45" t="n">
        <v>200</v>
      </c>
      <c r="E5" s="44" t="inlineStr">
        <is>
          <t>Devices/Year</t>
        </is>
      </c>
      <c r="F5" s="46" t="n">
        <v>300</v>
      </c>
      <c r="G5" s="46">
        <f>D5*F5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Network automation and assurance</t>
        </is>
      </c>
    </row>
    <row r="6" ht="26" customHeight="1">
      <c r="A6" s="47" t="inlineStr">
        <is>
          <t>Software</t>
        </is>
      </c>
      <c r="B6" s="48" t="inlineStr">
        <is>
          <t>AI Network Analytics</t>
        </is>
      </c>
      <c r="C6" s="48" t="inlineStr">
        <is>
          <t>AI/ML analytics per device (200 devices)</t>
        </is>
      </c>
      <c r="D6" s="49" t="n">
        <v>200</v>
      </c>
      <c r="E6" s="48" t="inlineStr">
        <is>
          <t>Devices/Year</t>
        </is>
      </c>
      <c r="F6" s="50" t="n">
        <v>150</v>
      </c>
      <c r="G6" s="50">
        <f>D6*F6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Predictive analytics and insights</t>
        </is>
      </c>
    </row>
    <row r="7" ht="26" customHeight="1">
      <c r="A7" s="43" t="inlineStr">
        <is>
          <t>Software</t>
        </is>
      </c>
      <c r="B7" s="44" t="inlineStr">
        <is>
          <t>SD-Access License</t>
        </is>
      </c>
      <c r="C7" s="44" t="inlineStr">
        <is>
          <t>Fabric-enabled device licenses (100 devices)</t>
        </is>
      </c>
      <c r="D7" s="45" t="n">
        <v>100</v>
      </c>
      <c r="E7" s="44" t="inlineStr">
        <is>
          <t>Devices/Year</t>
        </is>
      </c>
      <c r="F7" s="46" t="n">
        <v>200</v>
      </c>
      <c r="G7" s="46">
        <f>D7*F7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Software Defined Access fabric</t>
        </is>
      </c>
    </row>
    <row r="8" ht="26" customHeight="1">
      <c r="A8" s="47" t="inlineStr">
        <is>
          <t>Support</t>
        </is>
      </c>
      <c r="B8" s="48" t="inlineStr">
        <is>
          <t>Cisco SmartNet 24x7x4</t>
        </is>
      </c>
      <c r="C8" s="48" t="inlineStr">
        <is>
          <t>Hardware support for appliances (2 units)</t>
        </is>
      </c>
      <c r="D8" s="49" t="n">
        <v>2</v>
      </c>
      <c r="E8" s="48" t="inlineStr">
        <is>
          <t>Appliances/Year</t>
        </is>
      </c>
      <c r="F8" s="50" t="n">
        <v>9000</v>
      </c>
      <c r="G8" s="50">
        <f>D8*F8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24x7 support with 4-hour replacement</t>
        </is>
      </c>
    </row>
    <row r="9" ht="26" customHeight="1">
      <c r="A9" s="43" t="inlineStr">
        <is>
          <t>Professional Services</t>
        </is>
      </c>
      <c r="B9" s="44" t="inlineStr">
        <is>
          <t>Network Discovery &amp; Assessment</t>
        </is>
      </c>
      <c r="C9" s="44" t="inlineStr">
        <is>
          <t>Current state analysis and device inventory</t>
        </is>
      </c>
      <c r="D9" s="45" t="n">
        <v>40</v>
      </c>
      <c r="E9" s="44" t="inlineStr">
        <is>
          <t>Hours</t>
        </is>
      </c>
      <c r="F9" s="46" t="n">
        <v>225</v>
      </c>
      <c r="G9" s="46">
        <f>D9*F9</f>
        <v/>
      </c>
      <c r="H9" s="46">
        <f>G9*0</f>
        <v/>
      </c>
      <c r="I9" s="46">
        <f>G9*0</f>
        <v/>
      </c>
      <c r="J9" s="46">
        <f>G9+H9+I9</f>
        <v/>
      </c>
      <c r="K9" s="44" t="inlineStr">
        <is>
          <t>Network assessment and planning</t>
        </is>
      </c>
    </row>
    <row r="10" ht="26" customHeight="1">
      <c r="A10" s="47" t="inlineStr">
        <is>
          <t>Professional Services</t>
        </is>
      </c>
      <c r="B10" s="48" t="inlineStr">
        <is>
          <t>DNA Center Deployment</t>
        </is>
      </c>
      <c r="C10" s="48" t="inlineStr">
        <is>
          <t>Appliance installation and initial configuration</t>
        </is>
      </c>
      <c r="D10" s="49" t="n">
        <v>60</v>
      </c>
      <c r="E10" s="48" t="inlineStr">
        <is>
          <t>Hours</t>
        </is>
      </c>
      <c r="F10" s="50" t="n">
        <v>225</v>
      </c>
      <c r="G10" s="50">
        <f>D10*F10</f>
        <v/>
      </c>
      <c r="H10" s="50">
        <f>G10*0</f>
        <v/>
      </c>
      <c r="I10" s="50">
        <f>G10*0</f>
        <v/>
      </c>
      <c r="J10" s="50">
        <f>G10+H10+I10</f>
        <v/>
      </c>
      <c r="K10" s="48" t="inlineStr">
        <is>
          <t>Deployment and setup</t>
        </is>
      </c>
    </row>
    <row r="11" ht="26" customHeight="1">
      <c r="A11" s="43" t="inlineStr">
        <is>
          <t>Professional Services</t>
        </is>
      </c>
      <c r="B11" s="44" t="inlineStr">
        <is>
          <t>Device Onboarding</t>
        </is>
      </c>
      <c r="C11" s="44" t="inlineStr">
        <is>
          <t>Onboard 200 devices into DNA Center</t>
        </is>
      </c>
      <c r="D11" s="45" t="n">
        <v>80</v>
      </c>
      <c r="E11" s="44" t="inlineStr">
        <is>
          <t>Hours</t>
        </is>
      </c>
      <c r="F11" s="46" t="n">
        <v>200</v>
      </c>
      <c r="G11" s="46">
        <f>D11*F11</f>
        <v/>
      </c>
      <c r="H11" s="46">
        <f>G11*0</f>
        <v/>
      </c>
      <c r="I11" s="46">
        <f>G11*0</f>
        <v/>
      </c>
      <c r="J11" s="46">
        <f>G11+H11+I11</f>
        <v/>
      </c>
      <c r="K11" s="44" t="inlineStr">
        <is>
          <t>Device discovery and integration</t>
        </is>
      </c>
    </row>
    <row r="12" ht="26" customHeight="1">
      <c r="A12" s="47" t="inlineStr">
        <is>
          <t>Professional Services</t>
        </is>
      </c>
      <c r="B12" s="48" t="inlineStr">
        <is>
          <t>Policy &amp; Automation Setup</t>
        </is>
      </c>
      <c r="C12" s="48" t="inlineStr">
        <is>
          <t>Network policies templates and automation workflows</t>
        </is>
      </c>
      <c r="D12" s="49" t="n">
        <v>60</v>
      </c>
      <c r="E12" s="48" t="inlineStr">
        <is>
          <t>Hours</t>
        </is>
      </c>
      <c r="F12" s="50" t="n">
        <v>200</v>
      </c>
      <c r="G12" s="50">
        <f>D12*F12</f>
        <v/>
      </c>
      <c r="H12" s="50">
        <f>G12*0</f>
        <v/>
      </c>
      <c r="I12" s="50">
        <f>G12*0</f>
        <v/>
      </c>
      <c r="J12" s="50">
        <f>G12+H12+I12</f>
        <v/>
      </c>
      <c r="K12" s="48" t="inlineStr">
        <is>
          <t>Automation configuration</t>
        </is>
      </c>
    </row>
    <row r="13" ht="26" customHeight="1">
      <c r="A13" s="43" t="inlineStr">
        <is>
          <t>Professional Services</t>
        </is>
      </c>
      <c r="B13" s="44" t="inlineStr">
        <is>
          <t>AI Analytics Configuration</t>
        </is>
      </c>
      <c r="C13" s="44" t="inlineStr">
        <is>
          <t>Assurance and insights configuration</t>
        </is>
      </c>
      <c r="D13" s="45" t="n">
        <v>40</v>
      </c>
      <c r="E13" s="44" t="inlineStr">
        <is>
          <t>Hours</t>
        </is>
      </c>
      <c r="F13" s="46" t="n">
        <v>225</v>
      </c>
      <c r="G13" s="46">
        <f>D13*F13</f>
        <v/>
      </c>
      <c r="H13" s="46">
        <f>G13*0</f>
        <v/>
      </c>
      <c r="I13" s="46">
        <f>G13*0</f>
        <v/>
      </c>
      <c r="J13" s="46">
        <f>G13+H13+I13</f>
        <v/>
      </c>
      <c r="K13" s="44" t="inlineStr">
        <is>
          <t>AI/ML analytics setup</t>
        </is>
      </c>
    </row>
    <row r="14" ht="26" customHeight="1">
      <c r="A14" s="47" t="inlineStr">
        <is>
          <t>Professional Services</t>
        </is>
      </c>
      <c r="B14" s="48" t="inlineStr">
        <is>
          <t>SD-Access Fabric Design</t>
        </is>
      </c>
      <c r="C14" s="48" t="inlineStr">
        <is>
          <t>Optional fabric design for 100 devices</t>
        </is>
      </c>
      <c r="D14" s="49" t="n">
        <v>40</v>
      </c>
      <c r="E14" s="48" t="inlineStr">
        <is>
          <t>Hours</t>
        </is>
      </c>
      <c r="F14" s="50" t="n">
        <v>250</v>
      </c>
      <c r="G14" s="50">
        <f>D14*F14</f>
        <v/>
      </c>
      <c r="H14" s="50">
        <f>G14*0</f>
        <v/>
      </c>
      <c r="I14" s="50">
        <f>G14*0</f>
        <v/>
      </c>
      <c r="J14" s="50">
        <f>G14+H14+I14</f>
        <v/>
      </c>
      <c r="K14" s="48" t="inlineStr">
        <is>
          <t>SD-Access architecture (optional)</t>
        </is>
      </c>
    </row>
    <row r="15" ht="26" customHeight="1">
      <c r="A15" s="43" t="inlineStr">
        <is>
          <t>Professional Services</t>
        </is>
      </c>
      <c r="B15" s="44" t="inlineStr">
        <is>
          <t>Training</t>
        </is>
      </c>
      <c r="C15" s="44" t="inlineStr">
        <is>
          <t>Administrator and operations training</t>
        </is>
      </c>
      <c r="D15" s="45" t="n">
        <v>32</v>
      </c>
      <c r="E15" s="44" t="inlineStr">
        <is>
          <t>Hours</t>
        </is>
      </c>
      <c r="F15" s="46" t="n">
        <v>175</v>
      </c>
      <c r="G15" s="46">
        <f>D15*F15</f>
        <v/>
      </c>
      <c r="H15" s="46">
        <f>G15*0</f>
        <v/>
      </c>
      <c r="I15" s="46">
        <f>G15*0</f>
        <v/>
      </c>
      <c r="J15" s="46">
        <f>G15+H15+I15</f>
        <v/>
      </c>
      <c r="K15" s="44" t="inlineStr">
        <is>
          <t>Team enablement and knowledge transfer</t>
        </is>
      </c>
    </row>
    <row r="16" ht="26" customHeight="1">
      <c r="A16" s="51" t="inlineStr">
        <is>
          <t>TOTAL</t>
        </is>
      </c>
      <c r="B16" s="52" t="n"/>
      <c r="C16" s="52" t="n"/>
      <c r="D16" s="52" t="n"/>
      <c r="E16" s="52" t="n"/>
      <c r="F16" s="52" t="n"/>
      <c r="G16" s="53">
        <f>SUM(G3:G15)</f>
        <v/>
      </c>
      <c r="H16" s="53">
        <f>SUM(H3:H15)</f>
        <v/>
      </c>
      <c r="I16" s="53">
        <f>SUM(I3:I15)</f>
        <v/>
      </c>
      <c r="J16" s="53">
        <f>SUM(J3:J15)</f>
        <v/>
      </c>
      <c r="K16" s="52" t="n"/>
    </row>
  </sheetData>
  <autoFilter ref="A2:K16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Hardware Trade-In</t>
        </is>
      </c>
      <c r="C3" s="46" t="n">
        <v>0</v>
      </c>
      <c r="D3" s="44" t="inlineStr">
        <is>
          <t>No hardware trade-in credits available</t>
        </is>
      </c>
    </row>
    <row r="4" ht="26" customHeight="1">
      <c r="A4" s="47" t="inlineStr">
        <is>
          <t>Software</t>
        </is>
      </c>
      <c r="B4" s="48" t="inlineStr">
        <is>
          <t>DNA License Promotion</t>
        </is>
      </c>
      <c r="C4" s="50" t="n">
        <v>-20000</v>
      </c>
      <c r="D4" s="48" t="inlineStr">
        <is>
          <t>Year 1 DNA license 33% discount promotion</t>
        </is>
      </c>
    </row>
    <row r="5" ht="26" customHeight="1">
      <c r="A5" s="43" t="inlineStr">
        <is>
          <t>Support</t>
        </is>
      </c>
      <c r="B5" s="44" t="inlineStr">
        <is>
          <t>SmartNet Renewal</t>
        </is>
      </c>
      <c r="C5" s="46" t="n">
        <v>0</v>
      </c>
      <c r="D5" s="44" t="inlineStr">
        <is>
          <t>No support renewal credits</t>
        </is>
      </c>
    </row>
    <row r="6" ht="26" customHeight="1">
      <c r="A6" s="47" t="inlineStr">
        <is>
          <t>Professional Services</t>
        </is>
      </c>
      <c r="B6" s="48" t="inlineStr">
        <is>
          <t>Implementation Credit</t>
        </is>
      </c>
      <c r="C6" s="50" t="n">
        <v>0</v>
      </c>
      <c r="D6" s="48" t="inlineStr">
        <is>
          <t>No services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2025-11-23T00:43:33Z</dcterms:modified>
  <cp:lastModifiedBy>Kishan Siram</cp:lastModifiedBy>
</cp:coreProperties>
</file>