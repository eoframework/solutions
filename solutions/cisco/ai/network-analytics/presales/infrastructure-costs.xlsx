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Sizing Guidelines" sheetId="2" state="visible" r:id="rId2"/>
    <sheet xmlns:r="http://schemas.openxmlformats.org/officeDocument/2006/relationships" name="Infrastructure Costs" sheetId="3" state="visible" r:id="rId3"/>
    <sheet xmlns:r="http://schemas.openxmlformats.org/officeDocument/2006/relationships" name="Credits" sheetId="4" state="visible" r:id="rId4"/>
    <sheet xmlns:r="http://schemas.openxmlformats.org/officeDocument/2006/relationships" name="3-Year Summary" sheetId="5" state="visible" r:id="rId5"/>
  </sheets>
  <definedNames>
    <definedName name="_xlnm._FilterDatabase" localSheetId="1" hidden="1">'Sizing Guidelines'!$A$2:$F$9</definedName>
    <definedName name="_xlnm._FilterDatabase" localSheetId="2" hidden="1">'Infrastructure Costs'!$A$2:$K$16</definedName>
    <definedName name="_xlnm._FilterDatabase" localSheetId="3" hidden="1">'Credits'!$A$2:$D$6</definedName>
    <definedName name="_xlnm._FilterDatabase" localSheetId="4" hidden="1">'3-Year Summary'!$A$2:$G$7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$#,##0.00"/>
  </numFmts>
  <fonts count="20">
    <font>
      <name val="Calibri"/>
      <family val="2"/>
      <color theme="1"/>
      <sz val="11"/>
      <scheme val="minor"/>
    </font>
    <font>
      <name val="Segoe UI"/>
      <b val="1"/>
      <color rgb="FF5D6D7E"/>
      <sz val="12"/>
    </font>
    <font>
      <name val="Calibri"/>
      <color rgb="FF2C3E50"/>
      <sz val="12"/>
    </font>
    <font>
      <name val="Segoe UI"/>
      <color rgb="FFCC0000"/>
      <sz val="12"/>
    </font>
    <font>
      <name val="Calibri"/>
      <color rgb="FF5D6D7E"/>
      <sz val="11"/>
      <u val="single"/>
    </font>
    <font>
      <name val="Calibri"/>
      <b val="1"/>
      <color rgb="FFCC0000"/>
      <sz val="12"/>
    </font>
    <font>
      <name val="Calibri"/>
      <family val="2"/>
      <b val="1"/>
      <color rgb="FFFFFFFF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rgb="FF5D6D7E"/>
      <sz val="14"/>
      <scheme val="minor"/>
    </font>
    <font>
      <name val="Calibri"/>
      <family val="2"/>
      <color rgb="FF2C3E50"/>
      <sz val="26"/>
      <scheme val="minor"/>
    </font>
    <font>
      <name val="Calibri"/>
      <sz val="11"/>
    </font>
    <font>
      <name val="Calibri"/>
      <family val="2"/>
      <b val="1"/>
      <sz val="12"/>
    </font>
    <font>
      <name val="Calibri"/>
      <family val="2"/>
      <color rgb="FF2C3E50"/>
      <sz val="11"/>
    </font>
    <font>
      <name val="Calibri"/>
      <family val="2"/>
      <sz val="11"/>
    </font>
    <font>
      <name val="Calibri"/>
      <family val="2"/>
      <b val="1"/>
      <color rgb="FFCC0000"/>
      <sz val="11"/>
    </font>
    <font>
      <name val="Calibri"/>
      <b val="1"/>
      <color rgb="FF2C3E50"/>
      <sz val="12"/>
    </font>
    <font>
      <name val="Calibri"/>
      <b val="1"/>
      <color rgb="FFFFFFFF"/>
      <sz val="12"/>
    </font>
    <font>
      <name val="Calibri"/>
      <color rgb="FF2C3E50"/>
      <sz val="11"/>
    </font>
    <font>
      <name val="Calibri"/>
      <b val="1"/>
      <color rgb="FF2C3E50"/>
      <sz val="11"/>
    </font>
    <font>
      <name val="Calibri"/>
      <b val="1"/>
      <color rgb="FFCC0000"/>
      <sz val="11"/>
    </font>
  </fonts>
  <fills count="11">
    <fill>
      <patternFill/>
    </fill>
    <fill>
      <patternFill patternType="gray125"/>
    </fill>
    <fill>
      <patternFill patternType="solid">
        <fgColor rgb="FFCC0000"/>
        <bgColor rgb="FFCC0000"/>
      </patternFill>
    </fill>
    <fill>
      <patternFill patternType="solid">
        <fgColor rgb="FF2C3E50"/>
        <bgColor rgb="FF2C3E50"/>
      </patternFill>
    </fill>
    <fill>
      <patternFill patternType="solid">
        <fgColor rgb="FFF8FAFB"/>
        <bgColor rgb="FFF8FAFB"/>
      </patternFill>
    </fill>
    <fill>
      <patternFill patternType="solid">
        <fgColor rgb="FFE8F4F8"/>
        <bgColor rgb="FFE8F4F8"/>
      </patternFill>
    </fill>
    <fill>
      <patternFill patternType="solid">
        <fgColor rgb="FFFFF2CC"/>
        <bgColor rgb="FFFFF2CC"/>
      </patternFill>
    </fill>
    <fill>
      <patternFill patternType="solid">
        <fgColor rgb="FFD1ECF1"/>
        <bgColor rgb="FFD1ECF1"/>
      </patternFill>
    </fill>
    <fill>
      <patternFill patternType="solid">
        <fgColor rgb="FFE8F5E9"/>
        <bgColor rgb="FFE8F5E9"/>
      </patternFill>
    </fill>
    <fill>
      <patternFill patternType="solid">
        <fgColor rgb="FFE8F4F8"/>
        <bgColor indexed="64"/>
      </patternFill>
    </fill>
    <fill>
      <patternFill patternType="solid">
        <fgColor rgb="00FFFFFF"/>
        <bgColor rgb="00FFFFFF"/>
      </patternFill>
    </fill>
  </fills>
  <borders count="6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medium">
        <color rgb="FF2C3E50"/>
      </bottom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BDC3C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0" fillId="2" borderId="0" pivotButton="0" quotePrefix="0" xfId="0"/>
    <xf numFmtId="0" fontId="1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top"/>
    </xf>
    <xf numFmtId="0" fontId="2" fillId="4" borderId="2" applyAlignment="1" pivotButton="0" quotePrefix="0" xfId="0">
      <alignment horizontal="left" vertical="center" wrapText="1" indent="1"/>
    </xf>
    <xf numFmtId="0" fontId="2" fillId="4" borderId="2" applyAlignment="1" pivotButton="0" quotePrefix="0" xfId="0">
      <alignment horizontal="right" vertical="center" wrapText="1" indent="1"/>
    </xf>
    <xf numFmtId="164" fontId="2" fillId="4" borderId="2" applyAlignment="1" pivotButton="0" quotePrefix="0" xfId="0">
      <alignment horizontal="right" vertical="center" wrapText="1" indent="1"/>
    </xf>
    <xf numFmtId="0" fontId="2" fillId="0" borderId="2" applyAlignment="1" pivotButton="0" quotePrefix="0" xfId="0">
      <alignment horizontal="left" vertical="center" wrapText="1" indent="1"/>
    </xf>
    <xf numFmtId="0" fontId="2" fillId="0" borderId="2" applyAlignment="1" pivotButton="0" quotePrefix="0" xfId="0">
      <alignment horizontal="right" vertical="center" wrapText="1" indent="1"/>
    </xf>
    <xf numFmtId="164" fontId="2" fillId="0" borderId="2" applyAlignment="1" pivotButton="0" quotePrefix="0" xfId="0">
      <alignment horizontal="right" vertical="center" wrapText="1" indent="1"/>
    </xf>
    <xf numFmtId="0" fontId="0" fillId="5" borderId="2" pivotButton="0" quotePrefix="0" xfId="0"/>
    <xf numFmtId="164" fontId="5" fillId="5" borderId="2" applyAlignment="1" pivotButton="0" quotePrefix="0" xfId="0">
      <alignment horizontal="right" vertical="center" wrapText="1" indent="1"/>
    </xf>
    <xf numFmtId="0" fontId="6" fillId="3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1" fillId="7" borderId="4" applyAlignment="1" pivotButton="0" quotePrefix="0" xfId="0">
      <alignment horizontal="center" vertical="center"/>
    </xf>
    <xf numFmtId="0" fontId="11" fillId="8" borderId="4" applyAlignment="1" pivotButton="0" quotePrefix="0" xfId="0">
      <alignment horizontal="center" vertical="center"/>
    </xf>
    <xf numFmtId="9" fontId="11" fillId="8" borderId="4" applyAlignment="1" pivotButton="0" quotePrefix="0" xfId="0">
      <alignment horizontal="center" vertical="center"/>
    </xf>
    <xf numFmtId="0" fontId="14" fillId="5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164" fontId="12" fillId="4" borderId="2" applyAlignment="1" pivotButton="0" quotePrefix="0" xfId="0">
      <alignment horizontal="right" wrapText="1"/>
    </xf>
    <xf numFmtId="164" fontId="12" fillId="0" borderId="2" applyAlignment="1" pivotButton="0" quotePrefix="0" xfId="0">
      <alignment horizontal="right" wrapText="1"/>
    </xf>
    <xf numFmtId="164" fontId="12" fillId="4" borderId="2" applyAlignment="1" pivotButton="0" quotePrefix="0" xfId="0">
      <alignment horizontal="right" wrapText="1" indent="1"/>
    </xf>
    <xf numFmtId="164" fontId="12" fillId="0" borderId="2" applyAlignment="1" pivotButton="0" quotePrefix="0" xfId="0">
      <alignment horizontal="right" wrapText="1" indent="1"/>
    </xf>
    <xf numFmtId="164" fontId="14" fillId="5" borderId="2" applyAlignment="1" pivotButton="0" quotePrefix="0" xfId="0">
      <alignment horizontal="right" wrapText="1" indent="1"/>
    </xf>
    <xf numFmtId="0" fontId="12" fillId="4" borderId="2" applyAlignment="1" pivotButton="0" quotePrefix="0" xfId="0">
      <alignment horizontal="right" vertical="center" wrapText="1"/>
    </xf>
    <xf numFmtId="0" fontId="12" fillId="0" borderId="2" applyAlignment="1" pivotButton="0" quotePrefix="0" xfId="0">
      <alignment horizontal="right" vertical="center" wrapText="1"/>
    </xf>
    <xf numFmtId="0" fontId="5" fillId="5" borderId="2" applyAlignment="1" pivotButton="0" quotePrefix="0" xfId="0">
      <alignment horizontal="center" vertical="center" wrapText="1"/>
    </xf>
    <xf numFmtId="0" fontId="10" fillId="6" borderId="4" applyAlignment="1" pivotButton="0" quotePrefix="0" xfId="0">
      <alignment horizontal="left" vertical="center" wrapText="1" indent="1"/>
    </xf>
    <xf numFmtId="0" fontId="12" fillId="4" borderId="2" applyAlignment="1" pivotButton="0" quotePrefix="0" xfId="0">
      <alignment horizontal="left" vertical="center" wrapText="1" indent="1"/>
    </xf>
    <xf numFmtId="0" fontId="12" fillId="0" borderId="2" applyAlignment="1" pivotButton="0" quotePrefix="0" xfId="0">
      <alignment horizontal="left" vertical="center" wrapText="1" indent="1"/>
    </xf>
    <xf numFmtId="0" fontId="13" fillId="6" borderId="4" applyAlignment="1" pivotButton="0" quotePrefix="0" xfId="0">
      <alignment horizontal="left" vertical="center" wrapText="1" indent="1"/>
    </xf>
    <xf numFmtId="0" fontId="7" fillId="9" borderId="3" applyAlignment="1" pivotButton="0" quotePrefix="0" xfId="0">
      <alignment horizontal="center" vertical="center"/>
    </xf>
    <xf numFmtId="0" fontId="15" fillId="5" borderId="0" applyAlignment="1" pivotButton="0" quotePrefix="0" xfId="0">
      <alignment horizontal="center" vertical="center"/>
    </xf>
    <xf numFmtId="0" fontId="16" fillId="3" borderId="5" applyAlignment="1" pivotButton="0" quotePrefix="0" xfId="0">
      <alignment horizontal="center" vertical="center" wrapText="1"/>
    </xf>
    <xf numFmtId="0" fontId="15" fillId="4" borderId="5" applyAlignment="1" pivotButton="0" quotePrefix="0" xfId="0">
      <alignment horizontal="left" vertical="center" wrapText="1" indent="1"/>
    </xf>
    <xf numFmtId="0" fontId="2" fillId="4" borderId="5" applyAlignment="1" pivotButton="0" quotePrefix="0" xfId="0">
      <alignment horizontal="left" vertical="center" wrapText="1" indent="1"/>
    </xf>
    <xf numFmtId="0" fontId="2" fillId="4" borderId="5" applyAlignment="1" pivotButton="0" quotePrefix="0" xfId="0">
      <alignment horizontal="center" vertical="center" wrapText="1"/>
    </xf>
    <xf numFmtId="0" fontId="15" fillId="10" borderId="5" applyAlignment="1" pivotButton="0" quotePrefix="0" xfId="0">
      <alignment horizontal="left" vertical="center" wrapText="1" indent="1"/>
    </xf>
    <xf numFmtId="0" fontId="2" fillId="10" borderId="5" applyAlignment="1" pivotButton="0" quotePrefix="0" xfId="0">
      <alignment horizontal="left" vertical="center" wrapText="1" indent="1"/>
    </xf>
    <xf numFmtId="0" fontId="2" fillId="10" borderId="5" applyAlignment="1" pivotButton="0" quotePrefix="0" xfId="0">
      <alignment horizontal="center" vertical="center" wrapText="1"/>
    </xf>
    <xf numFmtId="0" fontId="18" fillId="4" borderId="5" applyAlignment="1" pivotButton="0" quotePrefix="0" xfId="0">
      <alignment horizontal="left" vertical="center" wrapText="1" indent="1"/>
    </xf>
    <xf numFmtId="0" fontId="17" fillId="4" borderId="5" applyAlignment="1" pivotButton="0" quotePrefix="0" xfId="0">
      <alignment horizontal="left" vertical="center" wrapText="1" indent="1"/>
    </xf>
    <xf numFmtId="3" fontId="17" fillId="4" borderId="5" applyAlignment="1" pivotButton="0" quotePrefix="0" xfId="0">
      <alignment horizontal="right" vertical="center" wrapText="1"/>
    </xf>
    <xf numFmtId="165" fontId="17" fillId="4" borderId="5" applyAlignment="1" pivotButton="0" quotePrefix="0" xfId="0">
      <alignment horizontal="right" vertical="center" wrapText="1"/>
    </xf>
    <xf numFmtId="0" fontId="18" fillId="10" borderId="5" applyAlignment="1" pivotButton="0" quotePrefix="0" xfId="0">
      <alignment horizontal="left" vertical="center" wrapText="1" indent="1"/>
    </xf>
    <xf numFmtId="0" fontId="17" fillId="10" borderId="5" applyAlignment="1" pivotButton="0" quotePrefix="0" xfId="0">
      <alignment horizontal="left" vertical="center" wrapText="1" indent="1"/>
    </xf>
    <xf numFmtId="3" fontId="17" fillId="10" borderId="5" applyAlignment="1" pivotButton="0" quotePrefix="0" xfId="0">
      <alignment horizontal="right" vertical="center" wrapText="1"/>
    </xf>
    <xf numFmtId="165" fontId="17" fillId="10" borderId="5" applyAlignment="1" pivotButton="0" quotePrefix="0" xfId="0">
      <alignment horizontal="right" vertical="center" wrapText="1"/>
    </xf>
    <xf numFmtId="0" fontId="19" fillId="5" borderId="5" applyAlignment="1" pivotButton="0" quotePrefix="0" xfId="0">
      <alignment horizontal="left" vertical="center"/>
    </xf>
    <xf numFmtId="0" fontId="19" fillId="5" borderId="5" applyAlignment="1" pivotButton="0" quotePrefix="0" xfId="0">
      <alignment horizontal="center" vertical="center"/>
    </xf>
    <xf numFmtId="165" fontId="19" fillId="5" borderId="5" applyAlignment="1" pivotButton="0" quotePrefix="0" xfId="0">
      <alignment horizontal="right" vertical="center"/>
    </xf>
  </cellXfs>
  <cellStyles count="1">
    <cellStyle name="Normal" xfId="0" builtinId="0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11</row>
      <rowOff>0</rowOff>
    </from>
    <ext cx="1238250" cy="314325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12"/>
  <sheetViews>
    <sheetView workbookViewId="0">
      <selection activeCell="E24" sqref="E24"/>
    </sheetView>
  </sheetViews>
  <sheetFormatPr baseColWidth="8" defaultRowHeight="14.5"/>
  <cols>
    <col width="3" customWidth="1" min="1" max="1"/>
    <col width="25" customWidth="1" min="2" max="2"/>
    <col width="40" customWidth="1" min="3" max="3"/>
    <col width="3" customWidth="1" min="4" max="4"/>
  </cols>
  <sheetData>
    <row r="1" ht="15" customHeight="1">
      <c r="B1" s="1" t="n"/>
      <c r="C1" s="1" t="n"/>
    </row>
    <row r="2" ht="15" customHeight="1"/>
    <row r="3" ht="40" customHeight="1">
      <c r="B3" s="16" t="inlineStr">
        <is>
          <t>[DOCUMENT TITLE]</t>
        </is>
      </c>
    </row>
    <row r="4" ht="25" customHeight="1">
      <c r="B4" s="15" t="inlineStr">
        <is>
          <t>Infrastructure Costs</t>
        </is>
      </c>
    </row>
    <row r="5" ht="30" customHeight="1">
      <c r="B5" t="inlineStr">
        <is>
          <t>Presales Document</t>
        </is>
      </c>
    </row>
    <row r="6" ht="18" customHeight="1">
      <c r="B6" s="2" t="inlineStr">
        <is>
          <t>Generated:</t>
        </is>
      </c>
      <c r="C6" s="3" t="inlineStr">
        <is>
          <t>November 16, 2025</t>
        </is>
      </c>
    </row>
    <row r="7" ht="18" customHeight="1">
      <c r="B7" s="2" t="inlineStr">
        <is>
          <t>Solution:</t>
        </is>
      </c>
      <c r="C7" s="3" t="inlineStr">
        <is>
          <t>November 22, 2025</t>
        </is>
      </c>
    </row>
    <row r="8" ht="18" customHeight="1">
      <c r="B8" s="2" t="inlineStr">
        <is>
          <t>Customer:</t>
        </is>
      </c>
      <c r="C8" s="3" t="inlineStr">
        <is>
          <t>Network Analytics</t>
        </is>
      </c>
    </row>
    <row r="9" ht="18" customHeight="1">
      <c r="B9" s="2" t="inlineStr">
        <is>
          <t>Version:</t>
        </is>
      </c>
      <c r="C9" s="3" t="inlineStr">
        <is>
          <t>[Customer Name]</t>
        </is>
      </c>
    </row>
    <row r="10" ht="18" customHeight="1">
      <c r="B10" s="2" t="inlineStr">
        <is>
          <t>Status:</t>
        </is>
      </c>
      <c r="C10" s="4" t="inlineStr">
        <is>
          <t>Draft</t>
        </is>
      </c>
    </row>
    <row r="11" ht="40" customHeight="1"/>
    <row r="12" ht="30" customHeight="1">
      <c r="C12" s="5" t="inlineStr">
        <is>
          <t>eoframework.org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36" customWidth="1" min="2" max="2"/>
    <col width="28" customWidth="1" min="3" max="3"/>
    <col width="28" customWidth="1" min="4" max="4"/>
    <col width="28" customWidth="1" min="5" max="5"/>
    <col width="51" customWidth="1" min="6" max="6"/>
  </cols>
  <sheetData>
    <row r="1" ht="32" customHeight="1">
      <c r="A1" s="35" t="inlineStr">
        <is>
          <t>Sizing Guidelines</t>
        </is>
      </c>
    </row>
    <row r="2" ht="32" customHeight="1">
      <c r="A2" s="36" t="inlineStr">
        <is>
          <t>Category</t>
        </is>
      </c>
      <c r="B2" s="36" t="inlineStr">
        <is>
          <t>Component</t>
        </is>
      </c>
      <c r="C2" s="36" t="inlineStr">
        <is>
          <t>Small</t>
        </is>
      </c>
      <c r="D2" s="36" t="inlineStr">
        <is>
          <t>Medium</t>
        </is>
      </c>
      <c r="E2" s="36" t="inlineStr">
        <is>
          <t>Large</t>
        </is>
      </c>
      <c r="F2" s="36" t="inlineStr">
        <is>
          <t>Notes</t>
        </is>
      </c>
    </row>
    <row r="3" ht="26" customHeight="1">
      <c r="A3" s="37" t="inlineStr">
        <is>
          <t>Network Infrastructure</t>
        </is>
      </c>
      <c r="B3" s="38" t="inlineStr">
        <is>
          <t>Device Count</t>
        </is>
      </c>
      <c r="C3" s="39" t="inlineStr">
        <is>
          <t>50-100 devices</t>
        </is>
      </c>
      <c r="D3" s="39" t="inlineStr">
        <is>
          <t>100-250 devices</t>
        </is>
      </c>
      <c r="E3" s="39" t="inlineStr">
        <is>
          <t>250-500+ devices</t>
        </is>
      </c>
      <c r="F3" s="38" t="inlineStr">
        <is>
          <t>Managed network devices (switches routers APs)</t>
        </is>
      </c>
    </row>
    <row r="4" ht="26" customHeight="1">
      <c r="A4" s="40" t="inlineStr">
        <is>
          <t>Hardware Appliance</t>
        </is>
      </c>
      <c r="B4" s="41" t="inlineStr">
        <is>
          <t>DNA Center Model</t>
        </is>
      </c>
      <c r="C4" s="42" t="inlineStr">
        <is>
          <t>DN1-HW-APL</t>
        </is>
      </c>
      <c r="D4" s="42" t="inlineStr">
        <is>
          <t>DN2-HW-APL</t>
        </is>
      </c>
      <c r="E4" s="42" t="inlineStr">
        <is>
          <t>DN2-HW-APL-L</t>
        </is>
      </c>
      <c r="F4" s="41" t="inlineStr">
        <is>
          <t>Appliance model based on device count</t>
        </is>
      </c>
    </row>
    <row r="5" ht="26" customHeight="1">
      <c r="A5" s="37" t="inlineStr">
        <is>
          <t>High Availability</t>
        </is>
      </c>
      <c r="B5" s="38" t="inlineStr">
        <is>
          <t>Secondary Appliance</t>
        </is>
      </c>
      <c r="C5" s="39" t="inlineStr">
        <is>
          <t>Optional</t>
        </is>
      </c>
      <c r="D5" s="39" t="inlineStr">
        <is>
          <t>Recommended</t>
        </is>
      </c>
      <c r="E5" s="39" t="inlineStr">
        <is>
          <t>Required</t>
        </is>
      </c>
      <c r="F5" s="38" t="inlineStr">
        <is>
          <t>HA redundancy for production</t>
        </is>
      </c>
    </row>
    <row r="6" ht="26" customHeight="1">
      <c r="A6" s="40" t="inlineStr">
        <is>
          <t>Software Licensing</t>
        </is>
      </c>
      <c r="B6" s="41" t="inlineStr">
        <is>
          <t>DNA License Tier</t>
        </is>
      </c>
      <c r="C6" s="42" t="inlineStr">
        <is>
          <t>Essentials</t>
        </is>
      </c>
      <c r="D6" s="42" t="inlineStr">
        <is>
          <t>Advantage</t>
        </is>
      </c>
      <c r="E6" s="42" t="inlineStr">
        <is>
          <t>Advantage</t>
        </is>
      </c>
      <c r="F6" s="41" t="inlineStr">
        <is>
          <t>Feature set and automation capabilities</t>
        </is>
      </c>
    </row>
    <row r="7" ht="26" customHeight="1">
      <c r="A7" s="37" t="inlineStr">
        <is>
          <t>AI Analytics</t>
        </is>
      </c>
      <c r="B7" s="38" t="inlineStr">
        <is>
          <t>AI Network Analytics</t>
        </is>
      </c>
      <c r="C7" s="39" t="inlineStr">
        <is>
          <t>Basic</t>
        </is>
      </c>
      <c r="D7" s="39" t="inlineStr">
        <is>
          <t>Standard</t>
        </is>
      </c>
      <c r="E7" s="39" t="inlineStr">
        <is>
          <t>Advanced</t>
        </is>
      </c>
      <c r="F7" s="38" t="inlineStr">
        <is>
          <t>Predictive insights and anomaly detection</t>
        </is>
      </c>
    </row>
    <row r="8" ht="26" customHeight="1">
      <c r="A8" s="40" t="inlineStr">
        <is>
          <t>SD-Access</t>
        </is>
      </c>
      <c r="B8" s="41" t="inlineStr">
        <is>
          <t>Fabric-Enabled Devices</t>
        </is>
      </c>
      <c r="C8" s="42" t="inlineStr">
        <is>
          <t>20-50 devices</t>
        </is>
      </c>
      <c r="D8" s="42" t="inlineStr">
        <is>
          <t>50-100 devices</t>
        </is>
      </c>
      <c r="E8" s="42" t="inlineStr">
        <is>
          <t>100-200+ devices</t>
        </is>
      </c>
      <c r="F8" s="41" t="inlineStr">
        <is>
          <t>Software Defined Access fabric devices</t>
        </is>
      </c>
    </row>
    <row r="9" ht="26" customHeight="1">
      <c r="A9" s="37" t="inlineStr">
        <is>
          <t>Support</t>
        </is>
      </c>
      <c r="B9" s="38" t="inlineStr">
        <is>
          <t>Cisco SmartNet</t>
        </is>
      </c>
      <c r="C9" s="39" t="inlineStr">
        <is>
          <t>8x5x4</t>
        </is>
      </c>
      <c r="D9" s="39" t="inlineStr">
        <is>
          <t>24x7x4</t>
        </is>
      </c>
      <c r="E9" s="39" t="inlineStr">
        <is>
          <t>24x7x2</t>
        </is>
      </c>
      <c r="F9" s="38" t="inlineStr">
        <is>
          <t>Hardware replacement SLA</t>
        </is>
      </c>
    </row>
  </sheetData>
  <autoFilter ref="A2:F9"/>
  <mergeCells count="1"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3" customWidth="1" min="1" max="1"/>
    <col width="30" customWidth="1" min="2" max="2"/>
    <col width="50" customWidth="1" min="3" max="3"/>
    <col width="12" customWidth="1" min="4" max="4"/>
    <col width="15" customWidth="1" min="5" max="5"/>
    <col width="12" customWidth="1" min="6" max="6"/>
    <col width="15" customWidth="1" min="7" max="7"/>
    <col width="12" customWidth="1" min="8" max="8"/>
    <col width="12" customWidth="1" min="9" max="9"/>
    <col width="15" customWidth="1" min="10" max="10"/>
    <col width="30" customWidth="1" min="11" max="11"/>
  </cols>
  <sheetData>
    <row r="1" ht="32" customHeight="1">
      <c r="A1" s="35" t="inlineStr">
        <is>
          <t>Infrastructure Costs</t>
        </is>
      </c>
    </row>
    <row r="2" ht="32" customHeight="1">
      <c r="A2" s="36" t="inlineStr">
        <is>
          <t>Category</t>
        </is>
      </c>
      <c r="B2" s="36" t="inlineStr">
        <is>
          <t>Component</t>
        </is>
      </c>
      <c r="C2" s="36" t="inlineStr">
        <is>
          <t>Description</t>
        </is>
      </c>
      <c r="D2" s="36" t="inlineStr">
        <is>
          <t>Quantity</t>
        </is>
      </c>
      <c r="E2" s="36" t="inlineStr">
        <is>
          <t>Unit</t>
        </is>
      </c>
      <c r="F2" s="36" t="inlineStr">
        <is>
          <t>Unit Price</t>
        </is>
      </c>
      <c r="G2" s="36" t="inlineStr">
        <is>
          <t>Annual Cost</t>
        </is>
      </c>
      <c r="H2" s="36" t="inlineStr">
        <is>
          <t>Year 2</t>
        </is>
      </c>
      <c r="I2" s="36" t="inlineStr">
        <is>
          <t>Year 3</t>
        </is>
      </c>
      <c r="J2" s="36" t="inlineStr">
        <is>
          <t>3-Year Total</t>
        </is>
      </c>
      <c r="K2" s="36" t="inlineStr">
        <is>
          <t>Notes</t>
        </is>
      </c>
    </row>
    <row r="3" ht="26" customHeight="1">
      <c r="A3" s="43" t="inlineStr">
        <is>
          <t>Hardware</t>
        </is>
      </c>
      <c r="B3" s="44" t="inlineStr">
        <is>
          <t>Cisco DNA Center Appliance</t>
        </is>
      </c>
      <c r="C3" s="44" t="inlineStr">
        <is>
          <t>DN2-HW-APL for 200 devices</t>
        </is>
      </c>
      <c r="D3" s="45" t="n">
        <v>1</v>
      </c>
      <c r="E3" s="44" t="inlineStr">
        <is>
          <t>Appliance</t>
        </is>
      </c>
      <c r="F3" s="46" t="n">
        <v>60000</v>
      </c>
      <c r="G3" s="46" t="n">
        <v>60000</v>
      </c>
      <c r="H3" s="46" t="n">
        <v>0</v>
      </c>
      <c r="I3" s="46" t="n">
        <v>0</v>
      </c>
      <c r="J3" s="46" t="n">
        <v>60000</v>
      </c>
      <c r="K3" s="44" t="inlineStr">
        <is>
          <t>One-time hardware purchase</t>
        </is>
      </c>
    </row>
    <row r="4" ht="26" customHeight="1">
      <c r="A4" s="47" t="inlineStr">
        <is>
          <t>Hardware</t>
        </is>
      </c>
      <c r="B4" s="48" t="inlineStr">
        <is>
          <t>DNA Center HA Secondary</t>
        </is>
      </c>
      <c r="C4" s="48" t="inlineStr">
        <is>
          <t>DN2-HW-APL secondary for high availability</t>
        </is>
      </c>
      <c r="D4" s="49" t="n">
        <v>1</v>
      </c>
      <c r="E4" s="48" t="inlineStr">
        <is>
          <t>Appliance</t>
        </is>
      </c>
      <c r="F4" s="50" t="n">
        <v>60000</v>
      </c>
      <c r="G4" s="50" t="n">
        <v>60000</v>
      </c>
      <c r="H4" s="50" t="n">
        <v>0</v>
      </c>
      <c r="I4" s="50" t="n">
        <v>0</v>
      </c>
      <c r="J4" s="50" t="n">
        <v>60000</v>
      </c>
      <c r="K4" s="48" t="inlineStr">
        <is>
          <t>Optional HA redundancy</t>
        </is>
      </c>
    </row>
    <row r="5" ht="26" customHeight="1">
      <c r="A5" s="43" t="inlineStr">
        <is>
          <t>Software</t>
        </is>
      </c>
      <c r="B5" s="44" t="inlineStr">
        <is>
          <t>DNA Advantage License</t>
        </is>
      </c>
      <c r="C5" s="44" t="inlineStr">
        <is>
          <t>Per-device annual subscription (200 devices)</t>
        </is>
      </c>
      <c r="D5" s="45" t="n">
        <v>200</v>
      </c>
      <c r="E5" s="44" t="inlineStr">
        <is>
          <t>Devices/Year</t>
        </is>
      </c>
      <c r="F5" s="46" t="n">
        <v>300</v>
      </c>
      <c r="G5" s="46">
        <f>D5*F5</f>
        <v/>
      </c>
      <c r="H5" s="46">
        <f>G5</f>
        <v/>
      </c>
      <c r="I5" s="46">
        <f>G5</f>
        <v/>
      </c>
      <c r="J5" s="46">
        <f>G5+H5+I5</f>
        <v/>
      </c>
      <c r="K5" s="44" t="inlineStr">
        <is>
          <t>Network automation and assurance</t>
        </is>
      </c>
    </row>
    <row r="6" ht="26" customHeight="1">
      <c r="A6" s="47" t="inlineStr">
        <is>
          <t>Software</t>
        </is>
      </c>
      <c r="B6" s="48" t="inlineStr">
        <is>
          <t>AI Network Analytics</t>
        </is>
      </c>
      <c r="C6" s="48" t="inlineStr">
        <is>
          <t>AI/ML analytics per device (200 devices)</t>
        </is>
      </c>
      <c r="D6" s="49" t="n">
        <v>200</v>
      </c>
      <c r="E6" s="48" t="inlineStr">
        <is>
          <t>Devices/Year</t>
        </is>
      </c>
      <c r="F6" s="50" t="n">
        <v>150</v>
      </c>
      <c r="G6" s="50">
        <f>D6*F6</f>
        <v/>
      </c>
      <c r="H6" s="50">
        <f>G6</f>
        <v/>
      </c>
      <c r="I6" s="50">
        <f>G6</f>
        <v/>
      </c>
      <c r="J6" s="50">
        <f>G6+H6+I6</f>
        <v/>
      </c>
      <c r="K6" s="48" t="inlineStr">
        <is>
          <t>Predictive analytics and insights</t>
        </is>
      </c>
    </row>
    <row r="7" ht="26" customHeight="1">
      <c r="A7" s="43" t="inlineStr">
        <is>
          <t>Software</t>
        </is>
      </c>
      <c r="B7" s="44" t="inlineStr">
        <is>
          <t>SD-Access License</t>
        </is>
      </c>
      <c r="C7" s="44" t="inlineStr">
        <is>
          <t>Fabric-enabled device licenses (100 devices)</t>
        </is>
      </c>
      <c r="D7" s="45" t="n">
        <v>100</v>
      </c>
      <c r="E7" s="44" t="inlineStr">
        <is>
          <t>Devices/Year</t>
        </is>
      </c>
      <c r="F7" s="46" t="n">
        <v>200</v>
      </c>
      <c r="G7" s="46">
        <f>D7*F7</f>
        <v/>
      </c>
      <c r="H7" s="46">
        <f>G7</f>
        <v/>
      </c>
      <c r="I7" s="46">
        <f>G7</f>
        <v/>
      </c>
      <c r="J7" s="46">
        <f>G7+H7+I7</f>
        <v/>
      </c>
      <c r="K7" s="44" t="inlineStr">
        <is>
          <t>Software Defined Access fabric</t>
        </is>
      </c>
    </row>
    <row r="8" ht="26" customHeight="1">
      <c r="A8" s="47" t="inlineStr">
        <is>
          <t>Support</t>
        </is>
      </c>
      <c r="B8" s="48" t="inlineStr">
        <is>
          <t>Cisco SmartNet 24x7x4</t>
        </is>
      </c>
      <c r="C8" s="48" t="inlineStr">
        <is>
          <t>Hardware support for appliances (2 units)</t>
        </is>
      </c>
      <c r="D8" s="49" t="n">
        <v>2</v>
      </c>
      <c r="E8" s="48" t="inlineStr">
        <is>
          <t>Appliances/Year</t>
        </is>
      </c>
      <c r="F8" s="50" t="n">
        <v>9000</v>
      </c>
      <c r="G8" s="50">
        <f>D8*F8</f>
        <v/>
      </c>
      <c r="H8" s="50">
        <f>G8</f>
        <v/>
      </c>
      <c r="I8" s="50">
        <f>G8</f>
        <v/>
      </c>
      <c r="J8" s="50">
        <f>G8+H8+I8</f>
        <v/>
      </c>
      <c r="K8" s="48" t="inlineStr">
        <is>
          <t>24x7 support with 4-hour replacement</t>
        </is>
      </c>
    </row>
    <row r="9" ht="26" customHeight="1">
      <c r="A9" s="43" t="inlineStr">
        <is>
          <t>Professional Services</t>
        </is>
      </c>
      <c r="B9" s="44" t="inlineStr">
        <is>
          <t>Network Discovery &amp; Assessment</t>
        </is>
      </c>
      <c r="C9" s="44" t="inlineStr">
        <is>
          <t>Current state analysis and device inventory</t>
        </is>
      </c>
      <c r="D9" s="45" t="n">
        <v>40</v>
      </c>
      <c r="E9" s="44" t="inlineStr">
        <is>
          <t>Hours</t>
        </is>
      </c>
      <c r="F9" s="46" t="n">
        <v>225</v>
      </c>
      <c r="G9" s="46">
        <f>D9*F9</f>
        <v/>
      </c>
      <c r="H9" s="46">
        <f>G9*0</f>
        <v/>
      </c>
      <c r="I9" s="46">
        <f>G9*0</f>
        <v/>
      </c>
      <c r="J9" s="46">
        <f>G9+H9+I9</f>
        <v/>
      </c>
      <c r="K9" s="44" t="inlineStr">
        <is>
          <t>Network assessment and planning</t>
        </is>
      </c>
    </row>
    <row r="10" ht="26" customHeight="1">
      <c r="A10" s="47" t="inlineStr">
        <is>
          <t>Professional Services</t>
        </is>
      </c>
      <c r="B10" s="48" t="inlineStr">
        <is>
          <t>DNA Center Deployment</t>
        </is>
      </c>
      <c r="C10" s="48" t="inlineStr">
        <is>
          <t>Appliance installation and initial configuration</t>
        </is>
      </c>
      <c r="D10" s="49" t="n">
        <v>60</v>
      </c>
      <c r="E10" s="48" t="inlineStr">
        <is>
          <t>Hours</t>
        </is>
      </c>
      <c r="F10" s="50" t="n">
        <v>225</v>
      </c>
      <c r="G10" s="50">
        <f>D10*F10</f>
        <v/>
      </c>
      <c r="H10" s="50">
        <f>G10*0</f>
        <v/>
      </c>
      <c r="I10" s="50">
        <f>G10*0</f>
        <v/>
      </c>
      <c r="J10" s="50">
        <f>G10+H10+I10</f>
        <v/>
      </c>
      <c r="K10" s="48" t="inlineStr">
        <is>
          <t>Deployment and setup</t>
        </is>
      </c>
    </row>
    <row r="11" ht="26" customHeight="1">
      <c r="A11" s="43" t="inlineStr">
        <is>
          <t>Professional Services</t>
        </is>
      </c>
      <c r="B11" s="44" t="inlineStr">
        <is>
          <t>Device Onboarding</t>
        </is>
      </c>
      <c r="C11" s="44" t="inlineStr">
        <is>
          <t>Onboard 200 devices into DNA Center</t>
        </is>
      </c>
      <c r="D11" s="45" t="n">
        <v>80</v>
      </c>
      <c r="E11" s="44" t="inlineStr">
        <is>
          <t>Hours</t>
        </is>
      </c>
      <c r="F11" s="46" t="n">
        <v>200</v>
      </c>
      <c r="G11" s="46">
        <f>D11*F11</f>
        <v/>
      </c>
      <c r="H11" s="46">
        <f>G11*0</f>
        <v/>
      </c>
      <c r="I11" s="46">
        <f>G11*0</f>
        <v/>
      </c>
      <c r="J11" s="46">
        <f>G11+H11+I11</f>
        <v/>
      </c>
      <c r="K11" s="44" t="inlineStr">
        <is>
          <t>Device discovery and integration</t>
        </is>
      </c>
    </row>
    <row r="12" ht="26" customHeight="1">
      <c r="A12" s="47" t="inlineStr">
        <is>
          <t>Professional Services</t>
        </is>
      </c>
      <c r="B12" s="48" t="inlineStr">
        <is>
          <t>Policy &amp; Automation Setup</t>
        </is>
      </c>
      <c r="C12" s="48" t="inlineStr">
        <is>
          <t>Network policies templates and automation workflows</t>
        </is>
      </c>
      <c r="D12" s="49" t="n">
        <v>60</v>
      </c>
      <c r="E12" s="48" t="inlineStr">
        <is>
          <t>Hours</t>
        </is>
      </c>
      <c r="F12" s="50" t="n">
        <v>200</v>
      </c>
      <c r="G12" s="50">
        <f>D12*F12</f>
        <v/>
      </c>
      <c r="H12" s="50">
        <f>G12*0</f>
        <v/>
      </c>
      <c r="I12" s="50">
        <f>G12*0</f>
        <v/>
      </c>
      <c r="J12" s="50">
        <f>G12+H12+I12</f>
        <v/>
      </c>
      <c r="K12" s="48" t="inlineStr">
        <is>
          <t>Automation configuration</t>
        </is>
      </c>
    </row>
    <row r="13" ht="26" customHeight="1">
      <c r="A13" s="43" t="inlineStr">
        <is>
          <t>Professional Services</t>
        </is>
      </c>
      <c r="B13" s="44" t="inlineStr">
        <is>
          <t>AI Analytics Configuration</t>
        </is>
      </c>
      <c r="C13" s="44" t="inlineStr">
        <is>
          <t>Assurance and insights configuration</t>
        </is>
      </c>
      <c r="D13" s="45" t="n">
        <v>40</v>
      </c>
      <c r="E13" s="44" t="inlineStr">
        <is>
          <t>Hours</t>
        </is>
      </c>
      <c r="F13" s="46" t="n">
        <v>225</v>
      </c>
      <c r="G13" s="46">
        <f>D13*F13</f>
        <v/>
      </c>
      <c r="H13" s="46">
        <f>G13*0</f>
        <v/>
      </c>
      <c r="I13" s="46">
        <f>G13*0</f>
        <v/>
      </c>
      <c r="J13" s="46">
        <f>G13+H13+I13</f>
        <v/>
      </c>
      <c r="K13" s="44" t="inlineStr">
        <is>
          <t>AI/ML analytics setup</t>
        </is>
      </c>
    </row>
    <row r="14" ht="26" customHeight="1">
      <c r="A14" s="47" t="inlineStr">
        <is>
          <t>Professional Services</t>
        </is>
      </c>
      <c r="B14" s="48" t="inlineStr">
        <is>
          <t>SD-Access Fabric Design</t>
        </is>
      </c>
      <c r="C14" s="48" t="inlineStr">
        <is>
          <t>Optional fabric design for 100 devices</t>
        </is>
      </c>
      <c r="D14" s="49" t="n">
        <v>40</v>
      </c>
      <c r="E14" s="48" t="inlineStr">
        <is>
          <t>Hours</t>
        </is>
      </c>
      <c r="F14" s="50" t="n">
        <v>250</v>
      </c>
      <c r="G14" s="50">
        <f>D14*F14</f>
        <v/>
      </c>
      <c r="H14" s="50">
        <f>G14*0</f>
        <v/>
      </c>
      <c r="I14" s="50">
        <f>G14*0</f>
        <v/>
      </c>
      <c r="J14" s="50">
        <f>G14+H14+I14</f>
        <v/>
      </c>
      <c r="K14" s="48" t="inlineStr">
        <is>
          <t>SD-Access architecture (optional)</t>
        </is>
      </c>
    </row>
    <row r="15" ht="26" customHeight="1">
      <c r="A15" s="43" t="inlineStr">
        <is>
          <t>Professional Services</t>
        </is>
      </c>
      <c r="B15" s="44" t="inlineStr">
        <is>
          <t>Training</t>
        </is>
      </c>
      <c r="C15" s="44" t="inlineStr">
        <is>
          <t>Administrator and operations training</t>
        </is>
      </c>
      <c r="D15" s="45" t="n">
        <v>32</v>
      </c>
      <c r="E15" s="44" t="inlineStr">
        <is>
          <t>Hours</t>
        </is>
      </c>
      <c r="F15" s="46" t="n">
        <v>175</v>
      </c>
      <c r="G15" s="46">
        <f>D15*F15</f>
        <v/>
      </c>
      <c r="H15" s="46">
        <f>G15*0</f>
        <v/>
      </c>
      <c r="I15" s="46">
        <f>G15*0</f>
        <v/>
      </c>
      <c r="J15" s="46">
        <f>G15+H15+I15</f>
        <v/>
      </c>
      <c r="K15" s="44" t="inlineStr">
        <is>
          <t>Team enablement and knowledge transfer</t>
        </is>
      </c>
    </row>
    <row r="16" ht="26" customHeight="1">
      <c r="A16" s="51" t="inlineStr">
        <is>
          <t>TOTAL</t>
        </is>
      </c>
      <c r="B16" s="52" t="n"/>
      <c r="C16" s="52" t="n"/>
      <c r="D16" s="52" t="n"/>
      <c r="E16" s="52" t="n"/>
      <c r="F16" s="52" t="n"/>
      <c r="G16" s="53">
        <f>SUM(G3:G15)</f>
        <v/>
      </c>
      <c r="H16" s="53">
        <f>SUM(H3:H15)</f>
        <v/>
      </c>
      <c r="I16" s="53">
        <f>SUM(I3:I15)</f>
        <v/>
      </c>
      <c r="J16" s="53">
        <f>SUM(J3:J15)</f>
        <v/>
      </c>
      <c r="K16" s="52" t="n"/>
    </row>
  </sheetData>
  <autoFilter ref="A2:K16"/>
  <mergeCells count="1">
    <mergeCell ref="A1:K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25" customWidth="1" min="2" max="2"/>
    <col width="15" customWidth="1" min="3" max="3"/>
    <col width="50" customWidth="1" min="4" max="4"/>
  </cols>
  <sheetData>
    <row r="1" ht="32" customHeight="1">
      <c r="A1" s="35" t="inlineStr">
        <is>
          <t>Credits</t>
        </is>
      </c>
    </row>
    <row r="2" ht="32" customHeight="1">
      <c r="A2" s="36" t="inlineStr">
        <is>
          <t>Category</t>
        </is>
      </c>
      <c r="B2" s="36" t="inlineStr">
        <is>
          <t>Credit Type</t>
        </is>
      </c>
      <c r="C2" s="36" t="inlineStr">
        <is>
          <t>Credit Amount</t>
        </is>
      </c>
      <c r="D2" s="36" t="inlineStr">
        <is>
          <t>Credit Comments</t>
        </is>
      </c>
    </row>
    <row r="3" ht="26" customHeight="1">
      <c r="A3" s="43" t="inlineStr">
        <is>
          <t>Hardware</t>
        </is>
      </c>
      <c r="B3" s="44" t="inlineStr">
        <is>
          <t>Hardware Trade-In</t>
        </is>
      </c>
      <c r="C3" s="46" t="n">
        <v>0</v>
      </c>
      <c r="D3" s="44" t="inlineStr">
        <is>
          <t>No hardware trade-in credits available</t>
        </is>
      </c>
    </row>
    <row r="4" ht="26" customHeight="1">
      <c r="A4" s="47" t="inlineStr">
        <is>
          <t>Software</t>
        </is>
      </c>
      <c r="B4" s="48" t="inlineStr">
        <is>
          <t>DNA License Promotion</t>
        </is>
      </c>
      <c r="C4" s="50" t="n">
        <v>-20000</v>
      </c>
      <c r="D4" s="48" t="inlineStr">
        <is>
          <t>Year 1 DNA license 33% discount promotion</t>
        </is>
      </c>
    </row>
    <row r="5" ht="26" customHeight="1">
      <c r="A5" s="43" t="inlineStr">
        <is>
          <t>Support</t>
        </is>
      </c>
      <c r="B5" s="44" t="inlineStr">
        <is>
          <t>SmartNet Renewal</t>
        </is>
      </c>
      <c r="C5" s="46" t="n">
        <v>0</v>
      </c>
      <c r="D5" s="44" t="inlineStr">
        <is>
          <t>No support renewal credits</t>
        </is>
      </c>
    </row>
    <row r="6" ht="26" customHeight="1">
      <c r="A6" s="47" t="inlineStr">
        <is>
          <t>Professional Services</t>
        </is>
      </c>
      <c r="B6" s="48" t="inlineStr">
        <is>
          <t>Implementation Credit</t>
        </is>
      </c>
      <c r="C6" s="50" t="n">
        <v>0</v>
      </c>
      <c r="D6" s="48" t="inlineStr">
        <is>
          <t>No services credits available</t>
        </is>
      </c>
    </row>
  </sheetData>
  <autoFilter ref="A2:D6"/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15" customWidth="1" min="2" max="2"/>
    <col width="15" customWidth="1" min="3" max="3"/>
    <col width="15" customWidth="1" min="4" max="4"/>
    <col width="12" customWidth="1" min="5" max="5"/>
    <col width="12" customWidth="1" min="6" max="6"/>
    <col width="15" customWidth="1" min="7" max="7"/>
  </cols>
  <sheetData>
    <row r="1" ht="32" customHeight="1">
      <c r="A1" s="35" t="inlineStr">
        <is>
          <t>3-Year Summary</t>
        </is>
      </c>
    </row>
    <row r="2" ht="32" customHeight="1">
      <c r="A2" s="36" t="inlineStr">
        <is>
          <t>Category</t>
        </is>
      </c>
      <c r="B2" s="36" t="inlineStr">
        <is>
          <t>Year 1 List</t>
        </is>
      </c>
      <c r="C2" s="36" t="inlineStr">
        <is>
          <t>Year 1 Credits</t>
        </is>
      </c>
      <c r="D2" s="36" t="inlineStr">
        <is>
          <t>Year 1 Net</t>
        </is>
      </c>
      <c r="E2" s="36" t="inlineStr">
        <is>
          <t>Year 2</t>
        </is>
      </c>
      <c r="F2" s="36" t="inlineStr">
        <is>
          <t>Year 3</t>
        </is>
      </c>
      <c r="G2" s="36" t="inlineStr">
        <is>
          <t>3-Year Total</t>
        </is>
      </c>
    </row>
    <row r="3" ht="26" customHeight="1">
      <c r="A3" s="43" t="inlineStr">
        <is>
          <t>Hardware</t>
        </is>
      </c>
      <c r="B3" s="46">
        <f>SUMIF('Infrastructure Costs'!$A:$A,A3,'Infrastructure Costs'!$G:$G)</f>
        <v/>
      </c>
      <c r="C3" s="46">
        <f>SUMIF(Credits!$A:$A,A3,Credits!$C:$C)</f>
        <v/>
      </c>
      <c r="D3" s="46">
        <f>B3+C3</f>
        <v/>
      </c>
      <c r="E3" s="46">
        <f>SUMIF('Infrastructure Costs'!$A:$A,A3,'Infrastructure Costs'!$H:$H)</f>
        <v/>
      </c>
      <c r="F3" s="46">
        <f>SUMIF('Infrastructure Costs'!$A:$A,A3,'Infrastructure Costs'!$I:$I)</f>
        <v/>
      </c>
      <c r="G3" s="46">
        <f>D3+E3+F3</f>
        <v/>
      </c>
    </row>
    <row r="4" ht="26" customHeight="1">
      <c r="A4" s="47" t="inlineStr">
        <is>
          <t>Software</t>
        </is>
      </c>
      <c r="B4" s="50">
        <f>SUMIF('Infrastructure Costs'!$A:$A,A4,'Infrastructure Costs'!$G:$G)</f>
        <v/>
      </c>
      <c r="C4" s="50">
        <f>SUMIF(Credits!$A:$A,A4,Credits!$C:$C)</f>
        <v/>
      </c>
      <c r="D4" s="50">
        <f>B4+C4</f>
        <v/>
      </c>
      <c r="E4" s="50">
        <f>SUMIF('Infrastructure Costs'!$A:$A,A4,'Infrastructure Costs'!$H:$H)</f>
        <v/>
      </c>
      <c r="F4" s="50">
        <f>SUMIF('Infrastructure Costs'!$A:$A,A4,'Infrastructure Costs'!$I:$I)</f>
        <v/>
      </c>
      <c r="G4" s="50">
        <f>D4+E4+F4</f>
        <v/>
      </c>
    </row>
    <row r="5" ht="26" customHeight="1">
      <c r="A5" s="43" t="inlineStr">
        <is>
          <t>Support</t>
        </is>
      </c>
      <c r="B5" s="46">
        <f>SUMIF('Infrastructure Costs'!$A:$A,A5,'Infrastructure Costs'!$G:$G)</f>
        <v/>
      </c>
      <c r="C5" s="46">
        <f>SUMIF(Credits!$A:$A,A5,Credits!$C:$C)</f>
        <v/>
      </c>
      <c r="D5" s="46">
        <f>B5+C5</f>
        <v/>
      </c>
      <c r="E5" s="46">
        <f>SUMIF('Infrastructure Costs'!$A:$A,A5,'Infrastructure Costs'!$H:$H)</f>
        <v/>
      </c>
      <c r="F5" s="46">
        <f>SUMIF('Infrastructure Costs'!$A:$A,A5,'Infrastructure Costs'!$I:$I)</f>
        <v/>
      </c>
      <c r="G5" s="46">
        <f>D5+E5+F5</f>
        <v/>
      </c>
    </row>
    <row r="6" ht="26" customHeight="1">
      <c r="A6" s="47" t="inlineStr">
        <is>
          <t>Professional Services</t>
        </is>
      </c>
      <c r="B6" s="50">
        <f>SUMIF('Infrastructure Costs'!$A:$A,A6,'Infrastructure Costs'!$G:$G)</f>
        <v/>
      </c>
      <c r="C6" s="50">
        <f>SUMIF(Credits!$A:$A,A6,Credits!$C:$C)</f>
        <v/>
      </c>
      <c r="D6" s="50">
        <f>B6+C6</f>
        <v/>
      </c>
      <c r="E6" s="50">
        <f>SUMIF('Infrastructure Costs'!$A:$A,A6,'Infrastructure Costs'!$H:$H)</f>
        <v/>
      </c>
      <c r="F6" s="50">
        <f>SUMIF('Infrastructure Costs'!$A:$A,A6,'Infrastructure Costs'!$I:$I)</f>
        <v/>
      </c>
      <c r="G6" s="50">
        <f>D6+E6+F6</f>
        <v/>
      </c>
    </row>
    <row r="7" ht="26" customHeight="1">
      <c r="A7" s="51" t="inlineStr">
        <is>
          <t>TOTAL</t>
        </is>
      </c>
      <c r="B7" s="53">
        <f>SUM(B3:B6)</f>
        <v/>
      </c>
      <c r="C7" s="53">
        <f>SUM(C3:C6)</f>
        <v/>
      </c>
      <c r="D7" s="53">
        <f>SUM(D3:D6)</f>
        <v/>
      </c>
      <c r="E7" s="53">
        <f>SUM(E3:E6)</f>
        <v/>
      </c>
      <c r="F7" s="53">
        <f>SUM(F3:F6)</f>
        <v/>
      </c>
      <c r="G7" s="53">
        <f>SUM(G3:G6)</f>
        <v/>
      </c>
    </row>
  </sheetData>
  <autoFilter ref="A2:G7"/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2025-11-16T20:54:40Z</dcterms:created>
  <dcterms:modified xmlns:dcterms="http://purl.org/dc/terms/" xmlns:xsi="http://www.w3.org/2001/XMLSchema-instance" xsi:type="dcterms:W3CDTF">2025-11-22T16:59:23Z</dcterms:modified>
  <cp:lastModifiedBy>Kishan Siram</cp:lastModifiedBy>
</cp:coreProperties>
</file>