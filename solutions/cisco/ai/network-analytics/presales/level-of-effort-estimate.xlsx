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Assumptions'!$A$2:$G$17</definedName>
    <definedName name="_xlnm._FilterDatabase" localSheetId="2" hidden="1">'Estimate Settings'!$A$2:$D$10</definedName>
    <definedName name="_xlnm._FilterDatabase" localSheetId="3" hidden="1">'LOE'!$A$2:$J$32</definedName>
    <definedName name="_xlnm._FilterDatabase" localSheetId="4" hidden="1">'Credits'!$A$2:$D$6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1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5" fillId="5" borderId="0" applyAlignment="1" pivotButton="0" quotePrefix="0" xfId="0">
      <alignment horizontal="center" vertical="center"/>
    </xf>
    <xf numFmtId="0" fontId="16" fillId="3" borderId="5" applyAlignment="1" pivotButton="0" quotePrefix="0" xfId="0">
      <alignment horizontal="center" vertical="center" wrapText="1"/>
    </xf>
    <xf numFmtId="0" fontId="15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5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left" vertical="center"/>
    </xf>
    <xf numFmtId="0" fontId="19" fillId="4" borderId="5" applyAlignment="1" pivotButton="0" quotePrefix="0" xfId="0">
      <alignment horizontal="left" vertical="center" wrapText="1" indent="1"/>
    </xf>
    <xf numFmtId="0" fontId="18" fillId="4" borderId="5" applyAlignment="1" pivotButton="0" quotePrefix="0" xfId="0">
      <alignment horizontal="left" vertical="center" wrapText="1" indent="1"/>
    </xf>
    <xf numFmtId="166" fontId="18" fillId="4" borderId="5" applyAlignment="1" pivotButton="0" quotePrefix="0" xfId="0">
      <alignment horizontal="right" vertical="center" wrapText="1"/>
    </xf>
    <xf numFmtId="0" fontId="19" fillId="11" borderId="5" applyAlignment="1" pivotButton="0" quotePrefix="0" xfId="0">
      <alignment horizontal="left" vertical="center" wrapText="1" indent="1"/>
    </xf>
    <xf numFmtId="0" fontId="18" fillId="11" borderId="5" applyAlignment="1" pivotButton="0" quotePrefix="0" xfId="0">
      <alignment horizontal="left" vertical="center" wrapText="1" indent="1"/>
    </xf>
    <xf numFmtId="166" fontId="18" fillId="11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right" vertical="center" wrapText="1"/>
    </xf>
    <xf numFmtId="0" fontId="18" fillId="4" borderId="5" applyAlignment="1" pivotButton="0" quotePrefix="0" xfId="0">
      <alignment horizontal="right" vertical="center" wrapText="1"/>
    </xf>
    <xf numFmtId="0" fontId="20" fillId="5" borderId="5" applyAlignment="1" pivotButton="0" quotePrefix="0" xfId="0">
      <alignment horizontal="left" vertical="center" wrapText="1"/>
    </xf>
    <xf numFmtId="0" fontId="20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Level of Effort</t>
        </is>
      </c>
    </row>
    <row r="5" ht="30" customHeight="1">
      <c r="A5" t="inlineStr">
        <is>
          <t>CISCO - Ai - Network Analytics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[Solution Name]</t>
        </is>
      </c>
    </row>
    <row r="8" ht="18" customHeight="1">
      <c r="B8" s="2" t="inlineStr">
        <is>
          <t>Customer:</t>
        </is>
      </c>
      <c r="C8" s="3" t="inlineStr">
        <is>
          <t>[Customer Name]</t>
        </is>
      </c>
    </row>
    <row r="9" ht="18" customHeight="1">
      <c r="B9" s="2" t="inlineStr">
        <is>
          <t>Version:</t>
        </is>
      </c>
      <c r="C9" s="3" t="inlineStr">
        <is>
          <t>1.0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3" customWidth="1" min="3" max="3"/>
    <col width="32" customWidth="1" min="4" max="4"/>
    <col width="32" customWidth="1" min="5" max="5"/>
    <col width="39" customWidth="1" min="6" max="6"/>
    <col width="44" customWidth="1" min="7" max="7"/>
  </cols>
  <sheetData>
    <row r="1" ht="32" customHeight="1">
      <c r="A1" s="35" t="inlineStr">
        <is>
          <t>SCOPE ASSUMPTIONS - BASELINE (MULTIPLIER 1.0)</t>
        </is>
      </c>
    </row>
    <row r="2" ht="32" customHeight="1">
      <c r="A2" s="36" t="inlineStr">
        <is>
          <t>Category</t>
        </is>
      </c>
      <c r="B2" s="36" t="inlineStr">
        <is>
          <t>Baseline Assumption</t>
        </is>
      </c>
      <c r="C2" s="36" t="inlineStr">
        <is>
          <t>Current Scope</t>
        </is>
      </c>
      <c r="D2" s="36" t="inlineStr">
        <is>
          <t>Small (1x)</t>
        </is>
      </c>
      <c r="E2" s="36" t="inlineStr">
        <is>
          <t>Medium (2x)</t>
        </is>
      </c>
      <c r="F2" s="36" t="inlineStr">
        <is>
          <t>Large (3x)</t>
        </is>
      </c>
      <c r="G2" s="36" t="inlineStr">
        <is>
          <t>Notes</t>
        </is>
      </c>
    </row>
    <row r="3" ht="26" customHeight="1">
      <c r="A3" s="37" t="inlineStr">
        <is>
          <t>Solution Scope</t>
        </is>
      </c>
      <c r="B3" s="38" t="inlineStr">
        <is>
          <t>Primary Features/Capabilities</t>
        </is>
      </c>
      <c r="C3" s="39" t="inlineStr">
        <is>
          <t>DNA Center for 200 devices</t>
        </is>
      </c>
      <c r="D3" s="38" t="inlineStr">
        <is>
          <t>DNA Center for 200 devices</t>
        </is>
      </c>
      <c r="E3" s="38" t="inlineStr">
        <is>
          <t>DNA Center for 500 devices</t>
        </is>
      </c>
      <c r="F3" s="38" t="inlineStr">
        <is>
          <t>DNA Center for 1000+ devices</t>
        </is>
      </c>
      <c r="G3" s="38" t="inlineStr">
        <is>
          <t>Network automation and assurance</t>
        </is>
      </c>
    </row>
    <row r="4" ht="26" customHeight="1">
      <c r="A4" s="40" t="inlineStr">
        <is>
          <t>Solution Scope</t>
        </is>
      </c>
      <c r="B4" s="41" t="inlineStr">
        <is>
          <t>Customization Level</t>
        </is>
      </c>
      <c r="C4" s="39" t="inlineStr">
        <is>
          <t>Standard DNA Center deployment</t>
        </is>
      </c>
      <c r="D4" s="41" t="inlineStr">
        <is>
          <t>Standard DNA Center deployment</t>
        </is>
      </c>
      <c r="E4" s="41" t="inlineStr">
        <is>
          <t>Custom policy templates and workflows</t>
        </is>
      </c>
      <c r="F4" s="41" t="inlineStr">
        <is>
          <t>Extensive custom integrations and automation</t>
        </is>
      </c>
      <c r="G4" s="41" t="inlineStr">
        <is>
          <t>Configuration vs custom development</t>
        </is>
      </c>
    </row>
    <row r="5" ht="26" customHeight="1">
      <c r="A5" s="37" t="inlineStr">
        <is>
          <t>Integration</t>
        </is>
      </c>
      <c r="B5" s="38" t="inlineStr">
        <is>
          <t>External System Integrations</t>
        </is>
      </c>
      <c r="C5" s="39" t="inlineStr">
        <is>
          <t>2 systems (AD + ITSM)</t>
        </is>
      </c>
      <c r="D5" s="38" t="inlineStr">
        <is>
          <t>2 systems (AD + ITSM)</t>
        </is>
      </c>
      <c r="E5" s="38" t="inlineStr">
        <is>
          <t>4 systems (AD ITSM IPAM monitoring)</t>
        </is>
      </c>
      <c r="F5" s="38" t="inlineStr">
        <is>
          <t>6+ systems including SIEM and orchestration</t>
        </is>
      </c>
      <c r="G5" s="38" t="inlineStr">
        <is>
          <t>ServiceNow NetBox integration</t>
        </is>
      </c>
    </row>
    <row r="6" ht="26" customHeight="1">
      <c r="A6" s="40" t="inlineStr">
        <is>
          <t>Integration</t>
        </is>
      </c>
      <c r="B6" s="41" t="inlineStr">
        <is>
          <t>Data Sources</t>
        </is>
      </c>
      <c r="C6" s="39" t="inlineStr">
        <is>
          <t>Network devices only</t>
        </is>
      </c>
      <c r="D6" s="41" t="inlineStr">
        <is>
          <t>Network devices only</t>
        </is>
      </c>
      <c r="E6" s="41" t="inlineStr">
        <is>
          <t>Network + IPAM + monitoring data</t>
        </is>
      </c>
      <c r="F6" s="41" t="inlineStr">
        <is>
          <t>Network + IPAM + monitoring + external CMDBs</t>
        </is>
      </c>
      <c r="G6" s="41" t="inlineStr">
        <is>
          <t>Device discovery and telemetry</t>
        </is>
      </c>
    </row>
    <row r="7" ht="26" customHeight="1">
      <c r="A7" s="37" t="inlineStr">
        <is>
          <t>User Base</t>
        </is>
      </c>
      <c r="B7" s="38" t="inlineStr">
        <is>
          <t>Total Users</t>
        </is>
      </c>
      <c r="C7" s="39" t="inlineStr">
        <is>
          <t>10 network administrators</t>
        </is>
      </c>
      <c r="D7" s="38" t="inlineStr">
        <is>
          <t>10 network administrators</t>
        </is>
      </c>
      <c r="E7" s="38" t="inlineStr">
        <is>
          <t>25 network team members</t>
        </is>
      </c>
      <c r="F7" s="38" t="inlineStr">
        <is>
          <t>50+ distributed team members</t>
        </is>
      </c>
      <c r="G7" s="38" t="inlineStr">
        <is>
          <t>DNA Center users and operators</t>
        </is>
      </c>
    </row>
    <row r="8" ht="26" customHeight="1">
      <c r="A8" s="40" t="inlineStr">
        <is>
          <t>User Base</t>
        </is>
      </c>
      <c r="B8" s="41" t="inlineStr">
        <is>
          <t>User Roles</t>
        </is>
      </c>
      <c r="C8" s="39" t="inlineStr">
        <is>
          <t>2 roles (admin + viewer)</t>
        </is>
      </c>
      <c r="D8" s="41" t="inlineStr">
        <is>
          <t>2 roles (admin + viewer)</t>
        </is>
      </c>
      <c r="E8" s="41" t="inlineStr">
        <is>
          <t>4 roles with delegation</t>
        </is>
      </c>
      <c r="F8" s="41" t="inlineStr">
        <is>
          <t>6+ roles with complex RBAC</t>
        </is>
      </c>
      <c r="G8" s="41" t="inlineStr">
        <is>
          <t>Role-based access control</t>
        </is>
      </c>
    </row>
    <row r="9" ht="26" customHeight="1">
      <c r="A9" s="37" t="inlineStr">
        <is>
          <t>Data Volume</t>
        </is>
      </c>
      <c r="B9" s="38" t="inlineStr">
        <is>
          <t>Data Processing Volume</t>
        </is>
      </c>
      <c r="C9" s="39" t="inlineStr">
        <is>
          <t>200 devices telemetry</t>
        </is>
      </c>
      <c r="D9" s="38" t="inlineStr">
        <is>
          <t>200 devices telemetry</t>
        </is>
      </c>
      <c r="E9" s="38" t="inlineStr">
        <is>
          <t>500 devices high-frequency telemetry</t>
        </is>
      </c>
      <c r="F9" s="38" t="inlineStr">
        <is>
          <t>1000+ devices with NetFlow</t>
        </is>
      </c>
      <c r="G9" s="38" t="inlineStr">
        <is>
          <t>Network assurance and analytics data</t>
        </is>
      </c>
    </row>
    <row r="10" ht="26" customHeight="1">
      <c r="A10" s="40" t="inlineStr">
        <is>
          <t>Data Volume</t>
        </is>
      </c>
      <c r="B10" s="41" t="inlineStr">
        <is>
          <t>Data Storage Requirements</t>
        </is>
      </c>
      <c r="C10" s="39" t="inlineStr">
        <is>
          <t>500 GB (90-day retention)</t>
        </is>
      </c>
      <c r="D10" s="41" t="inlineStr">
        <is>
          <t>500 GB (90-day retention)</t>
        </is>
      </c>
      <c r="E10" s="41" t="inlineStr">
        <is>
          <t>2 TB (1-year retention)</t>
        </is>
      </c>
      <c r="F10" s="41" t="inlineStr">
        <is>
          <t>5+ TB (multi-year retention)</t>
        </is>
      </c>
      <c r="G10" s="41" t="inlineStr">
        <is>
          <t>Telemetry logs and analytics data</t>
        </is>
      </c>
    </row>
    <row r="11" ht="26" customHeight="1">
      <c r="A11" s="37" t="inlineStr">
        <is>
          <t>Technical Environment</t>
        </is>
      </c>
      <c r="B11" s="38" t="inlineStr">
        <is>
          <t>Deployment Regions</t>
        </is>
      </c>
      <c r="C11" s="39" t="inlineStr">
        <is>
          <t>Single data center</t>
        </is>
      </c>
      <c r="D11" s="38" t="inlineStr">
        <is>
          <t>Single data center</t>
        </is>
      </c>
      <c r="E11" s="38" t="inlineStr">
        <is>
          <t>2 data centers with HA</t>
        </is>
      </c>
      <c r="F11" s="38" t="inlineStr">
        <is>
          <t>Multi-site with geographic redundancy</t>
        </is>
      </c>
      <c r="G11" s="38" t="inlineStr">
        <is>
          <t>DNA Center deployment architecture</t>
        </is>
      </c>
    </row>
    <row r="12" ht="26" customHeight="1">
      <c r="A12" s="40" t="inlineStr">
        <is>
          <t>Technical Environment</t>
        </is>
      </c>
      <c r="B12" s="41" t="inlineStr">
        <is>
          <t>Availability Requirements</t>
        </is>
      </c>
      <c r="C12" s="39" t="inlineStr">
        <is>
          <t>Standard (99.5%)</t>
        </is>
      </c>
      <c r="D12" s="41" t="inlineStr">
        <is>
          <t>Standard (99.5%)</t>
        </is>
      </c>
      <c r="E12" s="41" t="inlineStr">
        <is>
          <t>High availability (99.9%)</t>
        </is>
      </c>
      <c r="F12" s="41" t="inlineStr">
        <is>
          <t>Mission critical (99.95%+)</t>
        </is>
      </c>
      <c r="G12" s="41" t="inlineStr">
        <is>
          <t>DNA Center uptime SLA</t>
        </is>
      </c>
    </row>
    <row r="13" ht="26" customHeight="1">
      <c r="A13" s="37" t="inlineStr">
        <is>
          <t>Technical Environment</t>
        </is>
      </c>
      <c r="B13" s="38" t="inlineStr">
        <is>
          <t>Infrastructure Complexity</t>
        </is>
      </c>
      <c r="C13" s="39" t="inlineStr">
        <is>
          <t>Basic campus network</t>
        </is>
      </c>
      <c r="D13" s="38" t="inlineStr">
        <is>
          <t>Basic campus network</t>
        </is>
      </c>
      <c r="E13" s="38" t="inlineStr">
        <is>
          <t>Campus + branch + data center</t>
        </is>
      </c>
      <c r="F13" s="38" t="inlineStr">
        <is>
          <t>Complex multi-domain fabric architecture</t>
        </is>
      </c>
      <c r="G13" s="38" t="inlineStr">
        <is>
          <t>Network topology complexity</t>
        </is>
      </c>
    </row>
    <row r="14" ht="26" customHeight="1">
      <c r="A14" s="40" t="inlineStr">
        <is>
          <t>Security &amp; Compliance</t>
        </is>
      </c>
      <c r="B14" s="41" t="inlineStr">
        <is>
          <t>Security Requirements</t>
        </is>
      </c>
      <c r="C14" s="39" t="inlineStr">
        <is>
          <t>Basic 802.1X and encryption</t>
        </is>
      </c>
      <c r="D14" s="41" t="inlineStr">
        <is>
          <t>Basic 802.1X and encryption</t>
        </is>
      </c>
      <c r="E14" s="41" t="inlineStr">
        <is>
          <t>TrustSec segmentation + ISE</t>
        </is>
      </c>
      <c r="F14" s="41" t="inlineStr">
        <is>
          <t>Advanced TrustSec + compliance automation</t>
        </is>
      </c>
      <c r="G14" s="41" t="inlineStr">
        <is>
          <t>Network security and access control</t>
        </is>
      </c>
    </row>
    <row r="15" ht="26" customHeight="1">
      <c r="A15" s="37" t="inlineStr">
        <is>
          <t>Security &amp; Compliance</t>
        </is>
      </c>
      <c r="B15" s="38" t="inlineStr">
        <is>
          <t>Compliance Frameworks</t>
        </is>
      </c>
      <c r="C15" s="39" t="inlineStr">
        <is>
          <t>Basic logging</t>
        </is>
      </c>
      <c r="D15" s="38" t="inlineStr">
        <is>
          <t>Basic logging</t>
        </is>
      </c>
      <c r="E15" s="38" t="inlineStr">
        <is>
          <t>PCI DSS or HIPAA</t>
        </is>
      </c>
      <c r="F15" s="38" t="inlineStr">
        <is>
          <t>Multiple regulatory frameworks</t>
        </is>
      </c>
      <c r="G15" s="38" t="inlineStr">
        <is>
          <t>Compliance automation requirements</t>
        </is>
      </c>
    </row>
    <row r="16" ht="26" customHeight="1">
      <c r="A16" s="40" t="inlineStr">
        <is>
          <t>Performance</t>
        </is>
      </c>
      <c r="B16" s="41" t="inlineStr">
        <is>
          <t>Performance Requirements</t>
        </is>
      </c>
      <c r="C16" s="39" t="inlineStr">
        <is>
          <t>Standard telemetry</t>
        </is>
      </c>
      <c r="D16" s="41" t="inlineStr">
        <is>
          <t>Standard telemetry</t>
        </is>
      </c>
      <c r="E16" s="41" t="inlineStr">
        <is>
          <t>Enhanced analytics and reporting</t>
        </is>
      </c>
      <c r="F16" s="41" t="inlineStr">
        <is>
          <t>Real-time analytics with AI insights</t>
        </is>
      </c>
      <c r="G16" s="41" t="inlineStr">
        <is>
          <t>Network assurance performance</t>
        </is>
      </c>
    </row>
    <row r="17" ht="26" customHeight="1">
      <c r="A17" s="37" t="inlineStr">
        <is>
          <t>Environment</t>
        </is>
      </c>
      <c r="B17" s="38" t="inlineStr">
        <is>
          <t>Deployment Environments</t>
        </is>
      </c>
      <c r="C17" s="39" t="inlineStr">
        <is>
          <t>Production only</t>
        </is>
      </c>
      <c r="D17" s="38" t="inlineStr">
        <is>
          <t>Production only</t>
        </is>
      </c>
      <c r="E17" s="38" t="inlineStr">
        <is>
          <t>Lab + production</t>
        </is>
      </c>
      <c r="F17" s="38" t="inlineStr">
        <is>
          <t>Lab + staging + production + DR</t>
        </is>
      </c>
      <c r="G17" s="38" t="inlineStr">
        <is>
          <t>Testing and validation environments</t>
        </is>
      </c>
    </row>
  </sheetData>
  <autoFilter ref="A2:G17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73" customWidth="1" min="4" max="4"/>
  </cols>
  <sheetData>
    <row r="1" ht="32" customHeight="1">
      <c r="A1" s="35" t="inlineStr">
        <is>
          <t>ESTIMATE SETTINGS</t>
        </is>
      </c>
    </row>
    <row r="2" ht="32" customHeight="1">
      <c r="A2" s="36" t="inlineStr">
        <is>
          <t>Phase</t>
        </is>
      </c>
      <c r="B2" s="36" t="inlineStr">
        <is>
          <t>Variable Name</t>
        </is>
      </c>
      <c r="C2" s="36" t="inlineStr">
        <is>
          <t>Multiplier</t>
        </is>
      </c>
      <c r="D2" s="36" t="inlineStr">
        <is>
          <t>Description / Applies To Tasks</t>
        </is>
      </c>
    </row>
    <row r="3" ht="26" customHeight="1">
      <c r="A3" s="37" t="inlineStr">
        <is>
          <t>Discovery</t>
        </is>
      </c>
      <c r="B3" s="38" t="inlineStr">
        <is>
          <t>DISCOVERY_MX</t>
        </is>
      </c>
      <c r="C3" s="42" t="n">
        <v>1</v>
      </c>
      <c r="D3" s="38" t="inlineStr">
        <is>
          <t>All Discovery phase tasks (Network Assessment, Device Inventory, Requirements Gathering, Integration Analysis)</t>
        </is>
      </c>
    </row>
    <row r="4" ht="26" customHeight="1">
      <c r="A4" s="40" t="inlineStr">
        <is>
          <t>Planning</t>
        </is>
      </c>
      <c r="B4" s="41" t="inlineStr">
        <is>
          <t>PLANNING_MX</t>
        </is>
      </c>
      <c r="C4" s="43" t="n">
        <v>1</v>
      </c>
      <c r="D4" s="41" t="inlineStr">
        <is>
          <t>All Planning phase tasks (Architecture Design, Policy Framework, Migration Planning, Training Plan)</t>
        </is>
      </c>
    </row>
    <row r="5" ht="26" customHeight="1">
      <c r="A5" s="37" t="inlineStr">
        <is>
          <t>Development</t>
        </is>
      </c>
      <c r="B5" s="38" t="inlineStr">
        <is>
          <t>DEVELOPMENT_MX</t>
        </is>
      </c>
      <c r="C5" s="42" t="n">
        <v>1</v>
      </c>
      <c r="D5" s="38" t="inlineStr">
        <is>
          <t>All Development phase tasks (DNA Center Deployment, Device Onboarding, Policy Configuration, Integration Setup)</t>
        </is>
      </c>
    </row>
    <row r="6" ht="26" customHeight="1">
      <c r="A6" s="40" t="inlineStr">
        <is>
          <t>Testing</t>
        </is>
      </c>
      <c r="B6" s="41" t="inlineStr">
        <is>
          <t>TESTING_MX</t>
        </is>
      </c>
      <c r="C6" s="43" t="n">
        <v>1</v>
      </c>
      <c r="D6" s="41" t="inlineStr">
        <is>
          <t>All Testing phase tasks (Lab Testing, Pilot Validation, Policy Testing, Failover Testing)</t>
        </is>
      </c>
    </row>
    <row r="7" ht="26" customHeight="1">
      <c r="A7" s="37" t="inlineStr">
        <is>
          <t>Deployment</t>
        </is>
      </c>
      <c r="B7" s="38" t="inlineStr">
        <is>
          <t>DEPLOYMENT_MX</t>
        </is>
      </c>
      <c r="C7" s="42" t="n">
        <v>1</v>
      </c>
      <c r="D7" s="38" t="inlineStr">
        <is>
          <t>All Deployment phase tasks (Production Deployment, Device Migration, Policy Rollout, Go-Live Support)</t>
        </is>
      </c>
    </row>
    <row r="8" ht="26" customHeight="1">
      <c r="A8" s="40" t="inlineStr">
        <is>
          <t>Training</t>
        </is>
      </c>
      <c r="B8" s="41" t="inlineStr">
        <is>
          <t>TRAINING_MX</t>
        </is>
      </c>
      <c r="C8" s="43" t="n">
        <v>1</v>
      </c>
      <c r="D8" s="41" t="inlineStr">
        <is>
          <t>All Training phase tasks (Administrator Training, Operations Training, Documentation)</t>
        </is>
      </c>
    </row>
    <row r="9" ht="26" customHeight="1">
      <c r="A9" s="37" t="inlineStr">
        <is>
          <t>Closeout</t>
        </is>
      </c>
      <c r="B9" s="38" t="inlineStr">
        <is>
          <t>CLOSEOUT_MX</t>
        </is>
      </c>
      <c r="C9" s="42" t="n">
        <v>1</v>
      </c>
      <c r="D9" s="38" t="inlineStr">
        <is>
          <t>All Closeout phase tasks (Knowledge Transfer, Performance Baseline, Operational Handoff)</t>
        </is>
      </c>
    </row>
    <row r="10" ht="26" customHeight="1">
      <c r="A10" s="40" t="inlineStr">
        <is>
          <t>Management</t>
        </is>
      </c>
      <c r="B10" s="41" t="inlineStr">
        <is>
          <t>MANAGEMENT_MX</t>
        </is>
      </c>
      <c r="C10" s="43" t="n">
        <v>0.25</v>
      </c>
      <c r="D10" s="41" t="inlineStr">
        <is>
          <t>Project management and technical leadership (25% of total engineering effort)</t>
        </is>
      </c>
    </row>
    <row r="12" ht="20" customHeight="1">
      <c r="A12" s="44" t="inlineStr">
        <is>
          <t>EO Sales Engineer Updates Multipliers Based on Customer Scope</t>
        </is>
      </c>
    </row>
  </sheetData>
  <autoFilter ref="A2:D10"/>
  <mergeCells count="2">
    <mergeCell ref="A1:D1"/>
    <mergeCell ref="A12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0" customWidth="1" min="3" max="3"/>
    <col width="18" customWidth="1" min="4" max="4"/>
    <col width="10" customWidth="1" min="5" max="5"/>
    <col width="12" customWidth="1" min="6" max="6"/>
    <col width="18" customWidth="1" min="7" max="7"/>
    <col width="14" customWidth="1" min="8" max="8"/>
    <col width="12" customWidth="1" min="9" max="9"/>
    <col width="40" customWidth="1" min="10" max="10"/>
  </cols>
  <sheetData>
    <row r="1" ht="32" customHeight="1">
      <c r="A1" s="35" t="inlineStr">
        <is>
          <t>LEVEL OF EFFORT</t>
        </is>
      </c>
    </row>
    <row r="2" ht="32" customHeight="1">
      <c r="A2" s="36" t="inlineStr">
        <is>
          <t>Phase</t>
        </is>
      </c>
      <c r="B2" s="36" t="inlineStr">
        <is>
          <t>Work Package</t>
        </is>
      </c>
      <c r="C2" s="36" t="inlineStr">
        <is>
          <t>Task Description</t>
        </is>
      </c>
      <c r="D2" s="36" t="inlineStr">
        <is>
          <t>Resource Type</t>
        </is>
      </c>
      <c r="E2" s="36" t="inlineStr">
        <is>
          <t>Estimated Hours</t>
        </is>
      </c>
      <c r="F2" s="36" t="inlineStr">
        <is>
          <t>Rate</t>
        </is>
      </c>
      <c r="G2" s="36" t="inlineStr">
        <is>
          <t>Cost Estimate</t>
        </is>
      </c>
      <c r="H2" s="36" t="inlineStr">
        <is>
          <t>Dependencies</t>
        </is>
      </c>
      <c r="I2" s="36" t="inlineStr">
        <is>
          <t>Risk Level</t>
        </is>
      </c>
      <c r="J2" s="36" t="inlineStr">
        <is>
          <t>Notes</t>
        </is>
      </c>
    </row>
    <row r="3" ht="26" customHeight="1">
      <c r="A3" s="45" t="inlineStr">
        <is>
          <t>Discovery</t>
        </is>
      </c>
      <c r="B3" s="46" t="inlineStr">
        <is>
          <t>Network Assessment</t>
        </is>
      </c>
      <c r="C3" s="46" t="inlineStr">
        <is>
          <t>Assess current network infrastructure and Cisco device inventory</t>
        </is>
      </c>
      <c r="D3" s="46">
        <f>ROUND($C$23*40,0)</f>
        <v/>
      </c>
      <c r="E3" s="47" t="n">
        <v>40</v>
      </c>
      <c r="F3" s="47" t="n">
        <v>200</v>
      </c>
      <c r="G3" s="46">
        <f>TEXT(E3*F3,"$#,##0")</f>
        <v/>
      </c>
      <c r="H3" s="46" t="inlineStr"/>
      <c r="I3" s="46" t="inlineStr">
        <is>
          <t>Medium</t>
        </is>
      </c>
      <c r="J3" s="46" t="inlineStr">
        <is>
          <t>200 devices analysis and capacity planning</t>
        </is>
      </c>
    </row>
    <row r="4" ht="26" customHeight="1">
      <c r="A4" s="48" t="inlineStr">
        <is>
          <t>Discovery</t>
        </is>
      </c>
      <c r="B4" s="49" t="inlineStr">
        <is>
          <t>DNA Center Requirements</t>
        </is>
      </c>
      <c r="C4" s="49" t="inlineStr">
        <is>
          <t>Gather DNA Center requirements and use case definition</t>
        </is>
      </c>
      <c r="D4" s="49">
        <f>ROUND($C$23*32,0)</f>
        <v/>
      </c>
      <c r="E4" s="50" t="n">
        <v>32</v>
      </c>
      <c r="F4" s="50" t="n">
        <v>200</v>
      </c>
      <c r="G4" s="49">
        <f>TEXT(E4*F4,"$#,##0")</f>
        <v/>
      </c>
      <c r="H4" s="49" t="inlineStr"/>
      <c r="I4" s="49" t="inlineStr">
        <is>
          <t>Medium</t>
        </is>
      </c>
      <c r="J4" s="49" t="inlineStr">
        <is>
          <t>Policy framework and automation goals</t>
        </is>
      </c>
    </row>
    <row r="5" ht="26" customHeight="1">
      <c r="A5" s="45" t="inlineStr">
        <is>
          <t>Discovery</t>
        </is>
      </c>
      <c r="B5" s="46" t="inlineStr">
        <is>
          <t>Integration Analysis</t>
        </is>
      </c>
      <c r="C5" s="46" t="inlineStr">
        <is>
          <t>Analyze integration requirements for AD ITSM and IPAM</t>
        </is>
      </c>
      <c r="D5" s="46">
        <f>ROUND($C$23*24,0)</f>
        <v/>
      </c>
      <c r="E5" s="47" t="n">
        <v>24</v>
      </c>
      <c r="F5" s="47" t="n">
        <v>225</v>
      </c>
      <c r="G5" s="46">
        <f>TEXT(E5*F5,"$#,##0")</f>
        <v/>
      </c>
      <c r="H5" s="46" t="inlineStr"/>
      <c r="I5" s="46" t="inlineStr">
        <is>
          <t>Medium</t>
        </is>
      </c>
      <c r="J5" s="46" t="inlineStr">
        <is>
          <t>ServiceNow and NetBox integration planning</t>
        </is>
      </c>
    </row>
    <row r="6" ht="26" customHeight="1">
      <c r="A6" s="48" t="inlineStr">
        <is>
          <t>Discovery</t>
        </is>
      </c>
      <c r="B6" s="49" t="inlineStr">
        <is>
          <t>Application Inventory</t>
        </is>
      </c>
      <c r="C6" s="49" t="inlineStr">
        <is>
          <t>Identify critical applications for monitoring and SLA policies</t>
        </is>
      </c>
      <c r="D6" s="49">
        <f>ROUND($C$23*16,0)</f>
        <v/>
      </c>
      <c r="E6" s="50" t="n">
        <v>16</v>
      </c>
      <c r="F6" s="50" t="n">
        <v>175</v>
      </c>
      <c r="G6" s="49">
        <f>TEXT(E6*F6,"$#,##0")</f>
        <v/>
      </c>
      <c r="H6" s="49" t="inlineStr"/>
      <c r="I6" s="49" t="inlineStr">
        <is>
          <t>Low</t>
        </is>
      </c>
      <c r="J6" s="49" t="inlineStr">
        <is>
          <t>Office 365 SAP VoIP applications</t>
        </is>
      </c>
    </row>
    <row r="7" ht="26" customHeight="1">
      <c r="A7" s="45" t="inlineStr">
        <is>
          <t>Planning</t>
        </is>
      </c>
      <c r="B7" s="46" t="inlineStr">
        <is>
          <t>Solution Architecture</t>
        </is>
      </c>
      <c r="C7" s="46" t="inlineStr">
        <is>
          <t>Design DNA Center architecture and HA deployment</t>
        </is>
      </c>
      <c r="D7" s="46">
        <f>ROUND($C$24*48,0)</f>
        <v/>
      </c>
      <c r="E7" s="47" t="n">
        <v>48</v>
      </c>
      <c r="F7" s="47" t="n">
        <v>225</v>
      </c>
      <c r="G7" s="46">
        <f>TEXT(E7*F7,"$#,##0")</f>
        <v/>
      </c>
      <c r="H7" s="46" t="inlineStr">
        <is>
          <t>Network Assessment</t>
        </is>
      </c>
      <c r="I7" s="46" t="inlineStr">
        <is>
          <t>Medium</t>
        </is>
      </c>
      <c r="J7" s="46" t="inlineStr">
        <is>
          <t>Primary and secondary DNA Center nodes</t>
        </is>
      </c>
    </row>
    <row r="8" ht="26" customHeight="1">
      <c r="A8" s="48" t="inlineStr">
        <is>
          <t>Planning</t>
        </is>
      </c>
      <c r="B8" s="49" t="inlineStr">
        <is>
          <t>Network Policy Framework</t>
        </is>
      </c>
      <c r="C8" s="49" t="inlineStr">
        <is>
          <t>Design authentication authorization and assurance policies</t>
        </is>
      </c>
      <c r="D8" s="49">
        <f>ROUND($C$24*40,0)</f>
        <v/>
      </c>
      <c r="E8" s="50" t="n">
        <v>40</v>
      </c>
      <c r="F8" s="50" t="n">
        <v>200</v>
      </c>
      <c r="G8" s="49">
        <f>TEXT(E8*F8,"$#,##0")</f>
        <v/>
      </c>
      <c r="H8" s="49" t="inlineStr">
        <is>
          <t>Requirements</t>
        </is>
      </c>
      <c r="I8" s="49" t="inlineStr">
        <is>
          <t>Medium</t>
        </is>
      </c>
      <c r="J8" s="49" t="inlineStr">
        <is>
          <t>802.1X TrustSec and compliance policies</t>
        </is>
      </c>
    </row>
    <row r="9" ht="26" customHeight="1">
      <c r="A9" s="45" t="inlineStr">
        <is>
          <t>Planning</t>
        </is>
      </c>
      <c r="B9" s="46" t="inlineStr">
        <is>
          <t>Migration Strategy</t>
        </is>
      </c>
      <c r="C9" s="46" t="inlineStr">
        <is>
          <t>Plan phased device onboarding and migration approach</t>
        </is>
      </c>
      <c r="D9" s="46">
        <f>ROUND($C$24*32,0)</f>
        <v/>
      </c>
      <c r="E9" s="47" t="n">
        <v>32</v>
      </c>
      <c r="F9" s="47" t="n">
        <v>200</v>
      </c>
      <c r="G9" s="46">
        <f>TEXT(E9*F9,"$#,##0")</f>
        <v/>
      </c>
      <c r="H9" s="46" t="inlineStr">
        <is>
          <t>Assessment</t>
        </is>
      </c>
      <c r="I9" s="46" t="inlineStr">
        <is>
          <t>Medium</t>
        </is>
      </c>
      <c r="J9" s="46" t="inlineStr">
        <is>
          <t>Pilot sites and rollout waves</t>
        </is>
      </c>
    </row>
    <row r="10" ht="26" customHeight="1">
      <c r="A10" s="48" t="inlineStr">
        <is>
          <t>Planning</t>
        </is>
      </c>
      <c r="B10" s="49" t="inlineStr">
        <is>
          <t>Training Plan</t>
        </is>
      </c>
      <c r="C10" s="49" t="inlineStr">
        <is>
          <t>Develop training curriculum for administrators and operators</t>
        </is>
      </c>
      <c r="D10" s="49">
        <f>ROUND($C$24*16,0)</f>
        <v/>
      </c>
      <c r="E10" s="50" t="n">
        <v>16</v>
      </c>
      <c r="F10" s="50" t="n">
        <v>175</v>
      </c>
      <c r="G10" s="49">
        <f>TEXT(E10*F10,"$#,##0")</f>
        <v/>
      </c>
      <c r="H10" s="49" t="inlineStr"/>
      <c r="I10" s="49" t="inlineStr">
        <is>
          <t>Low</t>
        </is>
      </c>
      <c r="J10" s="49" t="inlineStr">
        <is>
          <t>Hands-on labs and certification prep</t>
        </is>
      </c>
    </row>
    <row r="11" ht="26" customHeight="1">
      <c r="A11" s="45" t="inlineStr">
        <is>
          <t>Development</t>
        </is>
      </c>
      <c r="B11" s="46" t="inlineStr">
        <is>
          <t>DNA Center Deployment</t>
        </is>
      </c>
      <c r="C11" s="46" t="inlineStr">
        <is>
          <t>Deploy and configure DNA Center appliances</t>
        </is>
      </c>
      <c r="D11" s="46">
        <f>ROUND($C$25*60,0)</f>
        <v/>
      </c>
      <c r="E11" s="47" t="n">
        <v>60</v>
      </c>
      <c r="F11" s="47" t="n">
        <v>200</v>
      </c>
      <c r="G11" s="46">
        <f>TEXT(E11*F11,"$#,##0")</f>
        <v/>
      </c>
      <c r="H11" s="46" t="inlineStr">
        <is>
          <t>Architecture Design</t>
        </is>
      </c>
      <c r="I11" s="46" t="inlineStr">
        <is>
          <t>Medium</t>
        </is>
      </c>
      <c r="J11" s="46" t="inlineStr">
        <is>
          <t>HA pair installation and base configuration</t>
        </is>
      </c>
    </row>
    <row r="12" ht="26" customHeight="1">
      <c r="A12" s="48" t="inlineStr">
        <is>
          <t>Development</t>
        </is>
      </c>
      <c r="B12" s="49" t="inlineStr">
        <is>
          <t>Device Discovery</t>
        </is>
      </c>
      <c r="C12" s="49" t="inlineStr">
        <is>
          <t>Discover and onboard 200 network devices</t>
        </is>
      </c>
      <c r="D12" s="49">
        <f>ROUND($C$25*80,0)</f>
        <v/>
      </c>
      <c r="E12" s="50" t="n">
        <v>80</v>
      </c>
      <c r="F12" s="50" t="n">
        <v>175</v>
      </c>
      <c r="G12" s="49">
        <f>TEXT(E12*F12,"$#,##0")</f>
        <v/>
      </c>
      <c r="H12" s="49" t="inlineStr">
        <is>
          <t>DNA Center Setup</t>
        </is>
      </c>
      <c r="I12" s="49" t="inlineStr">
        <is>
          <t>Medium</t>
        </is>
      </c>
      <c r="J12" s="49" t="inlineStr">
        <is>
          <t>Automated discovery and manual addition</t>
        </is>
      </c>
    </row>
    <row r="13" ht="26" customHeight="1">
      <c r="A13" s="45" t="inlineStr">
        <is>
          <t>Development</t>
        </is>
      </c>
      <c r="B13" s="46" t="inlineStr">
        <is>
          <t>Policy Configuration</t>
        </is>
      </c>
      <c r="C13" s="46" t="inlineStr">
        <is>
          <t>Configure network policies templates and automation</t>
        </is>
      </c>
      <c r="D13" s="46">
        <f>ROUND($C$25*60,0)</f>
        <v/>
      </c>
      <c r="E13" s="47" t="n">
        <v>60</v>
      </c>
      <c r="F13" s="47" t="n">
        <v>200</v>
      </c>
      <c r="G13" s="46">
        <f>TEXT(E13*F13,"$#,##0")</f>
        <v/>
      </c>
      <c r="H13" s="46" t="inlineStr">
        <is>
          <t>Policy Framework</t>
        </is>
      </c>
      <c r="I13" s="46" t="inlineStr">
        <is>
          <t>Medium</t>
        </is>
      </c>
      <c r="J13" s="46" t="inlineStr">
        <is>
          <t>Authentication VLAN assignment ACLs</t>
        </is>
      </c>
    </row>
    <row r="14" ht="26" customHeight="1">
      <c r="A14" s="48" t="inlineStr">
        <is>
          <t>Development</t>
        </is>
      </c>
      <c r="B14" s="49" t="inlineStr">
        <is>
          <t>AI Analytics Setup</t>
        </is>
      </c>
      <c r="C14" s="49" t="inlineStr">
        <is>
          <t>Configure AI network analytics and assurance features</t>
        </is>
      </c>
      <c r="D14" s="49">
        <f>ROUND($C$25*40,0)</f>
        <v/>
      </c>
      <c r="E14" s="50" t="n">
        <v>40</v>
      </c>
      <c r="F14" s="50" t="n">
        <v>225</v>
      </c>
      <c r="G14" s="49">
        <f>TEXT(E14*F14,"$#,##0")</f>
        <v/>
      </c>
      <c r="H14" s="49" t="inlineStr">
        <is>
          <t>Device Onboarding</t>
        </is>
      </c>
      <c r="I14" s="49" t="inlineStr">
        <is>
          <t>Medium</t>
        </is>
      </c>
      <c r="J14" s="49" t="inlineStr">
        <is>
          <t>Predictive insights and anomaly detection</t>
        </is>
      </c>
    </row>
    <row r="15" ht="26" customHeight="1">
      <c r="A15" s="45" t="inlineStr">
        <is>
          <t>Development</t>
        </is>
      </c>
      <c r="B15" s="46" t="inlineStr">
        <is>
          <t>Integration Setup</t>
        </is>
      </c>
      <c r="C15" s="46" t="inlineStr">
        <is>
          <t>Integrate with AD ServiceNow and NetBox</t>
        </is>
      </c>
      <c r="D15" s="46">
        <f>ROUND($C$25*40,0)</f>
        <v/>
      </c>
      <c r="E15" s="47" t="n">
        <v>40</v>
      </c>
      <c r="F15" s="47" t="n">
        <v>200</v>
      </c>
      <c r="G15" s="46">
        <f>TEXT(E15*F15,"$#,##0")</f>
        <v/>
      </c>
      <c r="H15" s="46" t="inlineStr">
        <is>
          <t>Policy Config</t>
        </is>
      </c>
      <c r="I15" s="46" t="inlineStr">
        <is>
          <t>Medium</t>
        </is>
      </c>
      <c r="J15" s="46" t="inlineStr">
        <is>
          <t>Identity source ITSM and IPAM integration</t>
        </is>
      </c>
    </row>
    <row r="16" ht="26" customHeight="1">
      <c r="A16" s="48" t="inlineStr">
        <is>
          <t>Development</t>
        </is>
      </c>
      <c r="B16" s="49" t="inlineStr">
        <is>
          <t>Application Monitoring</t>
        </is>
      </c>
      <c r="C16" s="49" t="inlineStr">
        <is>
          <t>Configure application experience monitoring</t>
        </is>
      </c>
      <c r="D16" s="49">
        <f>ROUND($C$25*32,0)</f>
        <v/>
      </c>
      <c r="E16" s="50" t="n">
        <v>32</v>
      </c>
      <c r="F16" s="50" t="n">
        <v>200</v>
      </c>
      <c r="G16" s="49">
        <f>TEXT(E16*F16,"$#,##0")</f>
        <v/>
      </c>
      <c r="H16" s="49" t="inlineStr">
        <is>
          <t>AI Analytics</t>
        </is>
      </c>
      <c r="I16" s="49" t="inlineStr">
        <is>
          <t>Low</t>
        </is>
      </c>
      <c r="J16" s="49" t="inlineStr">
        <is>
          <t>Office 365 Webex SAP monitoring</t>
        </is>
      </c>
    </row>
    <row r="17" ht="26" customHeight="1">
      <c r="A17" s="45" t="inlineStr">
        <is>
          <t>Testing</t>
        </is>
      </c>
      <c r="B17" s="46" t="inlineStr">
        <is>
          <t>Lab Validation</t>
        </is>
      </c>
      <c r="C17" s="46" t="inlineStr">
        <is>
          <t>Test DNA Center policies in lab environment</t>
        </is>
      </c>
      <c r="D17" s="46">
        <f>ROUND($C$26*32,0)</f>
        <v/>
      </c>
      <c r="E17" s="47" t="n">
        <v>32</v>
      </c>
      <c r="F17" s="47" t="n">
        <v>175</v>
      </c>
      <c r="G17" s="46">
        <f>TEXT(E17*F17,"$#,##0")</f>
        <v/>
      </c>
      <c r="H17" s="46" t="inlineStr">
        <is>
          <t>Policy Config</t>
        </is>
      </c>
      <c r="I17" s="46" t="inlineStr">
        <is>
          <t>Medium</t>
        </is>
      </c>
      <c r="J17" s="46" t="inlineStr">
        <is>
          <t>GNS3 or physical lab testing</t>
        </is>
      </c>
    </row>
    <row r="18" ht="26" customHeight="1">
      <c r="A18" s="48" t="inlineStr">
        <is>
          <t>Testing</t>
        </is>
      </c>
      <c r="B18" s="49" t="inlineStr">
        <is>
          <t>Pilot Deployment</t>
        </is>
      </c>
      <c r="C18" s="49" t="inlineStr">
        <is>
          <t>Deploy to 20 pilot devices for validation</t>
        </is>
      </c>
      <c r="D18" s="49">
        <f>ROUND($C$26*40,0)</f>
        <v/>
      </c>
      <c r="E18" s="50" t="n">
        <v>40</v>
      </c>
      <c r="F18" s="50" t="n">
        <v>175</v>
      </c>
      <c r="G18" s="49">
        <f>TEXT(E18*F18,"$#,##0")</f>
        <v/>
      </c>
      <c r="H18" s="49" t="inlineStr">
        <is>
          <t>Lab Validation</t>
        </is>
      </c>
      <c r="I18" s="49" t="inlineStr">
        <is>
          <t>Medium</t>
        </is>
      </c>
      <c r="J18" s="49" t="inlineStr">
        <is>
          <t>IT department or friendly site</t>
        </is>
      </c>
    </row>
    <row r="19" ht="26" customHeight="1">
      <c r="A19" s="45" t="inlineStr">
        <is>
          <t>Testing</t>
        </is>
      </c>
      <c r="B19" s="46" t="inlineStr">
        <is>
          <t>Policy Testing</t>
        </is>
      </c>
      <c r="C19" s="46" t="inlineStr">
        <is>
          <t>Validate authentication authorization and analytics</t>
        </is>
      </c>
      <c r="D19" s="46">
        <f>ROUND($C$26*32,0)</f>
        <v/>
      </c>
      <c r="E19" s="47" t="n">
        <v>32</v>
      </c>
      <c r="F19" s="47" t="n">
        <v>175</v>
      </c>
      <c r="G19" s="46">
        <f>TEXT(E19*F19,"$#,##0")</f>
        <v/>
      </c>
      <c r="H19" s="46" t="inlineStr">
        <is>
          <t>Pilot Deployment</t>
        </is>
      </c>
      <c r="I19" s="46" t="inlineStr">
        <is>
          <t>Medium</t>
        </is>
      </c>
      <c r="J19" s="46" t="inlineStr">
        <is>
          <t>End-to-end workflow testing</t>
        </is>
      </c>
    </row>
    <row r="20" ht="26" customHeight="1">
      <c r="A20" s="48" t="inlineStr">
        <is>
          <t>Testing</t>
        </is>
      </c>
      <c r="B20" s="49" t="inlineStr">
        <is>
          <t>Failover Testing</t>
        </is>
      </c>
      <c r="C20" s="49" t="inlineStr">
        <is>
          <t>Test DNA Center HA and device failover scenarios</t>
        </is>
      </c>
      <c r="D20" s="49">
        <f>ROUND($C$26*24,0)</f>
        <v/>
      </c>
      <c r="E20" s="50" t="n">
        <v>24</v>
      </c>
      <c r="F20" s="50" t="n">
        <v>200</v>
      </c>
      <c r="G20" s="49">
        <f>TEXT(E20*F20,"$#,##0")</f>
        <v/>
      </c>
      <c r="H20" s="49" t="inlineStr">
        <is>
          <t>Pilot Success</t>
        </is>
      </c>
      <c r="I20" s="49" t="inlineStr">
        <is>
          <t>Medium</t>
        </is>
      </c>
      <c r="J20" s="49" t="inlineStr">
        <is>
          <t>Controller failover and network resilience</t>
        </is>
      </c>
    </row>
    <row r="21" ht="26" customHeight="1">
      <c r="A21" s="45" t="inlineStr">
        <is>
          <t>Deployment</t>
        </is>
      </c>
      <c r="B21" s="46" t="inlineStr">
        <is>
          <t>Production Deployment</t>
        </is>
      </c>
      <c r="C21" s="46" t="inlineStr">
        <is>
          <t>Deploy remaining 180 devices to DNA Center</t>
        </is>
      </c>
      <c r="D21" s="46">
        <f>ROUND($C$27*80,0)</f>
        <v/>
      </c>
      <c r="E21" s="47" t="n">
        <v>80</v>
      </c>
      <c r="F21" s="47" t="n">
        <v>175</v>
      </c>
      <c r="G21" s="46">
        <f>TEXT(E21*F21,"$#,##0")</f>
        <v/>
      </c>
      <c r="H21" s="46" t="inlineStr">
        <is>
          <t>Testing Complete</t>
        </is>
      </c>
      <c r="I21" s="46" t="inlineStr">
        <is>
          <t>Medium</t>
        </is>
      </c>
      <c r="J21" s="46" t="inlineStr">
        <is>
          <t>Phased rollout by site or device type</t>
        </is>
      </c>
    </row>
    <row r="22" ht="26" customHeight="1">
      <c r="A22" s="48" t="inlineStr">
        <is>
          <t>Deployment</t>
        </is>
      </c>
      <c r="B22" s="49" t="inlineStr">
        <is>
          <t>Policy Rollout</t>
        </is>
      </c>
      <c r="C22" s="49" t="inlineStr">
        <is>
          <t>Enable enforcement policies across network</t>
        </is>
      </c>
      <c r="D22" s="49">
        <f>ROUND($C$27*40,0)</f>
        <v/>
      </c>
      <c r="E22" s="50" t="n">
        <v>40</v>
      </c>
      <c r="F22" s="50" t="n">
        <v>200</v>
      </c>
      <c r="G22" s="49">
        <f>TEXT(E22*F22,"$#,##0")</f>
        <v/>
      </c>
      <c r="H22" s="49" t="inlineStr">
        <is>
          <t>Device Migration</t>
        </is>
      </c>
      <c r="I22" s="49" t="inlineStr">
        <is>
          <t>High</t>
        </is>
      </c>
      <c r="J22" s="49" t="inlineStr">
        <is>
          <t>Gradual policy enforcement</t>
        </is>
      </c>
    </row>
    <row r="23" ht="26" customHeight="1">
      <c r="A23" s="45" t="inlineStr">
        <is>
          <t>Deployment</t>
        </is>
      </c>
      <c r="B23" s="46" t="inlineStr">
        <is>
          <t>Monitoring Activation</t>
        </is>
      </c>
      <c r="C23" s="46" t="inlineStr">
        <is>
          <t>Activate assurance monitoring and alerting</t>
        </is>
      </c>
      <c r="D23" s="46">
        <f>ROUND($C$27*24,0)</f>
        <v/>
      </c>
      <c r="E23" s="47" t="n">
        <v>24</v>
      </c>
      <c r="F23" s="47" t="n">
        <v>175</v>
      </c>
      <c r="G23" s="46">
        <f>TEXT(E23*F23,"$#,##0")</f>
        <v/>
      </c>
      <c r="H23" s="46" t="inlineStr">
        <is>
          <t>Policy Rollout</t>
        </is>
      </c>
      <c r="I23" s="46" t="inlineStr">
        <is>
          <t>Medium</t>
        </is>
      </c>
      <c r="J23" s="46" t="inlineStr">
        <is>
          <t>CloudWatch and ITSM integration</t>
        </is>
      </c>
    </row>
    <row r="24" ht="26" customHeight="1">
      <c r="A24" s="48" t="inlineStr">
        <is>
          <t>Deployment</t>
        </is>
      </c>
      <c r="B24" s="49" t="inlineStr">
        <is>
          <t>Go-Live Support</t>
        </is>
      </c>
      <c r="C24" s="49" t="inlineStr">
        <is>
          <t>Provide hypercare support during stabilization</t>
        </is>
      </c>
      <c r="D24" s="49">
        <f>ROUND($C$27*48,0)</f>
        <v/>
      </c>
      <c r="E24" s="50" t="n">
        <v>48</v>
      </c>
      <c r="F24" s="50" t="n">
        <v>150</v>
      </c>
      <c r="G24" s="49">
        <f>TEXT(E24*F24,"$#,##0")</f>
        <v/>
      </c>
      <c r="H24" s="49" t="inlineStr">
        <is>
          <t>Production Rollout</t>
        </is>
      </c>
      <c r="I24" s="49" t="inlineStr">
        <is>
          <t>Medium</t>
        </is>
      </c>
      <c r="J24" s="49" t="inlineStr">
        <is>
          <t>4-week post-deployment support</t>
        </is>
      </c>
    </row>
    <row r="25" ht="26" customHeight="1">
      <c r="A25" s="45" t="inlineStr">
        <is>
          <t>Training</t>
        </is>
      </c>
      <c r="B25" s="46" t="inlineStr">
        <is>
          <t>Administrator Training</t>
        </is>
      </c>
      <c r="C25" s="46" t="inlineStr">
        <is>
          <t>Train DNA Center administrators on operations</t>
        </is>
      </c>
      <c r="D25" s="46">
        <f>ROUND($C$28*24,0)</f>
        <v/>
      </c>
      <c r="E25" s="47" t="n">
        <v>24</v>
      </c>
      <c r="F25" s="47" t="n">
        <v>175</v>
      </c>
      <c r="G25" s="46">
        <f>TEXT(E25*F25,"$#,##0")</f>
        <v/>
      </c>
      <c r="H25" s="46" t="inlineStr">
        <is>
          <t>Deployment Complete</t>
        </is>
      </c>
      <c r="I25" s="46" t="inlineStr">
        <is>
          <t>Low</t>
        </is>
      </c>
      <c r="J25" s="46" t="inlineStr">
        <is>
          <t>Policy management and troubleshooting</t>
        </is>
      </c>
    </row>
    <row r="26" ht="26" customHeight="1">
      <c r="A26" s="48" t="inlineStr">
        <is>
          <t>Training</t>
        </is>
      </c>
      <c r="B26" s="49" t="inlineStr">
        <is>
          <t>Operations Training</t>
        </is>
      </c>
      <c r="C26" s="49" t="inlineStr">
        <is>
          <t>Train network team on assurance and analytics</t>
        </is>
      </c>
      <c r="D26" s="49">
        <f>ROUND($C$28*16,0)</f>
        <v/>
      </c>
      <c r="E26" s="50" t="n">
        <v>16</v>
      </c>
      <c r="F26" s="50" t="n">
        <v>150</v>
      </c>
      <c r="G26" s="49">
        <f>TEXT(E26*F26,"$#,##0")</f>
        <v/>
      </c>
      <c r="H26" s="49" t="inlineStr">
        <is>
          <t>Admin Training</t>
        </is>
      </c>
      <c r="I26" s="49" t="inlineStr">
        <is>
          <t>Low</t>
        </is>
      </c>
      <c r="J26" s="49" t="inlineStr">
        <is>
          <t>Dashboard usage and incident response</t>
        </is>
      </c>
    </row>
    <row r="27" ht="26" customHeight="1">
      <c r="A27" s="45" t="inlineStr">
        <is>
          <t>Training</t>
        </is>
      </c>
      <c r="B27" s="46" t="inlineStr">
        <is>
          <t>Documentation</t>
        </is>
      </c>
      <c r="C27" s="46" t="inlineStr">
        <is>
          <t>Create runbooks and operational documentation</t>
        </is>
      </c>
      <c r="D27" s="46">
        <f>ROUND($C$28*32,0)</f>
        <v/>
      </c>
      <c r="E27" s="47" t="n">
        <v>32</v>
      </c>
      <c r="F27" s="47" t="n">
        <v>150</v>
      </c>
      <c r="G27" s="46">
        <f>TEXT(E27*F27,"$#,##0")</f>
        <v/>
      </c>
      <c r="H27" s="46" t="inlineStr"/>
      <c r="I27" s="46" t="inlineStr">
        <is>
          <t>Low</t>
        </is>
      </c>
      <c r="J27" s="46" t="inlineStr">
        <is>
          <t>SOPs troubleshooting guides best practices</t>
        </is>
      </c>
    </row>
    <row r="28" ht="26" customHeight="1">
      <c r="A28" s="48" t="inlineStr">
        <is>
          <t>Closeout</t>
        </is>
      </c>
      <c r="B28" s="49" t="inlineStr">
        <is>
          <t>Knowledge Transfer</t>
        </is>
      </c>
      <c r="C28" s="49" t="inlineStr">
        <is>
          <t>Transfer solution to operations team</t>
        </is>
      </c>
      <c r="D28" s="49">
        <f>ROUND($C$29*16,0)</f>
        <v/>
      </c>
      <c r="E28" s="50" t="n">
        <v>16</v>
      </c>
      <c r="F28" s="50" t="n">
        <v>175</v>
      </c>
      <c r="G28" s="49">
        <f>TEXT(E28*F28,"$#,##0")</f>
        <v/>
      </c>
      <c r="H28" s="49" t="inlineStr">
        <is>
          <t>Training Complete</t>
        </is>
      </c>
      <c r="I28" s="49" t="inlineStr">
        <is>
          <t>Low</t>
        </is>
      </c>
      <c r="J28" s="49" t="inlineStr">
        <is>
          <t>Operational handoff and escalation procedures</t>
        </is>
      </c>
    </row>
    <row r="29" ht="26" customHeight="1">
      <c r="A29" s="45" t="inlineStr">
        <is>
          <t>Closeout</t>
        </is>
      </c>
      <c r="B29" s="46" t="inlineStr">
        <is>
          <t>Performance Baseline</t>
        </is>
      </c>
      <c r="C29" s="46" t="inlineStr">
        <is>
          <t>Establish performance baselines and KPIs</t>
        </is>
      </c>
      <c r="D29" s="46">
        <f>ROUND($C$29*16,0)</f>
        <v/>
      </c>
      <c r="E29" s="47" t="n">
        <v>16</v>
      </c>
      <c r="F29" s="47" t="n">
        <v>175</v>
      </c>
      <c r="G29" s="46">
        <f>TEXT(E29*F29,"$#,##0")</f>
        <v/>
      </c>
      <c r="H29" s="46" t="inlineStr">
        <is>
          <t>Go-Live</t>
        </is>
      </c>
      <c r="I29" s="46" t="inlineStr">
        <is>
          <t>Low</t>
        </is>
      </c>
      <c r="J29" s="46" t="inlineStr">
        <is>
          <t>MTTR uptime and automation metrics</t>
        </is>
      </c>
    </row>
    <row r="30" ht="26" customHeight="1">
      <c r="A30" s="48" t="inlineStr">
        <is>
          <t>Management</t>
        </is>
      </c>
      <c r="B30" s="49" t="inlineStr">
        <is>
          <t>Technical Leadership</t>
        </is>
      </c>
      <c r="C30" s="49" t="inlineStr">
        <is>
          <t>Technical quarterback and architecture oversight</t>
        </is>
      </c>
      <c r="D30" s="49">
        <f>ROUND(SUM(E17:E43)*$C$30,0)</f>
        <v/>
      </c>
      <c r="E30" s="51">
        <f>ROUND(SUM(E17:E43)*0.25,0)</f>
        <v/>
      </c>
      <c r="F30" s="50" t="n">
        <v>225</v>
      </c>
      <c r="G30" s="49">
        <f>TEXT(E30*F30,"$#,##0")</f>
        <v/>
      </c>
      <c r="H30" s="49" t="inlineStr"/>
      <c r="I30" s="49" t="inlineStr">
        <is>
          <t>Medium</t>
        </is>
      </c>
      <c r="J30" s="49" t="inlineStr">
        <is>
          <t>25% of total engineering effort</t>
        </is>
      </c>
    </row>
    <row r="31" ht="26" customHeight="1">
      <c r="A31" s="45" t="inlineStr">
        <is>
          <t>Management</t>
        </is>
      </c>
      <c r="B31" s="46" t="inlineStr">
        <is>
          <t>Project Management</t>
        </is>
      </c>
      <c r="C31" s="46" t="inlineStr">
        <is>
          <t>Project coordination and stakeholder management</t>
        </is>
      </c>
      <c r="D31" s="46">
        <f>ROUND(SUM(E17:E43)*0.20,0)</f>
        <v/>
      </c>
      <c r="E31" s="52">
        <f>ROUND(SUM(E17:E43)*0.20,0)</f>
        <v/>
      </c>
      <c r="F31" s="47" t="n">
        <v>175</v>
      </c>
      <c r="G31" s="46">
        <f>TEXT(E31*F31,"$#,##0")</f>
        <v/>
      </c>
      <c r="H31" s="46" t="inlineStr"/>
      <c r="I31" s="46" t="inlineStr">
        <is>
          <t>Low</t>
        </is>
      </c>
      <c r="J31" s="46" t="inlineStr">
        <is>
          <t>20% of total engineering effort</t>
        </is>
      </c>
    </row>
    <row r="32" ht="26" customHeight="1">
      <c r="A32" s="53" t="inlineStr"/>
      <c r="B32" s="53" t="inlineStr"/>
      <c r="C32" s="53" t="inlineStr"/>
      <c r="D32" s="54" t="inlineStr">
        <is>
          <t>TOTAL HOURS</t>
        </is>
      </c>
      <c r="E32" s="54">
        <f>SUM(E17:E45)</f>
        <v/>
      </c>
      <c r="F32" s="54" t="inlineStr">
        <is>
          <t>TOTAL COST</t>
        </is>
      </c>
      <c r="G32" s="54">
        <f>TEXT(SUM(G17:G45),"$#,##0")</f>
        <v/>
      </c>
      <c r="H32" s="53" t="inlineStr"/>
      <c r="I32" s="53" t="inlineStr"/>
      <c r="J32" s="54" t="inlineStr">
        <is>
          <t>Total DNA Center implementation cost</t>
        </is>
      </c>
    </row>
  </sheetData>
  <autoFilter ref="A2:J32"/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28" customWidth="1" min="2" max="2"/>
    <col width="18" customWidth="1" min="3" max="3"/>
    <col width="60" customWidth="1" min="4" max="4"/>
  </cols>
  <sheetData>
    <row r="1" ht="32" customHeight="1">
      <c r="A1" s="35" t="inlineStr">
        <is>
          <t>CREDITS</t>
        </is>
      </c>
    </row>
    <row r="2" ht="32" customHeight="1">
      <c r="A2" s="36" t="inlineStr">
        <is>
          <t>Category</t>
        </is>
      </c>
      <c r="B2" s="36" t="inlineStr">
        <is>
          <t>Credit Type</t>
        </is>
      </c>
      <c r="C2" s="36" t="inlineStr">
        <is>
          <t>Credit Amount</t>
        </is>
      </c>
      <c r="D2" s="36" t="inlineStr">
        <is>
          <t>Credit Comments</t>
        </is>
      </c>
    </row>
    <row r="3" ht="26" customHeight="1">
      <c r="A3" s="37" t="inlineStr">
        <is>
          <t>Hardware</t>
        </is>
      </c>
      <c r="B3" s="38" t="inlineStr">
        <is>
          <t>Cisco SmartNet Renewal</t>
        </is>
      </c>
      <c r="C3" s="55" t="n">
        <v>-5000</v>
      </c>
      <c r="D3" s="38" t="inlineStr">
        <is>
          <t>Existing SmartNet contract renewal credit applied</t>
        </is>
      </c>
    </row>
    <row r="4" ht="26" customHeight="1">
      <c r="A4" s="40" t="inlineStr">
        <is>
          <t>Software</t>
        </is>
      </c>
      <c r="B4" s="41" t="inlineStr">
        <is>
          <t>DNA License Promotion</t>
        </is>
      </c>
      <c r="C4" s="56" t="n">
        <v>-20000</v>
      </c>
      <c r="D4" s="41" t="inlineStr">
        <is>
          <t>Year 1 DNA Advantage license 33% discount promotion</t>
        </is>
      </c>
    </row>
    <row r="5" ht="26" customHeight="1">
      <c r="A5" s="37" t="inlineStr">
        <is>
          <t>Professional Services</t>
        </is>
      </c>
      <c r="B5" s="38" t="inlineStr">
        <is>
          <t>Implementation Services</t>
        </is>
      </c>
      <c r="C5" s="55" t="n">
        <v>0</v>
      </c>
      <c r="D5" s="38" t="inlineStr">
        <is>
          <t>No professional services credits available</t>
        </is>
      </c>
    </row>
    <row r="6" ht="26" customHeight="1">
      <c r="A6" s="40" t="inlineStr">
        <is>
          <t>Support &amp; Maintenance</t>
        </is>
      </c>
      <c r="B6" s="41" t="inlineStr">
        <is>
          <t>Annual Support Credit</t>
        </is>
      </c>
      <c r="C6" s="56" t="n">
        <v>0</v>
      </c>
      <c r="D6" s="41" t="inlineStr">
        <is>
          <t>No support renewal credits available</t>
        </is>
      </c>
    </row>
  </sheetData>
  <autoFilter ref="A2:D6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2025-11-22T23:07:51Z</dcterms:modified>
  <cp:lastModifiedBy>Kishan Siram</cp:lastModifiedBy>
</cp:coreProperties>
</file>