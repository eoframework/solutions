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Guidelines'!$A$2:$F$9</definedName>
    <definedName name="_xlnm._FilterDatabase" localSheetId="2" hidden="1">'Infrastructure Costs'!$A$2:$K$10</definedName>
    <definedName name="_xlnm._FilterDatabase" localSheetId="3" hidden="1">'Credits'!$A$2:$D$6</definedName>
    <definedName name="_xlnm._FilterDatabase" localSheetId="4" hidden="1">'3-Year Summary'!$A$2:$G$6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24, 2025</t>
        </is>
      </c>
    </row>
    <row r="8" ht="18" customHeight="1">
      <c r="B8" s="2" t="inlineStr">
        <is>
          <t>Customer:</t>
        </is>
      </c>
      <c r="C8" s="3" t="inlineStr">
        <is>
          <t>Secure Access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User Count</t>
        </is>
      </c>
      <c r="B3" s="38" t="inlineStr">
        <is>
          <t>Concurrent Users</t>
        </is>
      </c>
      <c r="C3" s="39" t="inlineStr">
        <is>
          <t>500 users</t>
        </is>
      </c>
      <c r="D3" s="39" t="inlineStr">
        <is>
          <t>1000 users</t>
        </is>
      </c>
      <c r="E3" s="39" t="inlineStr">
        <is>
          <t>3000+ users</t>
        </is>
      </c>
      <c r="F3" s="38" t="inlineStr">
        <is>
          <t>Simultaneous authenticated users</t>
        </is>
      </c>
    </row>
    <row r="4" ht="26" customHeight="1">
      <c r="A4" s="40" t="inlineStr">
        <is>
          <t>Endpoint Count</t>
        </is>
      </c>
      <c r="B4" s="41" t="inlineStr">
        <is>
          <t>Total Endpoints</t>
        </is>
      </c>
      <c r="C4" s="42" t="inlineStr">
        <is>
          <t>1000 endpoints</t>
        </is>
      </c>
      <c r="D4" s="42" t="inlineStr">
        <is>
          <t>2000 endpoints</t>
        </is>
      </c>
      <c r="E4" s="42" t="inlineStr">
        <is>
          <t>5000+ endpoints</t>
        </is>
      </c>
      <c r="F4" s="41" t="inlineStr">
        <is>
          <t>All network devices requiring auth</t>
        </is>
      </c>
    </row>
    <row r="5" ht="26" customHeight="1">
      <c r="A5" s="37" t="inlineStr">
        <is>
          <t>ISE Appliance</t>
        </is>
      </c>
      <c r="B5" s="38" t="inlineStr">
        <is>
          <t>Appliance Model</t>
        </is>
      </c>
      <c r="C5" s="39" t="inlineStr">
        <is>
          <t>ISE 3595 (small)</t>
        </is>
      </c>
      <c r="D5" s="39" t="inlineStr">
        <is>
          <t>ISE 3615 (medium)</t>
        </is>
      </c>
      <c r="E5" s="39" t="inlineStr">
        <is>
          <t>ISE 3655 (large)</t>
        </is>
      </c>
      <c r="F5" s="38" t="inlineStr">
        <is>
          <t>Hardware appliance sizing</t>
        </is>
      </c>
    </row>
    <row r="6" ht="26" customHeight="1">
      <c r="A6" s="40" t="inlineStr">
        <is>
          <t>High Availability</t>
        </is>
      </c>
      <c r="B6" s="41" t="inlineStr">
        <is>
          <t>Deployment</t>
        </is>
      </c>
      <c r="C6" s="42" t="inlineStr">
        <is>
          <t>Primary only</t>
        </is>
      </c>
      <c r="D6" s="42" t="inlineStr">
        <is>
          <t>Primary + Secondary</t>
        </is>
      </c>
      <c r="E6" s="42" t="inlineStr">
        <is>
          <t>Multi-site HA cluster</t>
        </is>
      </c>
      <c r="F6" s="41" t="inlineStr">
        <is>
          <t>Redundancy and geographic distribution</t>
        </is>
      </c>
    </row>
    <row r="7" ht="26" customHeight="1">
      <c r="A7" s="37" t="inlineStr">
        <is>
          <t>Software License</t>
        </is>
      </c>
      <c r="B7" s="38" t="inlineStr">
        <is>
          <t>License Tier</t>
        </is>
      </c>
      <c r="C7" s="39" t="inlineStr">
        <is>
          <t>ISE Base</t>
        </is>
      </c>
      <c r="D7" s="39" t="inlineStr">
        <is>
          <t>ISE Plus</t>
        </is>
      </c>
      <c r="E7" s="39" t="inlineStr">
        <is>
          <t>ISE Apex</t>
        </is>
      </c>
      <c r="F7" s="38" t="inlineStr">
        <is>
          <t>Feature set (Base Plus includes TrustSec)</t>
        </is>
      </c>
    </row>
    <row r="8" ht="26" customHeight="1">
      <c r="A8" s="40" t="inlineStr">
        <is>
          <t>Device Administration</t>
        </is>
      </c>
      <c r="B8" s="41" t="inlineStr">
        <is>
          <t>TACACS Licenses</t>
        </is>
      </c>
      <c r="C8" s="42" t="inlineStr">
        <is>
          <t>100 devices</t>
        </is>
      </c>
      <c r="D8" s="42" t="inlineStr">
        <is>
          <t>500 devices</t>
        </is>
      </c>
      <c r="E8" s="42" t="inlineStr">
        <is>
          <t>1000+ devices</t>
        </is>
      </c>
      <c r="F8" s="41" t="inlineStr">
        <is>
          <t>Network device admin AAA (optional)</t>
        </is>
      </c>
    </row>
    <row r="9" ht="26" customHeight="1">
      <c r="A9" s="37" t="inlineStr">
        <is>
          <t>Support Level</t>
        </is>
      </c>
      <c r="B9" s="38" t="inlineStr">
        <is>
          <t>SmartNet</t>
        </is>
      </c>
      <c r="C9" s="39" t="inlineStr">
        <is>
          <t>8x5xNBD</t>
        </is>
      </c>
      <c r="D9" s="39" t="inlineStr">
        <is>
          <t>24x7x4</t>
        </is>
      </c>
      <c r="E9" s="39" t="inlineStr">
        <is>
          <t>24x7x2</t>
        </is>
      </c>
      <c r="F9" s="38" t="inlineStr">
        <is>
          <t>Hardware replacement SLA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Hardware</t>
        </is>
      </c>
      <c r="B3" s="44" t="inlineStr">
        <is>
          <t>Cisco ISE 3615 Appliance</t>
        </is>
      </c>
      <c r="C3" s="44" t="inlineStr">
        <is>
          <t>Primary ISE node (3000 endpoint capacity)</t>
        </is>
      </c>
      <c r="D3" s="45" t="n">
        <v>1</v>
      </c>
      <c r="E3" s="44" t="inlineStr">
        <is>
          <t>Appliance</t>
        </is>
      </c>
      <c r="F3" s="46" t="n">
        <v>40000</v>
      </c>
      <c r="G3" s="46" t="n">
        <v>40000</v>
      </c>
      <c r="H3" s="46" t="n">
        <v>0</v>
      </c>
      <c r="I3" s="46" t="n">
        <v>0</v>
      </c>
      <c r="J3" s="46" t="n">
        <v>40000</v>
      </c>
      <c r="K3" s="44" t="inlineStr">
        <is>
          <t>Primary policy service node</t>
        </is>
      </c>
    </row>
    <row r="4" ht="26" customHeight="1">
      <c r="A4" s="47" t="inlineStr">
        <is>
          <t>Hardware</t>
        </is>
      </c>
      <c r="B4" s="48" t="inlineStr">
        <is>
          <t>Cisco ISE 3615 Secondary</t>
        </is>
      </c>
      <c r="C4" s="48" t="inlineStr">
        <is>
          <t>Secondary ISE for high availability</t>
        </is>
      </c>
      <c r="D4" s="49" t="n">
        <v>1</v>
      </c>
      <c r="E4" s="48" t="inlineStr">
        <is>
          <t>Appliance</t>
        </is>
      </c>
      <c r="F4" s="50" t="n">
        <v>40000</v>
      </c>
      <c r="G4" s="50" t="n">
        <v>40000</v>
      </c>
      <c r="H4" s="50" t="n">
        <v>0</v>
      </c>
      <c r="I4" s="50" t="n">
        <v>0</v>
      </c>
      <c r="J4" s="50" t="n">
        <v>40000</v>
      </c>
      <c r="K4" s="48" t="inlineStr">
        <is>
          <t>HA redundancy and failover</t>
        </is>
      </c>
    </row>
    <row r="5" ht="26" customHeight="1">
      <c r="A5" s="43" t="inlineStr">
        <is>
          <t>Software Licenses</t>
        </is>
      </c>
      <c r="B5" s="44" t="inlineStr">
        <is>
          <t>ISE Plus 3000 Endpoint License</t>
        </is>
      </c>
      <c r="C5" s="44" t="inlineStr">
        <is>
          <t>Includes TrustSec BYOD profiling (3000 endpoints)</t>
        </is>
      </c>
      <c r="D5" s="45" t="n">
        <v>1</v>
      </c>
      <c r="E5" s="44" t="inlineStr">
        <is>
          <t>License/Year</t>
        </is>
      </c>
      <c r="F5" s="46" t="n">
        <v>50000</v>
      </c>
      <c r="G5" s="46">
        <f>D5*F5</f>
        <v/>
      </c>
      <c r="H5" s="46">
        <f>G5</f>
        <v/>
      </c>
      <c r="I5" s="46">
        <f>G5</f>
        <v/>
      </c>
      <c r="J5" s="46">
        <f>G5+H5+I5</f>
        <v/>
      </c>
      <c r="K5" s="44" t="inlineStr">
        <is>
          <t>NAC and segmentation features</t>
        </is>
      </c>
    </row>
    <row r="6" ht="26" customHeight="1">
      <c r="A6" s="47" t="inlineStr">
        <is>
          <t>Software Licenses</t>
        </is>
      </c>
      <c r="B6" s="48" t="inlineStr">
        <is>
          <t>ISE Device Admin License</t>
        </is>
      </c>
      <c r="C6" s="48" t="inlineStr">
        <is>
          <t>TACACS+ for network device admin (500 devices)</t>
        </is>
      </c>
      <c r="D6" s="49" t="n">
        <v>500</v>
      </c>
      <c r="E6" s="48" t="inlineStr">
        <is>
          <t>Devices/Year</t>
        </is>
      </c>
      <c r="F6" s="50" t="n">
        <v>50</v>
      </c>
      <c r="G6" s="50">
        <f>D6*F6</f>
        <v/>
      </c>
      <c r="H6" s="50">
        <f>G6</f>
        <v/>
      </c>
      <c r="I6" s="50">
        <f>G6</f>
        <v/>
      </c>
      <c r="J6" s="50">
        <f>G6+H6+I6</f>
        <v/>
      </c>
      <c r="K6" s="48" t="inlineStr">
        <is>
          <t>Network device AAA (optional)</t>
        </is>
      </c>
    </row>
    <row r="7" ht="26" customHeight="1">
      <c r="A7" s="43" t="inlineStr">
        <is>
          <t>Software Licenses</t>
        </is>
      </c>
      <c r="B7" s="44" t="inlineStr">
        <is>
          <t>Active Directory Connector</t>
        </is>
      </c>
      <c r="C7" s="44" t="inlineStr">
        <is>
          <t>AD integration (included with ISE)</t>
        </is>
      </c>
      <c r="D7" s="45" t="n">
        <v>1</v>
      </c>
      <c r="E7" s="44" t="inlineStr">
        <is>
          <t>Integration</t>
        </is>
      </c>
      <c r="F7" s="46" t="n">
        <v>0</v>
      </c>
      <c r="G7" s="46">
        <f>D7*F7</f>
        <v/>
      </c>
      <c r="H7" s="46">
        <f>G7</f>
        <v/>
      </c>
      <c r="I7" s="46">
        <f>G7</f>
        <v/>
      </c>
      <c r="J7" s="46">
        <f>G7+H7+I7</f>
        <v/>
      </c>
      <c r="K7" s="44" t="inlineStr">
        <is>
          <t>Identity source integration</t>
        </is>
      </c>
    </row>
    <row r="8" ht="26" customHeight="1">
      <c r="A8" s="47" t="inlineStr">
        <is>
          <t>Support &amp; Maintenance</t>
        </is>
      </c>
      <c r="B8" s="48" t="inlineStr">
        <is>
          <t>Cisco SmartNet 8x5xNBD</t>
        </is>
      </c>
      <c r="C8" s="48" t="inlineStr">
        <is>
          <t>Hardware support for ISE appliances</t>
        </is>
      </c>
      <c r="D8" s="49" t="n">
        <v>2</v>
      </c>
      <c r="E8" s="48" t="inlineStr">
        <is>
          <t>Appliances/Year</t>
        </is>
      </c>
      <c r="F8" s="50" t="n">
        <v>8000</v>
      </c>
      <c r="G8" s="50">
        <f>D8*F8</f>
        <v/>
      </c>
      <c r="H8" s="50">
        <f>G8</f>
        <v/>
      </c>
      <c r="I8" s="50">
        <f>G8</f>
        <v/>
      </c>
      <c r="J8" s="50">
        <f>G8+H8+I8</f>
        <v/>
      </c>
      <c r="K8" s="48" t="inlineStr">
        <is>
          <t>Business hours support NBD replacement</t>
        </is>
      </c>
    </row>
    <row r="9" ht="26" customHeight="1">
      <c r="A9" s="43" t="inlineStr">
        <is>
          <t>Support &amp; Maintenance</t>
        </is>
      </c>
      <c r="B9" s="44" t="inlineStr">
        <is>
          <t>Software Subscription &amp; Support</t>
        </is>
      </c>
      <c r="C9" s="44" t="inlineStr">
        <is>
          <t>ISE software updates and technical support</t>
        </is>
      </c>
      <c r="D9" s="45" t="n">
        <v>1</v>
      </c>
      <c r="E9" s="44" t="inlineStr">
        <is>
          <t>Subscription/Year</t>
        </is>
      </c>
      <c r="F9" s="46" t="n">
        <v>15000</v>
      </c>
      <c r="G9" s="46">
        <f>D9*F9</f>
        <v/>
      </c>
      <c r="H9" s="46">
        <f>G9</f>
        <v/>
      </c>
      <c r="I9" s="46">
        <f>G9</f>
        <v/>
      </c>
      <c r="J9" s="46">
        <f>G9+H9+I9</f>
        <v/>
      </c>
      <c r="K9" s="44" t="inlineStr">
        <is>
          <t>Annual software maintenance</t>
        </is>
      </c>
    </row>
    <row r="10" ht="26" customHeight="1">
      <c r="A10" s="51" t="inlineStr">
        <is>
          <t>TOTAL</t>
        </is>
      </c>
      <c r="B10" s="52" t="n"/>
      <c r="C10" s="52" t="n"/>
      <c r="D10" s="52" t="n"/>
      <c r="E10" s="52" t="n"/>
      <c r="F10" s="52" t="n"/>
      <c r="G10" s="53">
        <f>SUM(G3:G9)</f>
        <v/>
      </c>
      <c r="H10" s="53">
        <f>SUM(H3:H9)</f>
        <v/>
      </c>
      <c r="I10" s="53">
        <f>SUM(I3:I9)</f>
        <v/>
      </c>
      <c r="J10" s="53">
        <f>SUM(J3:J9)</f>
        <v/>
      </c>
      <c r="K10" s="52" t="n"/>
    </row>
  </sheetData>
  <autoFilter ref="A2:K10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Hardware</t>
        </is>
      </c>
      <c r="B3" s="44" t="inlineStr">
        <is>
          <t>Trade-In Credit</t>
        </is>
      </c>
      <c r="C3" s="46" t="n">
        <v>0</v>
      </c>
      <c r="D3" s="44" t="inlineStr">
        <is>
          <t>No hardware trade-in available</t>
        </is>
      </c>
    </row>
    <row r="4" ht="26" customHeight="1">
      <c r="A4" s="47" t="inlineStr">
        <is>
          <t>Software Licenses</t>
        </is>
      </c>
      <c r="B4" s="48" t="inlineStr">
        <is>
          <t>Security Promotion</t>
        </is>
      </c>
      <c r="C4" s="50" t="n">
        <v>-10000</v>
      </c>
      <c r="D4" s="48" t="inlineStr">
        <is>
          <t>Year 1 ISE license 20% discount promotion</t>
        </is>
      </c>
    </row>
    <row r="5" ht="26" customHeight="1">
      <c r="A5" s="43" t="inlineStr">
        <is>
          <t>Support &amp; Maintenance</t>
        </is>
      </c>
      <c r="B5" s="44" t="inlineStr">
        <is>
          <t>Support Renewal</t>
        </is>
      </c>
      <c r="C5" s="46" t="n">
        <v>0</v>
      </c>
      <c r="D5" s="44" t="inlineStr">
        <is>
          <t>No support renewal credits</t>
        </is>
      </c>
    </row>
    <row r="6" ht="26" customHeight="1">
      <c r="A6" s="47" t="inlineStr">
        <is>
          <t>Professional Services</t>
        </is>
      </c>
      <c r="B6" s="48" t="inlineStr">
        <is>
          <t>Implementation Credit</t>
        </is>
      </c>
      <c r="C6" s="50" t="n">
        <v>0</v>
      </c>
      <c r="D6" s="48" t="inlineStr">
        <is>
          <t>No services credits available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Hardware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Software Licenses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Support &amp; Maintenance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51" t="inlineStr">
        <is>
          <t>TOTAL</t>
        </is>
      </c>
      <c r="B6" s="53">
        <f>SUM(B3:B5)</f>
        <v/>
      </c>
      <c r="C6" s="53">
        <f>SUM(C3:C5)</f>
        <v/>
      </c>
      <c r="D6" s="53">
        <f>SUM(D3:D5)</f>
        <v/>
      </c>
      <c r="E6" s="53">
        <f>SUM(E3:E5)</f>
        <v/>
      </c>
      <c r="F6" s="53">
        <f>SUM(F3:F5)</f>
        <v/>
      </c>
      <c r="G6" s="53">
        <f>SUM(G3:G5)</f>
        <v/>
      </c>
    </row>
  </sheetData>
  <autoFilter ref="A2:G6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2025-11-25T04:29:22Z</dcterms:modified>
  <cp:lastModifiedBy>Kishan Siram</cp:lastModifiedBy>
</cp:coreProperties>
</file>