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Guidelines'!$A$2:$F$9</definedName>
    <definedName name="_xlnm._FilterDatabase" localSheetId="2" hidden="1">'Infrastructure Costs'!$A$2:$K$18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Secure Access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User Count</t>
        </is>
      </c>
      <c r="B3" s="38" t="inlineStr">
        <is>
          <t>Concurrent Users</t>
        </is>
      </c>
      <c r="C3" s="39" t="inlineStr">
        <is>
          <t>500 users</t>
        </is>
      </c>
      <c r="D3" s="39" t="inlineStr">
        <is>
          <t>1000 users</t>
        </is>
      </c>
      <c r="E3" s="39" t="inlineStr">
        <is>
          <t>3000+ users</t>
        </is>
      </c>
      <c r="F3" s="38" t="inlineStr">
        <is>
          <t>Simultaneous authenticated users</t>
        </is>
      </c>
    </row>
    <row r="4" ht="26" customHeight="1">
      <c r="A4" s="40" t="inlineStr">
        <is>
          <t>Endpoint Count</t>
        </is>
      </c>
      <c r="B4" s="41" t="inlineStr">
        <is>
          <t>Total Endpoints</t>
        </is>
      </c>
      <c r="C4" s="42" t="inlineStr">
        <is>
          <t>1000 endpoints</t>
        </is>
      </c>
      <c r="D4" s="42" t="inlineStr">
        <is>
          <t>2000 endpoints</t>
        </is>
      </c>
      <c r="E4" s="42" t="inlineStr">
        <is>
          <t>5000+ endpoints</t>
        </is>
      </c>
      <c r="F4" s="41" t="inlineStr">
        <is>
          <t>All network devices requiring auth</t>
        </is>
      </c>
    </row>
    <row r="5" ht="26" customHeight="1">
      <c r="A5" s="37" t="inlineStr">
        <is>
          <t>ISE Appliance</t>
        </is>
      </c>
      <c r="B5" s="38" t="inlineStr">
        <is>
          <t>Appliance Model</t>
        </is>
      </c>
      <c r="C5" s="39" t="inlineStr">
        <is>
          <t>ISE 3595 (small)</t>
        </is>
      </c>
      <c r="D5" s="39" t="inlineStr">
        <is>
          <t>ISE 3615 (medium)</t>
        </is>
      </c>
      <c r="E5" s="39" t="inlineStr">
        <is>
          <t>ISE 3655 (large)</t>
        </is>
      </c>
      <c r="F5" s="38" t="inlineStr">
        <is>
          <t>Hardware appliance sizing</t>
        </is>
      </c>
    </row>
    <row r="6" ht="26" customHeight="1">
      <c r="A6" s="40" t="inlineStr">
        <is>
          <t>High Availability</t>
        </is>
      </c>
      <c r="B6" s="41" t="inlineStr">
        <is>
          <t>Deployment</t>
        </is>
      </c>
      <c r="C6" s="42" t="inlineStr">
        <is>
          <t>Primary only</t>
        </is>
      </c>
      <c r="D6" s="42" t="inlineStr">
        <is>
          <t>Primary + Secondary</t>
        </is>
      </c>
      <c r="E6" s="42" t="inlineStr">
        <is>
          <t>Multi-site HA cluster</t>
        </is>
      </c>
      <c r="F6" s="41" t="inlineStr">
        <is>
          <t>Redundancy and geographic distribution</t>
        </is>
      </c>
    </row>
    <row r="7" ht="26" customHeight="1">
      <c r="A7" s="37" t="inlineStr">
        <is>
          <t>Software License</t>
        </is>
      </c>
      <c r="B7" s="38" t="inlineStr">
        <is>
          <t>License Tier</t>
        </is>
      </c>
      <c r="C7" s="39" t="inlineStr">
        <is>
          <t>ISE Base</t>
        </is>
      </c>
      <c r="D7" s="39" t="inlineStr">
        <is>
          <t>ISE Plus</t>
        </is>
      </c>
      <c r="E7" s="39" t="inlineStr">
        <is>
          <t>ISE Apex</t>
        </is>
      </c>
      <c r="F7" s="38" t="inlineStr">
        <is>
          <t>Feature set (Base Plus includes TrustSec)</t>
        </is>
      </c>
    </row>
    <row r="8" ht="26" customHeight="1">
      <c r="A8" s="40" t="inlineStr">
        <is>
          <t>Device Administration</t>
        </is>
      </c>
      <c r="B8" s="41" t="inlineStr">
        <is>
          <t>TACACS Licenses</t>
        </is>
      </c>
      <c r="C8" s="42" t="inlineStr">
        <is>
          <t>100 devices</t>
        </is>
      </c>
      <c r="D8" s="42" t="inlineStr">
        <is>
          <t>500 devices</t>
        </is>
      </c>
      <c r="E8" s="42" t="inlineStr">
        <is>
          <t>1000+ devices</t>
        </is>
      </c>
      <c r="F8" s="41" t="inlineStr">
        <is>
          <t>Network device admin AAA (optional)</t>
        </is>
      </c>
    </row>
    <row r="9" ht="26" customHeight="1">
      <c r="A9" s="37" t="inlineStr">
        <is>
          <t>Support Level</t>
        </is>
      </c>
      <c r="B9" s="38" t="inlineStr">
        <is>
          <t>SmartNet</t>
        </is>
      </c>
      <c r="C9" s="39" t="inlineStr">
        <is>
          <t>8x5xNBD</t>
        </is>
      </c>
      <c r="D9" s="39" t="inlineStr">
        <is>
          <t>24x7x4</t>
        </is>
      </c>
      <c r="E9" s="39" t="inlineStr">
        <is>
          <t>24x7x2</t>
        </is>
      </c>
      <c r="F9" s="38" t="inlineStr">
        <is>
          <t>Hardware replacement SLA</t>
        </is>
      </c>
    </row>
  </sheetData>
  <autoFilter ref="A2:F9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Cisco ISE 3615 Appliance</t>
        </is>
      </c>
      <c r="C3" s="44" t="inlineStr">
        <is>
          <t>Primary ISE node (3000 endpoint capacity)</t>
        </is>
      </c>
      <c r="D3" s="45" t="n">
        <v>1</v>
      </c>
      <c r="E3" s="44" t="inlineStr">
        <is>
          <t>Appliance</t>
        </is>
      </c>
      <c r="F3" s="46" t="n">
        <v>40000</v>
      </c>
      <c r="G3" s="46" t="n">
        <v>40000</v>
      </c>
      <c r="H3" s="46" t="n">
        <v>0</v>
      </c>
      <c r="I3" s="46" t="n">
        <v>0</v>
      </c>
      <c r="J3" s="46" t="n">
        <v>40000</v>
      </c>
      <c r="K3" s="44" t="inlineStr">
        <is>
          <t>Primary policy service node</t>
        </is>
      </c>
    </row>
    <row r="4" ht="26" customHeight="1">
      <c r="A4" s="47" t="inlineStr">
        <is>
          <t>Hardware</t>
        </is>
      </c>
      <c r="B4" s="48" t="inlineStr">
        <is>
          <t>Cisco ISE 3615 Secondary</t>
        </is>
      </c>
      <c r="C4" s="48" t="inlineStr">
        <is>
          <t>Secondary ISE for high availability</t>
        </is>
      </c>
      <c r="D4" s="49" t="n">
        <v>1</v>
      </c>
      <c r="E4" s="48" t="inlineStr">
        <is>
          <t>Appliance</t>
        </is>
      </c>
      <c r="F4" s="50" t="n">
        <v>40000</v>
      </c>
      <c r="G4" s="50" t="n">
        <v>40000</v>
      </c>
      <c r="H4" s="50" t="n">
        <v>0</v>
      </c>
      <c r="I4" s="50" t="n">
        <v>0</v>
      </c>
      <c r="J4" s="50" t="n">
        <v>40000</v>
      </c>
      <c r="K4" s="48" t="inlineStr">
        <is>
          <t>HA redundancy and failover</t>
        </is>
      </c>
    </row>
    <row r="5" ht="26" customHeight="1">
      <c r="A5" s="43" t="inlineStr">
        <is>
          <t>Software</t>
        </is>
      </c>
      <c r="B5" s="44" t="inlineStr">
        <is>
          <t>ISE Plus 3000 Endpoint License</t>
        </is>
      </c>
      <c r="C5" s="44" t="inlineStr">
        <is>
          <t>Includes TrustSec BYOD profiling (3000 endpoints)</t>
        </is>
      </c>
      <c r="D5" s="45" t="n">
        <v>1</v>
      </c>
      <c r="E5" s="44" t="inlineStr">
        <is>
          <t>License/Year</t>
        </is>
      </c>
      <c r="F5" s="46" t="n">
        <v>50000</v>
      </c>
      <c r="G5" s="46">
        <f>D5*F5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NAC and segmentation features</t>
        </is>
      </c>
    </row>
    <row r="6" ht="26" customHeight="1">
      <c r="A6" s="47" t="inlineStr">
        <is>
          <t>Software</t>
        </is>
      </c>
      <c r="B6" s="48" t="inlineStr">
        <is>
          <t>ISE Device Admin License</t>
        </is>
      </c>
      <c r="C6" s="48" t="inlineStr">
        <is>
          <t>TACACS+ for network device admin (500 devices)</t>
        </is>
      </c>
      <c r="D6" s="49" t="n">
        <v>500</v>
      </c>
      <c r="E6" s="48" t="inlineStr">
        <is>
          <t>Devices/Year</t>
        </is>
      </c>
      <c r="F6" s="50" t="n">
        <v>50</v>
      </c>
      <c r="G6" s="50">
        <f>D6*F6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Network device AAA (optional)</t>
        </is>
      </c>
    </row>
    <row r="7" ht="26" customHeight="1">
      <c r="A7" s="43" t="inlineStr">
        <is>
          <t>Integration</t>
        </is>
      </c>
      <c r="B7" s="44" t="inlineStr">
        <is>
          <t>Active Directory Connector</t>
        </is>
      </c>
      <c r="C7" s="44" t="inlineStr">
        <is>
          <t>AD integration (included with ISE)</t>
        </is>
      </c>
      <c r="D7" s="45" t="n">
        <v>1</v>
      </c>
      <c r="E7" s="44" t="inlineStr">
        <is>
          <t>Integration</t>
        </is>
      </c>
      <c r="F7" s="46" t="n">
        <v>0</v>
      </c>
      <c r="G7" s="46">
        <f>D7*F7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Identity source integration</t>
        </is>
      </c>
    </row>
    <row r="8" ht="26" customHeight="1">
      <c r="A8" s="47" t="inlineStr">
        <is>
          <t>Support</t>
        </is>
      </c>
      <c r="B8" s="48" t="inlineStr">
        <is>
          <t>Cisco SmartNet 8x5xNBD</t>
        </is>
      </c>
      <c r="C8" s="48" t="inlineStr">
        <is>
          <t>Hardware support for ISE appliances</t>
        </is>
      </c>
      <c r="D8" s="49" t="n">
        <v>2</v>
      </c>
      <c r="E8" s="48" t="inlineStr">
        <is>
          <t>Appliances/Year</t>
        </is>
      </c>
      <c r="F8" s="50" t="n">
        <v>8000</v>
      </c>
      <c r="G8" s="50">
        <f>D8*F8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Business hours support NBD replacement</t>
        </is>
      </c>
    </row>
    <row r="9" ht="26" customHeight="1">
      <c r="A9" s="43" t="inlineStr">
        <is>
          <t>Support</t>
        </is>
      </c>
      <c r="B9" s="44" t="inlineStr">
        <is>
          <t>Software Subscription &amp; Support</t>
        </is>
      </c>
      <c r="C9" s="44" t="inlineStr">
        <is>
          <t>ISE software updates and technical support</t>
        </is>
      </c>
      <c r="D9" s="45" t="n">
        <v>1</v>
      </c>
      <c r="E9" s="44" t="inlineStr">
        <is>
          <t>Subscription/Year</t>
        </is>
      </c>
      <c r="F9" s="46" t="n">
        <v>15000</v>
      </c>
      <c r="G9" s="46">
        <f>D9*F9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Annual software maintenance</t>
        </is>
      </c>
    </row>
    <row r="10" ht="26" customHeight="1">
      <c r="A10" s="47" t="inlineStr">
        <is>
          <t>Professional Services</t>
        </is>
      </c>
      <c r="B10" s="48" t="inlineStr">
        <is>
          <t>Design &amp; Requirements Workshop</t>
        </is>
      </c>
      <c r="C10" s="48" t="inlineStr">
        <is>
          <t>Access policy design and requirements gathering</t>
        </is>
      </c>
      <c r="D10" s="49" t="n">
        <v>40</v>
      </c>
      <c r="E10" s="48" t="inlineStr">
        <is>
          <t>Hours</t>
        </is>
      </c>
      <c r="F10" s="50" t="n">
        <v>225</v>
      </c>
      <c r="G10" s="50">
        <f>D10*F10</f>
        <v/>
      </c>
      <c r="H10" s="50">
        <f>G10*0</f>
        <v/>
      </c>
      <c r="I10" s="50">
        <f>G10*0</f>
        <v/>
      </c>
      <c r="J10" s="50">
        <f>G10+H10+I10</f>
        <v/>
      </c>
      <c r="K10" s="48" t="inlineStr">
        <is>
          <t>Policy framework and architecture</t>
        </is>
      </c>
    </row>
    <row r="11" ht="26" customHeight="1">
      <c r="A11" s="43" t="inlineStr">
        <is>
          <t>Professional Services</t>
        </is>
      </c>
      <c r="B11" s="44" t="inlineStr">
        <is>
          <t>ISE Deployment &amp; Configuration</t>
        </is>
      </c>
      <c r="C11" s="44" t="inlineStr">
        <is>
          <t>Appliance deployment and base configuration</t>
        </is>
      </c>
      <c r="D11" s="45" t="n">
        <v>80</v>
      </c>
      <c r="E11" s="44" t="inlineStr">
        <is>
          <t>Hours</t>
        </is>
      </c>
      <c r="F11" s="46" t="n">
        <v>225</v>
      </c>
      <c r="G11" s="46">
        <f>D11*F11</f>
        <v/>
      </c>
      <c r="H11" s="46">
        <f>G11*0</f>
        <v/>
      </c>
      <c r="I11" s="46">
        <f>G11*0</f>
        <v/>
      </c>
      <c r="J11" s="46">
        <f>G11+H11+I11</f>
        <v/>
      </c>
      <c r="K11" s="44" t="inlineStr">
        <is>
          <t>Installation and initial setup</t>
        </is>
      </c>
    </row>
    <row r="12" ht="26" customHeight="1">
      <c r="A12" s="47" t="inlineStr">
        <is>
          <t>Professional Services</t>
        </is>
      </c>
      <c r="B12" s="48" t="inlineStr">
        <is>
          <t>Policy Configuration</t>
        </is>
      </c>
      <c r="C12" s="48" t="inlineStr">
        <is>
          <t>802.1X authentication and TrustSec policies</t>
        </is>
      </c>
      <c r="D12" s="49" t="n">
        <v>60</v>
      </c>
      <c r="E12" s="48" t="inlineStr">
        <is>
          <t>Hours</t>
        </is>
      </c>
      <c r="F12" s="50" t="n">
        <v>200</v>
      </c>
      <c r="G12" s="50">
        <f>D12*F12</f>
        <v/>
      </c>
      <c r="H12" s="50">
        <f>G12*0</f>
        <v/>
      </c>
      <c r="I12" s="50">
        <f>G12*0</f>
        <v/>
      </c>
      <c r="J12" s="50">
        <f>G12+H12+I12</f>
        <v/>
      </c>
      <c r="K12" s="48" t="inlineStr">
        <is>
          <t>Authentication authorization policies</t>
        </is>
      </c>
    </row>
    <row r="13" ht="26" customHeight="1">
      <c r="A13" s="43" t="inlineStr">
        <is>
          <t>Professional Services</t>
        </is>
      </c>
      <c r="B13" s="44" t="inlineStr">
        <is>
          <t>BYOD &amp; Guest Portal Setup</t>
        </is>
      </c>
      <c r="C13" s="44" t="inlineStr">
        <is>
          <t>Self-service BYOD and guest portals</t>
        </is>
      </c>
      <c r="D13" s="45" t="n">
        <v>40</v>
      </c>
      <c r="E13" s="44" t="inlineStr">
        <is>
          <t>Hours</t>
        </is>
      </c>
      <c r="F13" s="46" t="n">
        <v>200</v>
      </c>
      <c r="G13" s="46">
        <f>D13*F13</f>
        <v/>
      </c>
      <c r="H13" s="46">
        <f>G13*0</f>
        <v/>
      </c>
      <c r="I13" s="46">
        <f>G13*0</f>
        <v/>
      </c>
      <c r="J13" s="46">
        <f>G13+H13+I13</f>
        <v/>
      </c>
      <c r="K13" s="44" t="inlineStr">
        <is>
          <t>Portal customization and workflows</t>
        </is>
      </c>
    </row>
    <row r="14" ht="26" customHeight="1">
      <c r="A14" s="47" t="inlineStr">
        <is>
          <t>Professional Services</t>
        </is>
      </c>
      <c r="B14" s="48" t="inlineStr">
        <is>
          <t>Network Infrastructure Integration</t>
        </is>
      </c>
      <c r="C14" s="48" t="inlineStr">
        <is>
          <t>Switch and wireless controller integration</t>
        </is>
      </c>
      <c r="D14" s="49" t="n">
        <v>50</v>
      </c>
      <c r="E14" s="48" t="inlineStr">
        <is>
          <t>Hours</t>
        </is>
      </c>
      <c r="F14" s="50" t="n">
        <v>200</v>
      </c>
      <c r="G14" s="50">
        <f>D14*F14</f>
        <v/>
      </c>
      <c r="H14" s="50">
        <f>G14*0</f>
        <v/>
      </c>
      <c r="I14" s="50">
        <f>G14*0</f>
        <v/>
      </c>
      <c r="J14" s="50">
        <f>G14+H14+I14</f>
        <v/>
      </c>
      <c r="K14" s="48" t="inlineStr">
        <is>
          <t>802.1X enablement on network devices</t>
        </is>
      </c>
    </row>
    <row r="15" ht="26" customHeight="1">
      <c r="A15" s="43" t="inlineStr">
        <is>
          <t>Professional Services</t>
        </is>
      </c>
      <c r="B15" s="44" t="inlineStr">
        <is>
          <t>Active Directory Integration</t>
        </is>
      </c>
      <c r="C15" s="44" t="inlineStr">
        <is>
          <t>AD connector setup and testing</t>
        </is>
      </c>
      <c r="D15" s="45" t="n">
        <v>30</v>
      </c>
      <c r="E15" s="44" t="inlineStr">
        <is>
          <t>Hours</t>
        </is>
      </c>
      <c r="F15" s="46" t="n">
        <v>200</v>
      </c>
      <c r="G15" s="46">
        <f>D15*F15</f>
        <v/>
      </c>
      <c r="H15" s="46">
        <f>G15*0</f>
        <v/>
      </c>
      <c r="I15" s="46">
        <f>G15*0</f>
        <v/>
      </c>
      <c r="J15" s="46">
        <f>G15+H15+I15</f>
        <v/>
      </c>
      <c r="K15" s="44" t="inlineStr">
        <is>
          <t>Identity source configuration</t>
        </is>
      </c>
    </row>
    <row r="16" ht="26" customHeight="1">
      <c r="A16" s="47" t="inlineStr">
        <is>
          <t>Professional Services</t>
        </is>
      </c>
      <c r="B16" s="48" t="inlineStr">
        <is>
          <t>Testing &amp; Validation</t>
        </is>
      </c>
      <c r="C16" s="48" t="inlineStr">
        <is>
          <t>Pilot testing and policy validation</t>
        </is>
      </c>
      <c r="D16" s="49" t="n">
        <v>40</v>
      </c>
      <c r="E16" s="48" t="inlineStr">
        <is>
          <t>Hours</t>
        </is>
      </c>
      <c r="F16" s="50" t="n">
        <v>175</v>
      </c>
      <c r="G16" s="50">
        <f>D16*F16</f>
        <v/>
      </c>
      <c r="H16" s="50">
        <f>G16*0</f>
        <v/>
      </c>
      <c r="I16" s="50">
        <f>G16*0</f>
        <v/>
      </c>
      <c r="J16" s="50">
        <f>G16+H16+I16</f>
        <v/>
      </c>
      <c r="K16" s="48" t="inlineStr">
        <is>
          <t>User acceptance testing</t>
        </is>
      </c>
    </row>
    <row r="17" ht="26" customHeight="1">
      <c r="A17" s="43" t="inlineStr">
        <is>
          <t>Professional Services</t>
        </is>
      </c>
      <c r="B17" s="44" t="inlineStr">
        <is>
          <t>Training</t>
        </is>
      </c>
      <c r="C17" s="44" t="inlineStr">
        <is>
          <t>Administrator and helpdesk training</t>
        </is>
      </c>
      <c r="D17" s="45" t="n">
        <v>24</v>
      </c>
      <c r="E17" s="44" t="inlineStr">
        <is>
          <t>Hours</t>
        </is>
      </c>
      <c r="F17" s="46" t="n">
        <v>175</v>
      </c>
      <c r="G17" s="46">
        <f>D17*F17</f>
        <v/>
      </c>
      <c r="H17" s="46">
        <f>G17*0</f>
        <v/>
      </c>
      <c r="I17" s="46">
        <f>G17*0</f>
        <v/>
      </c>
      <c r="J17" s="46">
        <f>G17+H17+I17</f>
        <v/>
      </c>
      <c r="K17" s="44" t="inlineStr">
        <is>
          <t>Knowledge transfer and enablement</t>
        </is>
      </c>
    </row>
    <row r="18" ht="26" customHeight="1">
      <c r="A18" s="51" t="inlineStr">
        <is>
          <t>TOTAL</t>
        </is>
      </c>
      <c r="B18" s="52" t="n"/>
      <c r="C18" s="52" t="n"/>
      <c r="D18" s="52" t="n"/>
      <c r="E18" s="52" t="n"/>
      <c r="F18" s="52" t="n"/>
      <c r="G18" s="53">
        <f>SUM(G3:G17)</f>
        <v/>
      </c>
      <c r="H18" s="53">
        <f>SUM(H3:H17)</f>
        <v/>
      </c>
      <c r="I18" s="53">
        <f>SUM(I3:I17)</f>
        <v/>
      </c>
      <c r="J18" s="53">
        <f>SUM(J3:J17)</f>
        <v/>
      </c>
      <c r="K18" s="52" t="n"/>
    </row>
  </sheetData>
  <autoFilter ref="A2:K18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Trade-In Credit</t>
        </is>
      </c>
      <c r="C3" s="46" t="n">
        <v>0</v>
      </c>
      <c r="D3" s="44" t="inlineStr">
        <is>
          <t>No hardware trade-in available</t>
        </is>
      </c>
    </row>
    <row r="4" ht="26" customHeight="1">
      <c r="A4" s="47" t="inlineStr">
        <is>
          <t>Software</t>
        </is>
      </c>
      <c r="B4" s="48" t="inlineStr">
        <is>
          <t>Security Promotion</t>
        </is>
      </c>
      <c r="C4" s="50" t="n">
        <v>-10000</v>
      </c>
      <c r="D4" s="48" t="inlineStr">
        <is>
          <t>Year 1 ISE license 20% discount promotion</t>
        </is>
      </c>
    </row>
    <row r="5" ht="26" customHeight="1">
      <c r="A5" s="43" t="inlineStr">
        <is>
          <t>Support</t>
        </is>
      </c>
      <c r="B5" s="44" t="inlineStr">
        <is>
          <t>Support Renewal</t>
        </is>
      </c>
      <c r="C5" s="46" t="n">
        <v>0</v>
      </c>
      <c r="D5" s="44" t="inlineStr">
        <is>
          <t>No support renewal credits</t>
        </is>
      </c>
    </row>
    <row r="6" ht="26" customHeight="1">
      <c r="A6" s="47" t="inlineStr">
        <is>
          <t>Professional Services</t>
        </is>
      </c>
      <c r="B6" s="48" t="inlineStr">
        <is>
          <t>Implementation Credit</t>
        </is>
      </c>
      <c r="C6" s="50" t="n">
        <v>0</v>
      </c>
      <c r="D6" s="48" t="inlineStr">
        <is>
          <t>No services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2025-11-23T00:44:31Z</dcterms:modified>
  <cp:lastModifiedBy>Kishan Siram</cp:lastModifiedBy>
</cp:coreProperties>
</file>