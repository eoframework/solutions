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5500" tabRatio="600" firstSheet="0" activeTab="2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All Categories (Read Only)" sheetId="2" state="visible" r:id="rId2"/>
    <sheet xmlns:r="http://schemas.openxmlformats.org/officeDocument/2006/relationships" name="Business Requirements" sheetId="3" state="visible" r:id="rId3"/>
    <sheet xmlns:r="http://schemas.openxmlformats.org/officeDocument/2006/relationships" name="Technical Requirements" sheetId="4" state="visible" r:id="rId4"/>
    <sheet xmlns:r="http://schemas.openxmlformats.org/officeDocument/2006/relationships" name="Security &amp; Compliance" sheetId="5" state="visible" r:id="rId5"/>
    <sheet xmlns:r="http://schemas.openxmlformats.org/officeDocument/2006/relationships" name="Operations &amp; Support" sheetId="6" state="visible" r:id="rId6"/>
    <sheet xmlns:r="http://schemas.openxmlformats.org/officeDocument/2006/relationships" name="Implementation Planning" sheetId="7" state="visible" r:id="rId7"/>
    <sheet xmlns:r="http://schemas.openxmlformats.org/officeDocument/2006/relationships" name="Risk &amp; Constraints" sheetId="8" state="visible" r:id="rId8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17">
    <font>
      <name val="Calibri"/>
      <family val="2"/>
      <color theme="1"/>
      <sz val="11"/>
      <scheme val="minor"/>
    </font>
    <font>
      <name val="Segoe UI"/>
      <b val="1"/>
      <color rgb="FF5D6D7E"/>
      <sz val="12"/>
    </font>
    <font>
      <name val="Calibri"/>
      <color rgb="FF2C3E50"/>
      <sz val="12"/>
    </font>
    <font>
      <name val="Segoe UI"/>
      <color rgb="FFCC0000"/>
      <sz val="12"/>
    </font>
    <font>
      <name val="Calibri"/>
      <color rgb="FF5D6D7E"/>
      <sz val="11"/>
      <u val="single"/>
    </font>
    <font>
      <name val="Calibri"/>
      <b val="1"/>
      <color rgb="FFCC0000"/>
      <sz val="12"/>
    </font>
    <font>
      <name val="Calibri"/>
      <family val="2"/>
      <b val="1"/>
      <color rgb="FFFFFFFF"/>
      <sz val="12"/>
      <scheme val="minor"/>
    </font>
    <font>
      <name val="Calibri"/>
      <family val="2"/>
      <b val="1"/>
      <color theme="1"/>
      <sz val="12"/>
      <scheme val="minor"/>
    </font>
    <font>
      <name val="Calibri"/>
      <family val="2"/>
      <color rgb="FF5D6D7E"/>
      <sz val="14"/>
      <scheme val="minor"/>
    </font>
    <font>
      <name val="Calibri"/>
      <family val="2"/>
      <color rgb="FF2C3E50"/>
      <sz val="26"/>
      <scheme val="minor"/>
    </font>
    <font>
      <name val="Calibri"/>
      <sz val="11"/>
    </font>
    <font>
      <name val="Calibri"/>
      <family val="2"/>
      <b val="1"/>
      <sz val="12"/>
    </font>
    <font>
      <name val="Calibri"/>
      <family val="2"/>
      <color rgb="FF2C3E50"/>
      <sz val="11"/>
    </font>
    <font>
      <name val="Calibri"/>
      <family val="2"/>
      <sz val="11"/>
    </font>
    <font>
      <name val="Calibri"/>
      <family val="2"/>
      <b val="1"/>
      <color rgb="FFCC0000"/>
      <sz val="11"/>
    </font>
    <font>
      <name val="Calibri"/>
      <b val="1"/>
      <color rgb="FFFFFFFF"/>
      <sz val="12"/>
    </font>
    <font>
      <name val="Calibri"/>
      <b val="1"/>
      <color rgb="FF2C3E50"/>
      <sz val="12"/>
    </font>
  </fonts>
  <fills count="12">
    <fill>
      <patternFill/>
    </fill>
    <fill>
      <patternFill patternType="gray125"/>
    </fill>
    <fill>
      <patternFill patternType="solid">
        <fgColor rgb="FFCC0000"/>
        <bgColor rgb="FFCC0000"/>
      </patternFill>
    </fill>
    <fill>
      <patternFill patternType="solid">
        <fgColor rgb="FF2C3E50"/>
        <bgColor rgb="FF2C3E50"/>
      </patternFill>
    </fill>
    <fill>
      <patternFill patternType="solid">
        <fgColor rgb="FFF8FAFB"/>
        <bgColor rgb="FFF8FAFB"/>
      </patternFill>
    </fill>
    <fill>
      <patternFill patternType="solid">
        <fgColor rgb="FFE8F4F8"/>
        <bgColor rgb="FFE8F4F8"/>
      </patternFill>
    </fill>
    <fill>
      <patternFill patternType="solid">
        <fgColor rgb="FFFFF2CC"/>
        <bgColor rgb="FFFFF2CC"/>
      </patternFill>
    </fill>
    <fill>
      <patternFill patternType="solid">
        <fgColor rgb="FFD1ECF1"/>
        <bgColor rgb="FFD1ECF1"/>
      </patternFill>
    </fill>
    <fill>
      <patternFill patternType="solid">
        <fgColor rgb="FFE8F5E9"/>
        <bgColor rgb="FFE8F5E9"/>
      </patternFill>
    </fill>
    <fill>
      <patternFill patternType="solid">
        <fgColor rgb="FFE8F4F8"/>
        <bgColor indexed="64"/>
      </patternFill>
    </fill>
    <fill>
      <patternFill patternType="solid">
        <fgColor rgb="00FFF2CC"/>
        <bgColor rgb="00FFF2CC"/>
      </patternFill>
    </fill>
    <fill>
      <patternFill patternType="solid">
        <fgColor rgb="00FFFFFF"/>
        <bgColor rgb="00FFFFFF"/>
      </patternFill>
    </fill>
  </fills>
  <borders count="6">
    <border>
      <left/>
      <right/>
      <top/>
      <bottom/>
      <diagonal/>
    </border>
    <border>
      <left style="thin">
        <color rgb="FFBDC3C7"/>
      </left>
      <right style="thin">
        <color rgb="FFBDC3C7"/>
      </right>
      <top style="thin">
        <color rgb="FFBDC3C7"/>
      </top>
      <bottom style="medium">
        <color rgb="FF2C3E50"/>
      </bottom>
      <diagonal/>
    </border>
    <border>
      <left style="thin">
        <color rgb="FFDEE2E6"/>
      </left>
      <right style="thin">
        <color rgb="FFDEE2E6"/>
      </right>
      <top style="thin">
        <color rgb="FFDEE2E6"/>
      </top>
      <bottom style="thin">
        <color rgb="FFDEE2E6"/>
      </bottom>
      <diagonal/>
    </border>
    <border>
      <left/>
      <right/>
      <top/>
      <bottom style="thin">
        <color rgb="FFBDC3C7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2">
    <xf numFmtId="0" fontId="0" fillId="0" borderId="0" pivotButton="0" quotePrefix="0" xfId="0"/>
    <xf numFmtId="0" fontId="0" fillId="2" borderId="0" pivotButton="0" quotePrefix="0" xfId="0"/>
    <xf numFmtId="0" fontId="1" fillId="0" borderId="0" applyAlignment="1" pivotButton="0" quotePrefix="0" xfId="0">
      <alignment horizontal="right" vertical="center"/>
    </xf>
    <xf numFmtId="0" fontId="2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left" vertical="top"/>
    </xf>
    <xf numFmtId="0" fontId="2" fillId="4" borderId="2" applyAlignment="1" pivotButton="0" quotePrefix="0" xfId="0">
      <alignment horizontal="left" vertical="center" wrapText="1" indent="1"/>
    </xf>
    <xf numFmtId="0" fontId="2" fillId="4" borderId="2" applyAlignment="1" pivotButton="0" quotePrefix="0" xfId="0">
      <alignment horizontal="right" vertical="center" wrapText="1" indent="1"/>
    </xf>
    <xf numFmtId="164" fontId="2" fillId="4" borderId="2" applyAlignment="1" pivotButton="0" quotePrefix="0" xfId="0">
      <alignment horizontal="right" vertical="center" wrapText="1" indent="1"/>
    </xf>
    <xf numFmtId="0" fontId="2" fillId="0" borderId="2" applyAlignment="1" pivotButton="0" quotePrefix="0" xfId="0">
      <alignment horizontal="left" vertical="center" wrapText="1" indent="1"/>
    </xf>
    <xf numFmtId="0" fontId="2" fillId="0" borderId="2" applyAlignment="1" pivotButton="0" quotePrefix="0" xfId="0">
      <alignment horizontal="right" vertical="center" wrapText="1" indent="1"/>
    </xf>
    <xf numFmtId="164" fontId="2" fillId="0" borderId="2" applyAlignment="1" pivotButton="0" quotePrefix="0" xfId="0">
      <alignment horizontal="right" vertical="center" wrapText="1" indent="1"/>
    </xf>
    <xf numFmtId="0" fontId="0" fillId="5" borderId="2" pivotButton="0" quotePrefix="0" xfId="0"/>
    <xf numFmtId="164" fontId="5" fillId="5" borderId="2" applyAlignment="1" pivotButton="0" quotePrefix="0" xfId="0">
      <alignment horizontal="right" vertical="center" wrapText="1" indent="1"/>
    </xf>
    <xf numFmtId="0" fontId="6" fillId="3" borderId="1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left" vertical="center"/>
    </xf>
    <xf numFmtId="0" fontId="9" fillId="0" borderId="0" applyAlignment="1" pivotButton="0" quotePrefix="0" xfId="0">
      <alignment horizontal="left" vertical="center"/>
    </xf>
    <xf numFmtId="0" fontId="11" fillId="7" borderId="4" applyAlignment="1" pivotButton="0" quotePrefix="0" xfId="0">
      <alignment horizontal="center" vertical="center"/>
    </xf>
    <xf numFmtId="0" fontId="11" fillId="8" borderId="4" applyAlignment="1" pivotButton="0" quotePrefix="0" xfId="0">
      <alignment horizontal="center" vertical="center"/>
    </xf>
    <xf numFmtId="9" fontId="11" fillId="8" borderId="4" applyAlignment="1" pivotButton="0" quotePrefix="0" xfId="0">
      <alignment horizontal="center" vertical="center"/>
    </xf>
    <xf numFmtId="0" fontId="14" fillId="5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/>
    </xf>
    <xf numFmtId="164" fontId="12" fillId="4" borderId="2" applyAlignment="1" pivotButton="0" quotePrefix="0" xfId="0">
      <alignment horizontal="right" wrapText="1"/>
    </xf>
    <xf numFmtId="164" fontId="12" fillId="0" borderId="2" applyAlignment="1" pivotButton="0" quotePrefix="0" xfId="0">
      <alignment horizontal="right" wrapText="1"/>
    </xf>
    <xf numFmtId="164" fontId="12" fillId="4" borderId="2" applyAlignment="1" pivotButton="0" quotePrefix="0" xfId="0">
      <alignment horizontal="right" wrapText="1" indent="1"/>
    </xf>
    <xf numFmtId="164" fontId="12" fillId="0" borderId="2" applyAlignment="1" pivotButton="0" quotePrefix="0" xfId="0">
      <alignment horizontal="right" wrapText="1" indent="1"/>
    </xf>
    <xf numFmtId="164" fontId="14" fillId="5" borderId="2" applyAlignment="1" pivotButton="0" quotePrefix="0" xfId="0">
      <alignment horizontal="right" wrapText="1" indent="1"/>
    </xf>
    <xf numFmtId="0" fontId="12" fillId="4" borderId="2" applyAlignment="1" pivotButton="0" quotePrefix="0" xfId="0">
      <alignment horizontal="right" vertical="center" wrapText="1"/>
    </xf>
    <xf numFmtId="0" fontId="12" fillId="0" borderId="2" applyAlignment="1" pivotButton="0" quotePrefix="0" xfId="0">
      <alignment horizontal="right" vertical="center" wrapText="1"/>
    </xf>
    <xf numFmtId="0" fontId="5" fillId="5" borderId="2" applyAlignment="1" pivotButton="0" quotePrefix="0" xfId="0">
      <alignment horizontal="center" vertical="center" wrapText="1"/>
    </xf>
    <xf numFmtId="0" fontId="10" fillId="6" borderId="4" applyAlignment="1" pivotButton="0" quotePrefix="0" xfId="0">
      <alignment horizontal="left" vertical="center" wrapText="1" indent="1"/>
    </xf>
    <xf numFmtId="0" fontId="12" fillId="4" borderId="2" applyAlignment="1" pivotButton="0" quotePrefix="0" xfId="0">
      <alignment horizontal="left" vertical="center" wrapText="1" indent="1"/>
    </xf>
    <xf numFmtId="0" fontId="12" fillId="0" borderId="2" applyAlignment="1" pivotButton="0" quotePrefix="0" xfId="0">
      <alignment horizontal="left" vertical="center" wrapText="1" indent="1"/>
    </xf>
    <xf numFmtId="0" fontId="13" fillId="6" borderId="4" applyAlignment="1" pivotButton="0" quotePrefix="0" xfId="0">
      <alignment horizontal="left" vertical="center" wrapText="1" indent="1"/>
    </xf>
    <xf numFmtId="0" fontId="7" fillId="9" borderId="3" applyAlignment="1" pivotButton="0" quotePrefix="0" xfId="0">
      <alignment horizontal="center" vertical="center"/>
    </xf>
    <xf numFmtId="0" fontId="16" fillId="7" borderId="5" applyAlignment="1" pivotButton="0" quotePrefix="0" xfId="0">
      <alignment horizontal="center" vertical="center"/>
    </xf>
    <xf numFmtId="0" fontId="16" fillId="8" borderId="5" applyAlignment="1" pivotButton="0" quotePrefix="0" xfId="0">
      <alignment horizontal="center" vertical="center"/>
    </xf>
    <xf numFmtId="9" fontId="16" fillId="8" borderId="5" applyAlignment="1" pivotButton="0" quotePrefix="0" xfId="0">
      <alignment horizontal="center" vertical="center"/>
    </xf>
    <xf numFmtId="0" fontId="15" fillId="3" borderId="5" applyAlignment="1" pivotButton="0" quotePrefix="0" xfId="0">
      <alignment horizontal="center" vertical="center" wrapText="1"/>
    </xf>
    <xf numFmtId="0" fontId="2" fillId="11" borderId="5" applyAlignment="1" pivotButton="0" quotePrefix="0" xfId="0">
      <alignment vertical="top" wrapText="1" indent="1"/>
    </xf>
    <xf numFmtId="0" fontId="2" fillId="10" borderId="5" applyAlignment="1" pivotButton="0" quotePrefix="0" xfId="0">
      <alignment vertical="top" wrapText="1" indent="1"/>
    </xf>
    <xf numFmtId="0" fontId="2" fillId="4" borderId="5" applyAlignment="1" pivotButton="0" quotePrefix="0" xfId="0">
      <alignment vertical="top" wrapText="1" indent="1"/>
    </xf>
  </cellXfs>
  <cellStyles count="1">
    <cellStyle name="Normal" xfId="0" builtinId="0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11</row>
      <rowOff>0</rowOff>
    </from>
    <ext cx="1238250" cy="314325"/>
    <pic>
      <nvPicPr>
        <cNvPr id="2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C12"/>
  <sheetViews>
    <sheetView workbookViewId="0">
      <selection activeCell="E24" sqref="E24"/>
    </sheetView>
  </sheetViews>
  <sheetFormatPr baseColWidth="8" defaultRowHeight="14.5"/>
  <cols>
    <col width="3" customWidth="1" min="1" max="1"/>
    <col width="25" customWidth="1" min="2" max="2"/>
    <col width="40" customWidth="1" min="3" max="3"/>
    <col width="3" customWidth="1" min="4" max="4"/>
  </cols>
  <sheetData>
    <row r="1" ht="15" customHeight="1">
      <c r="B1" s="1" t="n"/>
      <c r="C1" s="1" t="n"/>
    </row>
    <row r="2" ht="15" customHeight="1"/>
    <row r="3" ht="40" customHeight="1">
      <c r="B3" s="16" t="inlineStr">
        <is>
          <t>[DOCUMENT TITLE]</t>
        </is>
      </c>
    </row>
    <row r="4" ht="25" customHeight="1">
      <c r="B4" s="15" t="inlineStr">
        <is>
          <t>Discovery Questionnaire</t>
        </is>
      </c>
    </row>
    <row r="5" ht="30" customHeight="1">
      <c r="B5" t="inlineStr">
        <is>
          <t>Presales Document</t>
        </is>
      </c>
    </row>
    <row r="6" ht="18" customHeight="1">
      <c r="B6" s="2" t="inlineStr">
        <is>
          <t>Generated:</t>
        </is>
      </c>
      <c r="C6" s="3" t="inlineStr">
        <is>
          <t>November 16, 2025</t>
        </is>
      </c>
    </row>
    <row r="7" ht="18" customHeight="1">
      <c r="B7" s="2" t="inlineStr">
        <is>
          <t>Solution:</t>
        </is>
      </c>
      <c r="C7" s="3" t="inlineStr">
        <is>
          <t>November 22, 2025</t>
        </is>
      </c>
    </row>
    <row r="8" ht="18" customHeight="1">
      <c r="B8" s="2" t="inlineStr">
        <is>
          <t>Customer:</t>
        </is>
      </c>
      <c r="C8" s="3" t="inlineStr">
        <is>
          <t>Secure Access</t>
        </is>
      </c>
    </row>
    <row r="9" ht="18" customHeight="1">
      <c r="B9" s="2" t="inlineStr">
        <is>
          <t>Version:</t>
        </is>
      </c>
      <c r="C9" s="3" t="inlineStr">
        <is>
          <t>[Customer Name]</t>
        </is>
      </c>
    </row>
    <row r="10" ht="18" customHeight="1">
      <c r="B10" s="2" t="inlineStr">
        <is>
          <t>Status:</t>
        </is>
      </c>
      <c r="C10" s="4" t="inlineStr">
        <is>
          <t>Draft</t>
        </is>
      </c>
    </row>
    <row r="11" ht="40" customHeight="1"/>
    <row r="12" ht="30" customHeight="1">
      <c r="C12" s="5" t="inlineStr">
        <is>
          <t>eoframework.org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25" customWidth="1" min="3" max="3"/>
    <col width="50" customWidth="1" min="4" max="4"/>
    <col width="40" customWidth="1" min="5" max="5"/>
    <col width="40" customWidth="1" min="6" max="6"/>
    <col width="30" customWidth="1" min="7" max="7"/>
  </cols>
  <sheetData>
    <row r="1" ht="26" customHeight="1">
      <c r="A1" s="35" t="inlineStr">
        <is>
          <t>Total Questions</t>
        </is>
      </c>
      <c r="B1" s="35" t="inlineStr">
        <is>
          <t>Answered</t>
        </is>
      </c>
      <c r="C1" s="35" t="inlineStr">
        <is>
          <t>Remaining</t>
        </is>
      </c>
      <c r="D1" s="35" t="inlineStr">
        <is>
          <t>% Complete</t>
        </is>
      </c>
    </row>
    <row r="2" ht="26" customHeight="1">
      <c r="A2" s="36" t="n">
        <v>63</v>
      </c>
      <c r="B2" s="36">
        <f>SUMPRODUCT(--(LEN(F5:F67)&gt;0))</f>
        <v/>
      </c>
      <c r="C2" s="36">
        <f>A2-B2</f>
        <v/>
      </c>
      <c r="D2" s="37">
        <f>B2/A2</f>
        <v/>
      </c>
    </row>
    <row r="4" ht="32" customHeight="1">
      <c r="A4" s="38" t="inlineStr">
        <is>
          <t>Question ID</t>
        </is>
      </c>
      <c r="B4" s="38" t="inlineStr">
        <is>
          <t>Category</t>
        </is>
      </c>
      <c r="C4" s="38" t="inlineStr">
        <is>
          <t>Sub-Category</t>
        </is>
      </c>
      <c r="D4" s="38" t="inlineStr">
        <is>
          <t>Question</t>
        </is>
      </c>
      <c r="E4" s="38" t="inlineStr">
        <is>
          <t>Guidance</t>
        </is>
      </c>
      <c r="F4" s="38" t="inlineStr">
        <is>
          <t>Customer Response</t>
        </is>
      </c>
      <c r="G4" s="38" t="inlineStr">
        <is>
          <t>Notes</t>
        </is>
      </c>
    </row>
    <row r="5">
      <c r="A5" s="39">
        <f>IF('Business Requirements'!A2="","",'Business Requirements'!A2)</f>
        <v/>
      </c>
      <c r="B5" s="39">
        <f>IF('Business Requirements'!B2="","",'Business Requirements'!B2)</f>
        <v/>
      </c>
      <c r="C5" s="39">
        <f>IF('Business Requirements'!C2="","",'Business Requirements'!C2)</f>
        <v/>
      </c>
      <c r="D5" s="39">
        <f>IF('Business Requirements'!D2="","",'Business Requirements'!D2)</f>
        <v/>
      </c>
      <c r="E5" s="39">
        <f>IF('Business Requirements'!E2="","",'Business Requirements'!E2)</f>
        <v/>
      </c>
      <c r="F5" s="40">
        <f>IF('Business Requirements'!F2="","",'Business Requirements'!F2)</f>
        <v/>
      </c>
      <c r="G5" s="39">
        <f>IF('Business Requirements'!G2="","",'Business Requirements'!G2)</f>
        <v/>
      </c>
    </row>
    <row r="6">
      <c r="A6" s="41">
        <f>IF('Business Requirements'!A3="","",'Business Requirements'!A3)</f>
        <v/>
      </c>
      <c r="B6" s="41">
        <f>IF('Business Requirements'!B3="","",'Business Requirements'!B3)</f>
        <v/>
      </c>
      <c r="C6" s="41">
        <f>IF('Business Requirements'!C3="","",'Business Requirements'!C3)</f>
        <v/>
      </c>
      <c r="D6" s="41">
        <f>IF('Business Requirements'!D3="","",'Business Requirements'!D3)</f>
        <v/>
      </c>
      <c r="E6" s="41">
        <f>IF('Business Requirements'!E3="","",'Business Requirements'!E3)</f>
        <v/>
      </c>
      <c r="F6" s="40">
        <f>IF('Business Requirements'!F3="","",'Business Requirements'!F3)</f>
        <v/>
      </c>
      <c r="G6" s="41">
        <f>IF('Business Requirements'!G3="","",'Business Requirements'!G3)</f>
        <v/>
      </c>
    </row>
    <row r="7">
      <c r="A7" s="39">
        <f>IF('Business Requirements'!A4="","",'Business Requirements'!A4)</f>
        <v/>
      </c>
      <c r="B7" s="39">
        <f>IF('Business Requirements'!B4="","",'Business Requirements'!B4)</f>
        <v/>
      </c>
      <c r="C7" s="39">
        <f>IF('Business Requirements'!C4="","",'Business Requirements'!C4)</f>
        <v/>
      </c>
      <c r="D7" s="39">
        <f>IF('Business Requirements'!D4="","",'Business Requirements'!D4)</f>
        <v/>
      </c>
      <c r="E7" s="39">
        <f>IF('Business Requirements'!E4="","",'Business Requirements'!E4)</f>
        <v/>
      </c>
      <c r="F7" s="40">
        <f>IF('Business Requirements'!F4="","",'Business Requirements'!F4)</f>
        <v/>
      </c>
      <c r="G7" s="39">
        <f>IF('Business Requirements'!G4="","",'Business Requirements'!G4)</f>
        <v/>
      </c>
    </row>
    <row r="8">
      <c r="A8" s="41">
        <f>IF('Business Requirements'!A5="","",'Business Requirements'!A5)</f>
        <v/>
      </c>
      <c r="B8" s="41">
        <f>IF('Business Requirements'!B5="","",'Business Requirements'!B5)</f>
        <v/>
      </c>
      <c r="C8" s="41">
        <f>IF('Business Requirements'!C5="","",'Business Requirements'!C5)</f>
        <v/>
      </c>
      <c r="D8" s="41">
        <f>IF('Business Requirements'!D5="","",'Business Requirements'!D5)</f>
        <v/>
      </c>
      <c r="E8" s="41">
        <f>IF('Business Requirements'!E5="","",'Business Requirements'!E5)</f>
        <v/>
      </c>
      <c r="F8" s="40">
        <f>IF('Business Requirements'!F5="","",'Business Requirements'!F5)</f>
        <v/>
      </c>
      <c r="G8" s="41">
        <f>IF('Business Requirements'!G5="","",'Business Requirements'!G5)</f>
        <v/>
      </c>
    </row>
    <row r="9">
      <c r="A9" s="39">
        <f>IF('Business Requirements'!A6="","",'Business Requirements'!A6)</f>
        <v/>
      </c>
      <c r="B9" s="39">
        <f>IF('Business Requirements'!B6="","",'Business Requirements'!B6)</f>
        <v/>
      </c>
      <c r="C9" s="39">
        <f>IF('Business Requirements'!C6="","",'Business Requirements'!C6)</f>
        <v/>
      </c>
      <c r="D9" s="39">
        <f>IF('Business Requirements'!D6="","",'Business Requirements'!D6)</f>
        <v/>
      </c>
      <c r="E9" s="39">
        <f>IF('Business Requirements'!E6="","",'Business Requirements'!E6)</f>
        <v/>
      </c>
      <c r="F9" s="40">
        <f>IF('Business Requirements'!F6="","",'Business Requirements'!F6)</f>
        <v/>
      </c>
      <c r="G9" s="39">
        <f>IF('Business Requirements'!G6="","",'Business Requirements'!G6)</f>
        <v/>
      </c>
    </row>
    <row r="10">
      <c r="A10" s="41">
        <f>IF('Business Requirements'!A7="","",'Business Requirements'!A7)</f>
        <v/>
      </c>
      <c r="B10" s="41">
        <f>IF('Business Requirements'!B7="","",'Business Requirements'!B7)</f>
        <v/>
      </c>
      <c r="C10" s="41">
        <f>IF('Business Requirements'!C7="","",'Business Requirements'!C7)</f>
        <v/>
      </c>
      <c r="D10" s="41">
        <f>IF('Business Requirements'!D7="","",'Business Requirements'!D7)</f>
        <v/>
      </c>
      <c r="E10" s="41">
        <f>IF('Business Requirements'!E7="","",'Business Requirements'!E7)</f>
        <v/>
      </c>
      <c r="F10" s="40">
        <f>IF('Business Requirements'!F7="","",'Business Requirements'!F7)</f>
        <v/>
      </c>
      <c r="G10" s="41">
        <f>IF('Business Requirements'!G7="","",'Business Requirements'!G7)</f>
        <v/>
      </c>
    </row>
    <row r="11">
      <c r="A11" s="39">
        <f>IF('Business Requirements'!A8="","",'Business Requirements'!A8)</f>
        <v/>
      </c>
      <c r="B11" s="39">
        <f>IF('Business Requirements'!B8="","",'Business Requirements'!B8)</f>
        <v/>
      </c>
      <c r="C11" s="39">
        <f>IF('Business Requirements'!C8="","",'Business Requirements'!C8)</f>
        <v/>
      </c>
      <c r="D11" s="39">
        <f>IF('Business Requirements'!D8="","",'Business Requirements'!D8)</f>
        <v/>
      </c>
      <c r="E11" s="39">
        <f>IF('Business Requirements'!E8="","",'Business Requirements'!E8)</f>
        <v/>
      </c>
      <c r="F11" s="40">
        <f>IF('Business Requirements'!F8="","",'Business Requirements'!F8)</f>
        <v/>
      </c>
      <c r="G11" s="39">
        <f>IF('Business Requirements'!G8="","",'Business Requirements'!G8)</f>
        <v/>
      </c>
    </row>
    <row r="12">
      <c r="A12" s="41">
        <f>IF('Business Requirements'!A9="","",'Business Requirements'!A9)</f>
        <v/>
      </c>
      <c r="B12" s="41">
        <f>IF('Business Requirements'!B9="","",'Business Requirements'!B9)</f>
        <v/>
      </c>
      <c r="C12" s="41">
        <f>IF('Business Requirements'!C9="","",'Business Requirements'!C9)</f>
        <v/>
      </c>
      <c r="D12" s="41">
        <f>IF('Business Requirements'!D9="","",'Business Requirements'!D9)</f>
        <v/>
      </c>
      <c r="E12" s="41">
        <f>IF('Business Requirements'!E9="","",'Business Requirements'!E9)</f>
        <v/>
      </c>
      <c r="F12" s="40">
        <f>IF('Business Requirements'!F9="","",'Business Requirements'!F9)</f>
        <v/>
      </c>
      <c r="G12" s="41">
        <f>IF('Business Requirements'!G9="","",'Business Requirements'!G9)</f>
        <v/>
      </c>
    </row>
    <row r="13">
      <c r="A13" s="39">
        <f>IF('Business Requirements'!A10="","",'Business Requirements'!A10)</f>
        <v/>
      </c>
      <c r="B13" s="39">
        <f>IF('Business Requirements'!B10="","",'Business Requirements'!B10)</f>
        <v/>
      </c>
      <c r="C13" s="39">
        <f>IF('Business Requirements'!C10="","",'Business Requirements'!C10)</f>
        <v/>
      </c>
      <c r="D13" s="39">
        <f>IF('Business Requirements'!D10="","",'Business Requirements'!D10)</f>
        <v/>
      </c>
      <c r="E13" s="39">
        <f>IF('Business Requirements'!E10="","",'Business Requirements'!E10)</f>
        <v/>
      </c>
      <c r="F13" s="40">
        <f>IF('Business Requirements'!F10="","",'Business Requirements'!F10)</f>
        <v/>
      </c>
      <c r="G13" s="39">
        <f>IF('Business Requirements'!G10="","",'Business Requirements'!G10)</f>
        <v/>
      </c>
    </row>
    <row r="14">
      <c r="A14" s="41">
        <f>IF('Business Requirements'!A11="","",'Business Requirements'!A11)</f>
        <v/>
      </c>
      <c r="B14" s="41">
        <f>IF('Business Requirements'!B11="","",'Business Requirements'!B11)</f>
        <v/>
      </c>
      <c r="C14" s="41">
        <f>IF('Business Requirements'!C11="","",'Business Requirements'!C11)</f>
        <v/>
      </c>
      <c r="D14" s="41">
        <f>IF('Business Requirements'!D11="","",'Business Requirements'!D11)</f>
        <v/>
      </c>
      <c r="E14" s="41">
        <f>IF('Business Requirements'!E11="","",'Business Requirements'!E11)</f>
        <v/>
      </c>
      <c r="F14" s="40">
        <f>IF('Business Requirements'!F11="","",'Business Requirements'!F11)</f>
        <v/>
      </c>
      <c r="G14" s="41">
        <f>IF('Business Requirements'!G11="","",'Business Requirements'!G11)</f>
        <v/>
      </c>
    </row>
    <row r="15">
      <c r="A15" s="39">
        <f>IF('Technical Requirements'!A2="","",'Technical Requirements'!A2)</f>
        <v/>
      </c>
      <c r="B15" s="39">
        <f>IF('Technical Requirements'!B2="","",'Technical Requirements'!B2)</f>
        <v/>
      </c>
      <c r="C15" s="39">
        <f>IF('Technical Requirements'!C2="","",'Technical Requirements'!C2)</f>
        <v/>
      </c>
      <c r="D15" s="39">
        <f>IF('Technical Requirements'!D2="","",'Technical Requirements'!D2)</f>
        <v/>
      </c>
      <c r="E15" s="39">
        <f>IF('Technical Requirements'!E2="","",'Technical Requirements'!E2)</f>
        <v/>
      </c>
      <c r="F15" s="40">
        <f>IF('Technical Requirements'!F2="","",'Technical Requirements'!F2)</f>
        <v/>
      </c>
      <c r="G15" s="39">
        <f>IF('Technical Requirements'!G2="","",'Technical Requirements'!G2)</f>
        <v/>
      </c>
    </row>
    <row r="16">
      <c r="A16" s="41">
        <f>IF('Technical Requirements'!A3="","",'Technical Requirements'!A3)</f>
        <v/>
      </c>
      <c r="B16" s="41">
        <f>IF('Technical Requirements'!B3="","",'Technical Requirements'!B3)</f>
        <v/>
      </c>
      <c r="C16" s="41">
        <f>IF('Technical Requirements'!C3="","",'Technical Requirements'!C3)</f>
        <v/>
      </c>
      <c r="D16" s="41">
        <f>IF('Technical Requirements'!D3="","",'Technical Requirements'!D3)</f>
        <v/>
      </c>
      <c r="E16" s="41">
        <f>IF('Technical Requirements'!E3="","",'Technical Requirements'!E3)</f>
        <v/>
      </c>
      <c r="F16" s="40">
        <f>IF('Technical Requirements'!F3="","",'Technical Requirements'!F3)</f>
        <v/>
      </c>
      <c r="G16" s="41">
        <f>IF('Technical Requirements'!G3="","",'Technical Requirements'!G3)</f>
        <v/>
      </c>
    </row>
    <row r="17">
      <c r="A17" s="39">
        <f>IF('Technical Requirements'!A4="","",'Technical Requirements'!A4)</f>
        <v/>
      </c>
      <c r="B17" s="39">
        <f>IF('Technical Requirements'!B4="","",'Technical Requirements'!B4)</f>
        <v/>
      </c>
      <c r="C17" s="39">
        <f>IF('Technical Requirements'!C4="","",'Technical Requirements'!C4)</f>
        <v/>
      </c>
      <c r="D17" s="39">
        <f>IF('Technical Requirements'!D4="","",'Technical Requirements'!D4)</f>
        <v/>
      </c>
      <c r="E17" s="39">
        <f>IF('Technical Requirements'!E4="","",'Technical Requirements'!E4)</f>
        <v/>
      </c>
      <c r="F17" s="40">
        <f>IF('Technical Requirements'!F4="","",'Technical Requirements'!F4)</f>
        <v/>
      </c>
      <c r="G17" s="39">
        <f>IF('Technical Requirements'!G4="","",'Technical Requirements'!G4)</f>
        <v/>
      </c>
    </row>
    <row r="18">
      <c r="A18" s="41">
        <f>IF('Technical Requirements'!A5="","",'Technical Requirements'!A5)</f>
        <v/>
      </c>
      <c r="B18" s="41">
        <f>IF('Technical Requirements'!B5="","",'Technical Requirements'!B5)</f>
        <v/>
      </c>
      <c r="C18" s="41">
        <f>IF('Technical Requirements'!C5="","",'Technical Requirements'!C5)</f>
        <v/>
      </c>
      <c r="D18" s="41">
        <f>IF('Technical Requirements'!D5="","",'Technical Requirements'!D5)</f>
        <v/>
      </c>
      <c r="E18" s="41">
        <f>IF('Technical Requirements'!E5="","",'Technical Requirements'!E5)</f>
        <v/>
      </c>
      <c r="F18" s="40">
        <f>IF('Technical Requirements'!F5="","",'Technical Requirements'!F5)</f>
        <v/>
      </c>
      <c r="G18" s="41">
        <f>IF('Technical Requirements'!G5="","",'Technical Requirements'!G5)</f>
        <v/>
      </c>
    </row>
    <row r="19">
      <c r="A19" s="39">
        <f>IF('Technical Requirements'!A6="","",'Technical Requirements'!A6)</f>
        <v/>
      </c>
      <c r="B19" s="39">
        <f>IF('Technical Requirements'!B6="","",'Technical Requirements'!B6)</f>
        <v/>
      </c>
      <c r="C19" s="39">
        <f>IF('Technical Requirements'!C6="","",'Technical Requirements'!C6)</f>
        <v/>
      </c>
      <c r="D19" s="39">
        <f>IF('Technical Requirements'!D6="","",'Technical Requirements'!D6)</f>
        <v/>
      </c>
      <c r="E19" s="39">
        <f>IF('Technical Requirements'!E6="","",'Technical Requirements'!E6)</f>
        <v/>
      </c>
      <c r="F19" s="40">
        <f>IF('Technical Requirements'!F6="","",'Technical Requirements'!F6)</f>
        <v/>
      </c>
      <c r="G19" s="39">
        <f>IF('Technical Requirements'!G6="","",'Technical Requirements'!G6)</f>
        <v/>
      </c>
    </row>
    <row r="20">
      <c r="A20" s="41">
        <f>IF('Technical Requirements'!A7="","",'Technical Requirements'!A7)</f>
        <v/>
      </c>
      <c r="B20" s="41">
        <f>IF('Technical Requirements'!B7="","",'Technical Requirements'!B7)</f>
        <v/>
      </c>
      <c r="C20" s="41">
        <f>IF('Technical Requirements'!C7="","",'Technical Requirements'!C7)</f>
        <v/>
      </c>
      <c r="D20" s="41">
        <f>IF('Technical Requirements'!D7="","",'Technical Requirements'!D7)</f>
        <v/>
      </c>
      <c r="E20" s="41">
        <f>IF('Technical Requirements'!E7="","",'Technical Requirements'!E7)</f>
        <v/>
      </c>
      <c r="F20" s="40">
        <f>IF('Technical Requirements'!F7="","",'Technical Requirements'!F7)</f>
        <v/>
      </c>
      <c r="G20" s="41">
        <f>IF('Technical Requirements'!G7="","",'Technical Requirements'!G7)</f>
        <v/>
      </c>
    </row>
    <row r="21">
      <c r="A21" s="39">
        <f>IF('Technical Requirements'!A8="","",'Technical Requirements'!A8)</f>
        <v/>
      </c>
      <c r="B21" s="39">
        <f>IF('Technical Requirements'!B8="","",'Technical Requirements'!B8)</f>
        <v/>
      </c>
      <c r="C21" s="39">
        <f>IF('Technical Requirements'!C8="","",'Technical Requirements'!C8)</f>
        <v/>
      </c>
      <c r="D21" s="39">
        <f>IF('Technical Requirements'!D8="","",'Technical Requirements'!D8)</f>
        <v/>
      </c>
      <c r="E21" s="39">
        <f>IF('Technical Requirements'!E8="","",'Technical Requirements'!E8)</f>
        <v/>
      </c>
      <c r="F21" s="40">
        <f>IF('Technical Requirements'!F8="","",'Technical Requirements'!F8)</f>
        <v/>
      </c>
      <c r="G21" s="39">
        <f>IF('Technical Requirements'!G8="","",'Technical Requirements'!G8)</f>
        <v/>
      </c>
    </row>
    <row r="22">
      <c r="A22" s="41">
        <f>IF('Technical Requirements'!A9="","",'Technical Requirements'!A9)</f>
        <v/>
      </c>
      <c r="B22" s="41">
        <f>IF('Technical Requirements'!B9="","",'Technical Requirements'!B9)</f>
        <v/>
      </c>
      <c r="C22" s="41">
        <f>IF('Technical Requirements'!C9="","",'Technical Requirements'!C9)</f>
        <v/>
      </c>
      <c r="D22" s="41">
        <f>IF('Technical Requirements'!D9="","",'Technical Requirements'!D9)</f>
        <v/>
      </c>
      <c r="E22" s="41">
        <f>IF('Technical Requirements'!E9="","",'Technical Requirements'!E9)</f>
        <v/>
      </c>
      <c r="F22" s="40">
        <f>IF('Technical Requirements'!F9="","",'Technical Requirements'!F9)</f>
        <v/>
      </c>
      <c r="G22" s="41">
        <f>IF('Technical Requirements'!G9="","",'Technical Requirements'!G9)</f>
        <v/>
      </c>
    </row>
    <row r="23">
      <c r="A23" s="39">
        <f>IF('Technical Requirements'!A10="","",'Technical Requirements'!A10)</f>
        <v/>
      </c>
      <c r="B23" s="39">
        <f>IF('Technical Requirements'!B10="","",'Technical Requirements'!B10)</f>
        <v/>
      </c>
      <c r="C23" s="39">
        <f>IF('Technical Requirements'!C10="","",'Technical Requirements'!C10)</f>
        <v/>
      </c>
      <c r="D23" s="39">
        <f>IF('Technical Requirements'!D10="","",'Technical Requirements'!D10)</f>
        <v/>
      </c>
      <c r="E23" s="39">
        <f>IF('Technical Requirements'!E10="","",'Technical Requirements'!E10)</f>
        <v/>
      </c>
      <c r="F23" s="40">
        <f>IF('Technical Requirements'!F10="","",'Technical Requirements'!F10)</f>
        <v/>
      </c>
      <c r="G23" s="39">
        <f>IF('Technical Requirements'!G10="","",'Technical Requirements'!G10)</f>
        <v/>
      </c>
    </row>
    <row r="24">
      <c r="A24" s="41">
        <f>IF('Technical Requirements'!A11="","",'Technical Requirements'!A11)</f>
        <v/>
      </c>
      <c r="B24" s="41">
        <f>IF('Technical Requirements'!B11="","",'Technical Requirements'!B11)</f>
        <v/>
      </c>
      <c r="C24" s="41">
        <f>IF('Technical Requirements'!C11="","",'Technical Requirements'!C11)</f>
        <v/>
      </c>
      <c r="D24" s="41">
        <f>IF('Technical Requirements'!D11="","",'Technical Requirements'!D11)</f>
        <v/>
      </c>
      <c r="E24" s="41">
        <f>IF('Technical Requirements'!E11="","",'Technical Requirements'!E11)</f>
        <v/>
      </c>
      <c r="F24" s="40">
        <f>IF('Technical Requirements'!F11="","",'Technical Requirements'!F11)</f>
        <v/>
      </c>
      <c r="G24" s="41">
        <f>IF('Technical Requirements'!G11="","",'Technical Requirements'!G11)</f>
        <v/>
      </c>
    </row>
    <row r="25">
      <c r="A25" s="39">
        <f>IF('Technical Requirements'!A12="","",'Technical Requirements'!A12)</f>
        <v/>
      </c>
      <c r="B25" s="39">
        <f>IF('Technical Requirements'!B12="","",'Technical Requirements'!B12)</f>
        <v/>
      </c>
      <c r="C25" s="39">
        <f>IF('Technical Requirements'!C12="","",'Technical Requirements'!C12)</f>
        <v/>
      </c>
      <c r="D25" s="39">
        <f>IF('Technical Requirements'!D12="","",'Technical Requirements'!D12)</f>
        <v/>
      </c>
      <c r="E25" s="39">
        <f>IF('Technical Requirements'!E12="","",'Technical Requirements'!E12)</f>
        <v/>
      </c>
      <c r="F25" s="40">
        <f>IF('Technical Requirements'!F12="","",'Technical Requirements'!F12)</f>
        <v/>
      </c>
      <c r="G25" s="39">
        <f>IF('Technical Requirements'!G12="","",'Technical Requirements'!G12)</f>
        <v/>
      </c>
    </row>
    <row r="26">
      <c r="A26" s="41">
        <f>IF('Technical Requirements'!A13="","",'Technical Requirements'!A13)</f>
        <v/>
      </c>
      <c r="B26" s="41">
        <f>IF('Technical Requirements'!B13="","",'Technical Requirements'!B13)</f>
        <v/>
      </c>
      <c r="C26" s="41">
        <f>IF('Technical Requirements'!C13="","",'Technical Requirements'!C13)</f>
        <v/>
      </c>
      <c r="D26" s="41">
        <f>IF('Technical Requirements'!D13="","",'Technical Requirements'!D13)</f>
        <v/>
      </c>
      <c r="E26" s="41">
        <f>IF('Technical Requirements'!E13="","",'Technical Requirements'!E13)</f>
        <v/>
      </c>
      <c r="F26" s="40">
        <f>IF('Technical Requirements'!F13="","",'Technical Requirements'!F13)</f>
        <v/>
      </c>
      <c r="G26" s="41">
        <f>IF('Technical Requirements'!G13="","",'Technical Requirements'!G13)</f>
        <v/>
      </c>
    </row>
    <row r="27">
      <c r="A27" s="39">
        <f>IF('Technical Requirements'!A14="","",'Technical Requirements'!A14)</f>
        <v/>
      </c>
      <c r="B27" s="39">
        <f>IF('Technical Requirements'!B14="","",'Technical Requirements'!B14)</f>
        <v/>
      </c>
      <c r="C27" s="39">
        <f>IF('Technical Requirements'!C14="","",'Technical Requirements'!C14)</f>
        <v/>
      </c>
      <c r="D27" s="39">
        <f>IF('Technical Requirements'!D14="","",'Technical Requirements'!D14)</f>
        <v/>
      </c>
      <c r="E27" s="39">
        <f>IF('Technical Requirements'!E14="","",'Technical Requirements'!E14)</f>
        <v/>
      </c>
      <c r="F27" s="40">
        <f>IF('Technical Requirements'!F14="","",'Technical Requirements'!F14)</f>
        <v/>
      </c>
      <c r="G27" s="39">
        <f>IF('Technical Requirements'!G14="","",'Technical Requirements'!G14)</f>
        <v/>
      </c>
    </row>
    <row r="28">
      <c r="A28" s="41">
        <f>IF('Technical Requirements'!A15="","",'Technical Requirements'!A15)</f>
        <v/>
      </c>
      <c r="B28" s="41">
        <f>IF('Technical Requirements'!B15="","",'Technical Requirements'!B15)</f>
        <v/>
      </c>
      <c r="C28" s="41">
        <f>IF('Technical Requirements'!C15="","",'Technical Requirements'!C15)</f>
        <v/>
      </c>
      <c r="D28" s="41">
        <f>IF('Technical Requirements'!D15="","",'Technical Requirements'!D15)</f>
        <v/>
      </c>
      <c r="E28" s="41">
        <f>IF('Technical Requirements'!E15="","",'Technical Requirements'!E15)</f>
        <v/>
      </c>
      <c r="F28" s="40">
        <f>IF('Technical Requirements'!F15="","",'Technical Requirements'!F15)</f>
        <v/>
      </c>
      <c r="G28" s="41">
        <f>IF('Technical Requirements'!G15="","",'Technical Requirements'!G15)</f>
        <v/>
      </c>
    </row>
    <row r="29">
      <c r="A29" s="39">
        <f>IF('Technical Requirements'!A16="","",'Technical Requirements'!A16)</f>
        <v/>
      </c>
      <c r="B29" s="39">
        <f>IF('Technical Requirements'!B16="","",'Technical Requirements'!B16)</f>
        <v/>
      </c>
      <c r="C29" s="39">
        <f>IF('Technical Requirements'!C16="","",'Technical Requirements'!C16)</f>
        <v/>
      </c>
      <c r="D29" s="39">
        <f>IF('Technical Requirements'!D16="","",'Technical Requirements'!D16)</f>
        <v/>
      </c>
      <c r="E29" s="39">
        <f>IF('Technical Requirements'!E16="","",'Technical Requirements'!E16)</f>
        <v/>
      </c>
      <c r="F29" s="40">
        <f>IF('Technical Requirements'!F16="","",'Technical Requirements'!F16)</f>
        <v/>
      </c>
      <c r="G29" s="39">
        <f>IF('Technical Requirements'!G16="","",'Technical Requirements'!G16)</f>
        <v/>
      </c>
    </row>
    <row r="30">
      <c r="A30" s="41">
        <f>IF('Technical Requirements'!A17="","",'Technical Requirements'!A17)</f>
        <v/>
      </c>
      <c r="B30" s="41">
        <f>IF('Technical Requirements'!B17="","",'Technical Requirements'!B17)</f>
        <v/>
      </c>
      <c r="C30" s="41">
        <f>IF('Technical Requirements'!C17="","",'Technical Requirements'!C17)</f>
        <v/>
      </c>
      <c r="D30" s="41">
        <f>IF('Technical Requirements'!D17="","",'Technical Requirements'!D17)</f>
        <v/>
      </c>
      <c r="E30" s="41">
        <f>IF('Technical Requirements'!E17="","",'Technical Requirements'!E17)</f>
        <v/>
      </c>
      <c r="F30" s="40">
        <f>IF('Technical Requirements'!F17="","",'Technical Requirements'!F17)</f>
        <v/>
      </c>
      <c r="G30" s="41">
        <f>IF('Technical Requirements'!G17="","",'Technical Requirements'!G17)</f>
        <v/>
      </c>
    </row>
    <row r="31">
      <c r="A31" s="39">
        <f>IF('Technical Requirements'!A18="","",'Technical Requirements'!A18)</f>
        <v/>
      </c>
      <c r="B31" s="39">
        <f>IF('Technical Requirements'!B18="","",'Technical Requirements'!B18)</f>
        <v/>
      </c>
      <c r="C31" s="39">
        <f>IF('Technical Requirements'!C18="","",'Technical Requirements'!C18)</f>
        <v/>
      </c>
      <c r="D31" s="39">
        <f>IF('Technical Requirements'!D18="","",'Technical Requirements'!D18)</f>
        <v/>
      </c>
      <c r="E31" s="39">
        <f>IF('Technical Requirements'!E18="","",'Technical Requirements'!E18)</f>
        <v/>
      </c>
      <c r="F31" s="40">
        <f>IF('Technical Requirements'!F18="","",'Technical Requirements'!F18)</f>
        <v/>
      </c>
      <c r="G31" s="39">
        <f>IF('Technical Requirements'!G18="","",'Technical Requirements'!G18)</f>
        <v/>
      </c>
    </row>
    <row r="32">
      <c r="A32" s="41">
        <f>IF('Technical Requirements'!A19="","",'Technical Requirements'!A19)</f>
        <v/>
      </c>
      <c r="B32" s="41">
        <f>IF('Technical Requirements'!B19="","",'Technical Requirements'!B19)</f>
        <v/>
      </c>
      <c r="C32" s="41">
        <f>IF('Technical Requirements'!C19="","",'Technical Requirements'!C19)</f>
        <v/>
      </c>
      <c r="D32" s="41">
        <f>IF('Technical Requirements'!D19="","",'Technical Requirements'!D19)</f>
        <v/>
      </c>
      <c r="E32" s="41">
        <f>IF('Technical Requirements'!E19="","",'Technical Requirements'!E19)</f>
        <v/>
      </c>
      <c r="F32" s="40">
        <f>IF('Technical Requirements'!F19="","",'Technical Requirements'!F19)</f>
        <v/>
      </c>
      <c r="G32" s="41">
        <f>IF('Technical Requirements'!G19="","",'Technical Requirements'!G19)</f>
        <v/>
      </c>
    </row>
    <row r="33">
      <c r="A33" s="39">
        <f>IF('Security &amp; Compliance'!A2="","",'Security &amp; Compliance'!A2)</f>
        <v/>
      </c>
      <c r="B33" s="39">
        <f>IF('Security &amp; Compliance'!B2="","",'Security &amp; Compliance'!B2)</f>
        <v/>
      </c>
      <c r="C33" s="39">
        <f>IF('Security &amp; Compliance'!C2="","",'Security &amp; Compliance'!C2)</f>
        <v/>
      </c>
      <c r="D33" s="39">
        <f>IF('Security &amp; Compliance'!D2="","",'Security &amp; Compliance'!D2)</f>
        <v/>
      </c>
      <c r="E33" s="39">
        <f>IF('Security &amp; Compliance'!E2="","",'Security &amp; Compliance'!E2)</f>
        <v/>
      </c>
      <c r="F33" s="40">
        <f>IF('Security &amp; Compliance'!F2="","",'Security &amp; Compliance'!F2)</f>
        <v/>
      </c>
      <c r="G33" s="39">
        <f>IF('Security &amp; Compliance'!G2="","",'Security &amp; Compliance'!G2)</f>
        <v/>
      </c>
    </row>
    <row r="34">
      <c r="A34" s="41">
        <f>IF('Security &amp; Compliance'!A3="","",'Security &amp; Compliance'!A3)</f>
        <v/>
      </c>
      <c r="B34" s="41">
        <f>IF('Security &amp; Compliance'!B3="","",'Security &amp; Compliance'!B3)</f>
        <v/>
      </c>
      <c r="C34" s="41">
        <f>IF('Security &amp; Compliance'!C3="","",'Security &amp; Compliance'!C3)</f>
        <v/>
      </c>
      <c r="D34" s="41">
        <f>IF('Security &amp; Compliance'!D3="","",'Security &amp; Compliance'!D3)</f>
        <v/>
      </c>
      <c r="E34" s="41">
        <f>IF('Security &amp; Compliance'!E3="","",'Security &amp; Compliance'!E3)</f>
        <v/>
      </c>
      <c r="F34" s="40">
        <f>IF('Security &amp; Compliance'!F3="","",'Security &amp; Compliance'!F3)</f>
        <v/>
      </c>
      <c r="G34" s="41">
        <f>IF('Security &amp; Compliance'!G3="","",'Security &amp; Compliance'!G3)</f>
        <v/>
      </c>
    </row>
    <row r="35">
      <c r="A35" s="39">
        <f>IF('Security &amp; Compliance'!A4="","",'Security &amp; Compliance'!A4)</f>
        <v/>
      </c>
      <c r="B35" s="39">
        <f>IF('Security &amp; Compliance'!B4="","",'Security &amp; Compliance'!B4)</f>
        <v/>
      </c>
      <c r="C35" s="39">
        <f>IF('Security &amp; Compliance'!C4="","",'Security &amp; Compliance'!C4)</f>
        <v/>
      </c>
      <c r="D35" s="39">
        <f>IF('Security &amp; Compliance'!D4="","",'Security &amp; Compliance'!D4)</f>
        <v/>
      </c>
      <c r="E35" s="39">
        <f>IF('Security &amp; Compliance'!E4="","",'Security &amp; Compliance'!E4)</f>
        <v/>
      </c>
      <c r="F35" s="40">
        <f>IF('Security &amp; Compliance'!F4="","",'Security &amp; Compliance'!F4)</f>
        <v/>
      </c>
      <c r="G35" s="39">
        <f>IF('Security &amp; Compliance'!G4="","",'Security &amp; Compliance'!G4)</f>
        <v/>
      </c>
    </row>
    <row r="36">
      <c r="A36" s="41">
        <f>IF('Security &amp; Compliance'!A5="","",'Security &amp; Compliance'!A5)</f>
        <v/>
      </c>
      <c r="B36" s="41">
        <f>IF('Security &amp; Compliance'!B5="","",'Security &amp; Compliance'!B5)</f>
        <v/>
      </c>
      <c r="C36" s="41">
        <f>IF('Security &amp; Compliance'!C5="","",'Security &amp; Compliance'!C5)</f>
        <v/>
      </c>
      <c r="D36" s="41">
        <f>IF('Security &amp; Compliance'!D5="","",'Security &amp; Compliance'!D5)</f>
        <v/>
      </c>
      <c r="E36" s="41">
        <f>IF('Security &amp; Compliance'!E5="","",'Security &amp; Compliance'!E5)</f>
        <v/>
      </c>
      <c r="F36" s="40">
        <f>IF('Security &amp; Compliance'!F5="","",'Security &amp; Compliance'!F5)</f>
        <v/>
      </c>
      <c r="G36" s="41">
        <f>IF('Security &amp; Compliance'!G5="","",'Security &amp; Compliance'!G5)</f>
        <v/>
      </c>
    </row>
    <row r="37">
      <c r="A37" s="39">
        <f>IF('Security &amp; Compliance'!A6="","",'Security &amp; Compliance'!A6)</f>
        <v/>
      </c>
      <c r="B37" s="39">
        <f>IF('Security &amp; Compliance'!B6="","",'Security &amp; Compliance'!B6)</f>
        <v/>
      </c>
      <c r="C37" s="39">
        <f>IF('Security &amp; Compliance'!C6="","",'Security &amp; Compliance'!C6)</f>
        <v/>
      </c>
      <c r="D37" s="39">
        <f>IF('Security &amp; Compliance'!D6="","",'Security &amp; Compliance'!D6)</f>
        <v/>
      </c>
      <c r="E37" s="39">
        <f>IF('Security &amp; Compliance'!E6="","",'Security &amp; Compliance'!E6)</f>
        <v/>
      </c>
      <c r="F37" s="40">
        <f>IF('Security &amp; Compliance'!F6="","",'Security &amp; Compliance'!F6)</f>
        <v/>
      </c>
      <c r="G37" s="39">
        <f>IF('Security &amp; Compliance'!G6="","",'Security &amp; Compliance'!G6)</f>
        <v/>
      </c>
    </row>
    <row r="38">
      <c r="A38" s="41">
        <f>IF('Security &amp; Compliance'!A7="","",'Security &amp; Compliance'!A7)</f>
        <v/>
      </c>
      <c r="B38" s="41">
        <f>IF('Security &amp; Compliance'!B7="","",'Security &amp; Compliance'!B7)</f>
        <v/>
      </c>
      <c r="C38" s="41">
        <f>IF('Security &amp; Compliance'!C7="","",'Security &amp; Compliance'!C7)</f>
        <v/>
      </c>
      <c r="D38" s="41">
        <f>IF('Security &amp; Compliance'!D7="","",'Security &amp; Compliance'!D7)</f>
        <v/>
      </c>
      <c r="E38" s="41">
        <f>IF('Security &amp; Compliance'!E7="","",'Security &amp; Compliance'!E7)</f>
        <v/>
      </c>
      <c r="F38" s="40">
        <f>IF('Security &amp; Compliance'!F7="","",'Security &amp; Compliance'!F7)</f>
        <v/>
      </c>
      <c r="G38" s="41">
        <f>IF('Security &amp; Compliance'!G7="","",'Security &amp; Compliance'!G7)</f>
        <v/>
      </c>
    </row>
    <row r="39">
      <c r="A39" s="39">
        <f>IF('Security &amp; Compliance'!A8="","",'Security &amp; Compliance'!A8)</f>
        <v/>
      </c>
      <c r="B39" s="39">
        <f>IF('Security &amp; Compliance'!B8="","",'Security &amp; Compliance'!B8)</f>
        <v/>
      </c>
      <c r="C39" s="39">
        <f>IF('Security &amp; Compliance'!C8="","",'Security &amp; Compliance'!C8)</f>
        <v/>
      </c>
      <c r="D39" s="39">
        <f>IF('Security &amp; Compliance'!D8="","",'Security &amp; Compliance'!D8)</f>
        <v/>
      </c>
      <c r="E39" s="39">
        <f>IF('Security &amp; Compliance'!E8="","",'Security &amp; Compliance'!E8)</f>
        <v/>
      </c>
      <c r="F39" s="40">
        <f>IF('Security &amp; Compliance'!F8="","",'Security &amp; Compliance'!F8)</f>
        <v/>
      </c>
      <c r="G39" s="39">
        <f>IF('Security &amp; Compliance'!G8="","",'Security &amp; Compliance'!G8)</f>
        <v/>
      </c>
    </row>
    <row r="40">
      <c r="A40" s="41">
        <f>IF('Security &amp; Compliance'!A9="","",'Security &amp; Compliance'!A9)</f>
        <v/>
      </c>
      <c r="B40" s="41">
        <f>IF('Security &amp; Compliance'!B9="","",'Security &amp; Compliance'!B9)</f>
        <v/>
      </c>
      <c r="C40" s="41">
        <f>IF('Security &amp; Compliance'!C9="","",'Security &amp; Compliance'!C9)</f>
        <v/>
      </c>
      <c r="D40" s="41">
        <f>IF('Security &amp; Compliance'!D9="","",'Security &amp; Compliance'!D9)</f>
        <v/>
      </c>
      <c r="E40" s="41">
        <f>IF('Security &amp; Compliance'!E9="","",'Security &amp; Compliance'!E9)</f>
        <v/>
      </c>
      <c r="F40" s="40">
        <f>IF('Security &amp; Compliance'!F9="","",'Security &amp; Compliance'!F9)</f>
        <v/>
      </c>
      <c r="G40" s="41">
        <f>IF('Security &amp; Compliance'!G9="","",'Security &amp; Compliance'!G9)</f>
        <v/>
      </c>
    </row>
    <row r="41">
      <c r="A41" s="39">
        <f>IF('Security &amp; Compliance'!A10="","",'Security &amp; Compliance'!A10)</f>
        <v/>
      </c>
      <c r="B41" s="39">
        <f>IF('Security &amp; Compliance'!B10="","",'Security &amp; Compliance'!B10)</f>
        <v/>
      </c>
      <c r="C41" s="39">
        <f>IF('Security &amp; Compliance'!C10="","",'Security &amp; Compliance'!C10)</f>
        <v/>
      </c>
      <c r="D41" s="39">
        <f>IF('Security &amp; Compliance'!D10="","",'Security &amp; Compliance'!D10)</f>
        <v/>
      </c>
      <c r="E41" s="39">
        <f>IF('Security &amp; Compliance'!E10="","",'Security &amp; Compliance'!E10)</f>
        <v/>
      </c>
      <c r="F41" s="40">
        <f>IF('Security &amp; Compliance'!F10="","",'Security &amp; Compliance'!F10)</f>
        <v/>
      </c>
      <c r="G41" s="39">
        <f>IF('Security &amp; Compliance'!G10="","",'Security &amp; Compliance'!G10)</f>
        <v/>
      </c>
    </row>
    <row r="42">
      <c r="A42" s="41">
        <f>IF('Operations &amp; Support'!A2="","",'Operations &amp; Support'!A2)</f>
        <v/>
      </c>
      <c r="B42" s="41">
        <f>IF('Operations &amp; Support'!B2="","",'Operations &amp; Support'!B2)</f>
        <v/>
      </c>
      <c r="C42" s="41">
        <f>IF('Operations &amp; Support'!C2="","",'Operations &amp; Support'!C2)</f>
        <v/>
      </c>
      <c r="D42" s="41">
        <f>IF('Operations &amp; Support'!D2="","",'Operations &amp; Support'!D2)</f>
        <v/>
      </c>
      <c r="E42" s="41">
        <f>IF('Operations &amp; Support'!E2="","",'Operations &amp; Support'!E2)</f>
        <v/>
      </c>
      <c r="F42" s="40">
        <f>IF('Operations &amp; Support'!F2="","",'Operations &amp; Support'!F2)</f>
        <v/>
      </c>
      <c r="G42" s="41">
        <f>IF('Operations &amp; Support'!G2="","",'Operations &amp; Support'!G2)</f>
        <v/>
      </c>
    </row>
    <row r="43">
      <c r="A43" s="39">
        <f>IF('Operations &amp; Support'!A3="","",'Operations &amp; Support'!A3)</f>
        <v/>
      </c>
      <c r="B43" s="39">
        <f>IF('Operations &amp; Support'!B3="","",'Operations &amp; Support'!B3)</f>
        <v/>
      </c>
      <c r="C43" s="39">
        <f>IF('Operations &amp; Support'!C3="","",'Operations &amp; Support'!C3)</f>
        <v/>
      </c>
      <c r="D43" s="39">
        <f>IF('Operations &amp; Support'!D3="","",'Operations &amp; Support'!D3)</f>
        <v/>
      </c>
      <c r="E43" s="39">
        <f>IF('Operations &amp; Support'!E3="","",'Operations &amp; Support'!E3)</f>
        <v/>
      </c>
      <c r="F43" s="40">
        <f>IF('Operations &amp; Support'!F3="","",'Operations &amp; Support'!F3)</f>
        <v/>
      </c>
      <c r="G43" s="39">
        <f>IF('Operations &amp; Support'!G3="","",'Operations &amp; Support'!G3)</f>
        <v/>
      </c>
    </row>
    <row r="44">
      <c r="A44" s="41">
        <f>IF('Operations &amp; Support'!A4="","",'Operations &amp; Support'!A4)</f>
        <v/>
      </c>
      <c r="B44" s="41">
        <f>IF('Operations &amp; Support'!B4="","",'Operations &amp; Support'!B4)</f>
        <v/>
      </c>
      <c r="C44" s="41">
        <f>IF('Operations &amp; Support'!C4="","",'Operations &amp; Support'!C4)</f>
        <v/>
      </c>
      <c r="D44" s="41">
        <f>IF('Operations &amp; Support'!D4="","",'Operations &amp; Support'!D4)</f>
        <v/>
      </c>
      <c r="E44" s="41">
        <f>IF('Operations &amp; Support'!E4="","",'Operations &amp; Support'!E4)</f>
        <v/>
      </c>
      <c r="F44" s="40">
        <f>IF('Operations &amp; Support'!F4="","",'Operations &amp; Support'!F4)</f>
        <v/>
      </c>
      <c r="G44" s="41">
        <f>IF('Operations &amp; Support'!G4="","",'Operations &amp; Support'!G4)</f>
        <v/>
      </c>
    </row>
    <row r="45">
      <c r="A45" s="39">
        <f>IF('Operations &amp; Support'!A5="","",'Operations &amp; Support'!A5)</f>
        <v/>
      </c>
      <c r="B45" s="39">
        <f>IF('Operations &amp; Support'!B5="","",'Operations &amp; Support'!B5)</f>
        <v/>
      </c>
      <c r="C45" s="39">
        <f>IF('Operations &amp; Support'!C5="","",'Operations &amp; Support'!C5)</f>
        <v/>
      </c>
      <c r="D45" s="39">
        <f>IF('Operations &amp; Support'!D5="","",'Operations &amp; Support'!D5)</f>
        <v/>
      </c>
      <c r="E45" s="39">
        <f>IF('Operations &amp; Support'!E5="","",'Operations &amp; Support'!E5)</f>
        <v/>
      </c>
      <c r="F45" s="40">
        <f>IF('Operations &amp; Support'!F5="","",'Operations &amp; Support'!F5)</f>
        <v/>
      </c>
      <c r="G45" s="39">
        <f>IF('Operations &amp; Support'!G5="","",'Operations &amp; Support'!G5)</f>
        <v/>
      </c>
    </row>
    <row r="46">
      <c r="A46" s="41">
        <f>IF('Operations &amp; Support'!A6="","",'Operations &amp; Support'!A6)</f>
        <v/>
      </c>
      <c r="B46" s="41">
        <f>IF('Operations &amp; Support'!B6="","",'Operations &amp; Support'!B6)</f>
        <v/>
      </c>
      <c r="C46" s="41">
        <f>IF('Operations &amp; Support'!C6="","",'Operations &amp; Support'!C6)</f>
        <v/>
      </c>
      <c r="D46" s="41">
        <f>IF('Operations &amp; Support'!D6="","",'Operations &amp; Support'!D6)</f>
        <v/>
      </c>
      <c r="E46" s="41">
        <f>IF('Operations &amp; Support'!E6="","",'Operations &amp; Support'!E6)</f>
        <v/>
      </c>
      <c r="F46" s="40">
        <f>IF('Operations &amp; Support'!F6="","",'Operations &amp; Support'!F6)</f>
        <v/>
      </c>
      <c r="G46" s="41">
        <f>IF('Operations &amp; Support'!G6="","",'Operations &amp; Support'!G6)</f>
        <v/>
      </c>
    </row>
    <row r="47">
      <c r="A47" s="39">
        <f>IF('Operations &amp; Support'!A7="","",'Operations &amp; Support'!A7)</f>
        <v/>
      </c>
      <c r="B47" s="39">
        <f>IF('Operations &amp; Support'!B7="","",'Operations &amp; Support'!B7)</f>
        <v/>
      </c>
      <c r="C47" s="39">
        <f>IF('Operations &amp; Support'!C7="","",'Operations &amp; Support'!C7)</f>
        <v/>
      </c>
      <c r="D47" s="39">
        <f>IF('Operations &amp; Support'!D7="","",'Operations &amp; Support'!D7)</f>
        <v/>
      </c>
      <c r="E47" s="39">
        <f>IF('Operations &amp; Support'!E7="","",'Operations &amp; Support'!E7)</f>
        <v/>
      </c>
      <c r="F47" s="40">
        <f>IF('Operations &amp; Support'!F7="","",'Operations &amp; Support'!F7)</f>
        <v/>
      </c>
      <c r="G47" s="39">
        <f>IF('Operations &amp; Support'!G7="","",'Operations &amp; Support'!G7)</f>
        <v/>
      </c>
    </row>
    <row r="48">
      <c r="A48" s="41">
        <f>IF('Operations &amp; Support'!A8="","",'Operations &amp; Support'!A8)</f>
        <v/>
      </c>
      <c r="B48" s="41">
        <f>IF('Operations &amp; Support'!B8="","",'Operations &amp; Support'!B8)</f>
        <v/>
      </c>
      <c r="C48" s="41">
        <f>IF('Operations &amp; Support'!C8="","",'Operations &amp; Support'!C8)</f>
        <v/>
      </c>
      <c r="D48" s="41">
        <f>IF('Operations &amp; Support'!D8="","",'Operations &amp; Support'!D8)</f>
        <v/>
      </c>
      <c r="E48" s="41">
        <f>IF('Operations &amp; Support'!E8="","",'Operations &amp; Support'!E8)</f>
        <v/>
      </c>
      <c r="F48" s="40">
        <f>IF('Operations &amp; Support'!F8="","",'Operations &amp; Support'!F8)</f>
        <v/>
      </c>
      <c r="G48" s="41">
        <f>IF('Operations &amp; Support'!G8="","",'Operations &amp; Support'!G8)</f>
        <v/>
      </c>
    </row>
    <row r="49">
      <c r="A49" s="39">
        <f>IF('Operations &amp; Support'!A9="","",'Operations &amp; Support'!A9)</f>
        <v/>
      </c>
      <c r="B49" s="39">
        <f>IF('Operations &amp; Support'!B9="","",'Operations &amp; Support'!B9)</f>
        <v/>
      </c>
      <c r="C49" s="39">
        <f>IF('Operations &amp; Support'!C9="","",'Operations &amp; Support'!C9)</f>
        <v/>
      </c>
      <c r="D49" s="39">
        <f>IF('Operations &amp; Support'!D9="","",'Operations &amp; Support'!D9)</f>
        <v/>
      </c>
      <c r="E49" s="39">
        <f>IF('Operations &amp; Support'!E9="","",'Operations &amp; Support'!E9)</f>
        <v/>
      </c>
      <c r="F49" s="40">
        <f>IF('Operations &amp; Support'!F9="","",'Operations &amp; Support'!F9)</f>
        <v/>
      </c>
      <c r="G49" s="39">
        <f>IF('Operations &amp; Support'!G9="","",'Operations &amp; Support'!G9)</f>
        <v/>
      </c>
    </row>
    <row r="50">
      <c r="A50" s="41">
        <f>IF('Operations &amp; Support'!A10="","",'Operations &amp; Support'!A10)</f>
        <v/>
      </c>
      <c r="B50" s="41">
        <f>IF('Operations &amp; Support'!B10="","",'Operations &amp; Support'!B10)</f>
        <v/>
      </c>
      <c r="C50" s="41">
        <f>IF('Operations &amp; Support'!C10="","",'Operations &amp; Support'!C10)</f>
        <v/>
      </c>
      <c r="D50" s="41">
        <f>IF('Operations &amp; Support'!D10="","",'Operations &amp; Support'!D10)</f>
        <v/>
      </c>
      <c r="E50" s="41">
        <f>IF('Operations &amp; Support'!E10="","",'Operations &amp; Support'!E10)</f>
        <v/>
      </c>
      <c r="F50" s="40">
        <f>IF('Operations &amp; Support'!F10="","",'Operations &amp; Support'!F10)</f>
        <v/>
      </c>
      <c r="G50" s="41">
        <f>IF('Operations &amp; Support'!G10="","",'Operations &amp; Support'!G10)</f>
        <v/>
      </c>
    </row>
    <row r="51">
      <c r="A51" s="39">
        <f>IF('Operations &amp; Support'!A11="","",'Operations &amp; Support'!A11)</f>
        <v/>
      </c>
      <c r="B51" s="39">
        <f>IF('Operations &amp; Support'!B11="","",'Operations &amp; Support'!B11)</f>
        <v/>
      </c>
      <c r="C51" s="39">
        <f>IF('Operations &amp; Support'!C11="","",'Operations &amp; Support'!C11)</f>
        <v/>
      </c>
      <c r="D51" s="39">
        <f>IF('Operations &amp; Support'!D11="","",'Operations &amp; Support'!D11)</f>
        <v/>
      </c>
      <c r="E51" s="39">
        <f>IF('Operations &amp; Support'!E11="","",'Operations &amp; Support'!E11)</f>
        <v/>
      </c>
      <c r="F51" s="40">
        <f>IF('Operations &amp; Support'!F11="","",'Operations &amp; Support'!F11)</f>
        <v/>
      </c>
      <c r="G51" s="39">
        <f>IF('Operations &amp; Support'!G11="","",'Operations &amp; Support'!G11)</f>
        <v/>
      </c>
    </row>
    <row r="52">
      <c r="A52" s="41">
        <f>IF('Implementation Planning'!A2="","",'Implementation Planning'!A2)</f>
        <v/>
      </c>
      <c r="B52" s="41">
        <f>IF('Implementation Planning'!B2="","",'Implementation Planning'!B2)</f>
        <v/>
      </c>
      <c r="C52" s="41">
        <f>IF('Implementation Planning'!C2="","",'Implementation Planning'!C2)</f>
        <v/>
      </c>
      <c r="D52" s="41">
        <f>IF('Implementation Planning'!D2="","",'Implementation Planning'!D2)</f>
        <v/>
      </c>
      <c r="E52" s="41">
        <f>IF('Implementation Planning'!E2="","",'Implementation Planning'!E2)</f>
        <v/>
      </c>
      <c r="F52" s="40">
        <f>IF('Implementation Planning'!F2="","",'Implementation Planning'!F2)</f>
        <v/>
      </c>
      <c r="G52" s="41">
        <f>IF('Implementation Planning'!G2="","",'Implementation Planning'!G2)</f>
        <v/>
      </c>
    </row>
    <row r="53">
      <c r="A53" s="39">
        <f>IF('Implementation Planning'!A3="","",'Implementation Planning'!A3)</f>
        <v/>
      </c>
      <c r="B53" s="39">
        <f>IF('Implementation Planning'!B3="","",'Implementation Planning'!B3)</f>
        <v/>
      </c>
      <c r="C53" s="39">
        <f>IF('Implementation Planning'!C3="","",'Implementation Planning'!C3)</f>
        <v/>
      </c>
      <c r="D53" s="39">
        <f>IF('Implementation Planning'!D3="","",'Implementation Planning'!D3)</f>
        <v/>
      </c>
      <c r="E53" s="39">
        <f>IF('Implementation Planning'!E3="","",'Implementation Planning'!E3)</f>
        <v/>
      </c>
      <c r="F53" s="40">
        <f>IF('Implementation Planning'!F3="","",'Implementation Planning'!F3)</f>
        <v/>
      </c>
      <c r="G53" s="39">
        <f>IF('Implementation Planning'!G3="","",'Implementation Planning'!G3)</f>
        <v/>
      </c>
    </row>
    <row r="54">
      <c r="A54" s="41">
        <f>IF('Implementation Planning'!A4="","",'Implementation Planning'!A4)</f>
        <v/>
      </c>
      <c r="B54" s="41">
        <f>IF('Implementation Planning'!B4="","",'Implementation Planning'!B4)</f>
        <v/>
      </c>
      <c r="C54" s="41">
        <f>IF('Implementation Planning'!C4="","",'Implementation Planning'!C4)</f>
        <v/>
      </c>
      <c r="D54" s="41">
        <f>IF('Implementation Planning'!D4="","",'Implementation Planning'!D4)</f>
        <v/>
      </c>
      <c r="E54" s="41">
        <f>IF('Implementation Planning'!E4="","",'Implementation Planning'!E4)</f>
        <v/>
      </c>
      <c r="F54" s="40">
        <f>IF('Implementation Planning'!F4="","",'Implementation Planning'!F4)</f>
        <v/>
      </c>
      <c r="G54" s="41">
        <f>IF('Implementation Planning'!G4="","",'Implementation Planning'!G4)</f>
        <v/>
      </c>
    </row>
    <row r="55">
      <c r="A55" s="39">
        <f>IF('Implementation Planning'!A5="","",'Implementation Planning'!A5)</f>
        <v/>
      </c>
      <c r="B55" s="39">
        <f>IF('Implementation Planning'!B5="","",'Implementation Planning'!B5)</f>
        <v/>
      </c>
      <c r="C55" s="39">
        <f>IF('Implementation Planning'!C5="","",'Implementation Planning'!C5)</f>
        <v/>
      </c>
      <c r="D55" s="39">
        <f>IF('Implementation Planning'!D5="","",'Implementation Planning'!D5)</f>
        <v/>
      </c>
      <c r="E55" s="39">
        <f>IF('Implementation Planning'!E5="","",'Implementation Planning'!E5)</f>
        <v/>
      </c>
      <c r="F55" s="40">
        <f>IF('Implementation Planning'!F5="","",'Implementation Planning'!F5)</f>
        <v/>
      </c>
      <c r="G55" s="39">
        <f>IF('Implementation Planning'!G5="","",'Implementation Planning'!G5)</f>
        <v/>
      </c>
    </row>
    <row r="56">
      <c r="A56" s="41">
        <f>IF('Implementation Planning'!A6="","",'Implementation Planning'!A6)</f>
        <v/>
      </c>
      <c r="B56" s="41">
        <f>IF('Implementation Planning'!B6="","",'Implementation Planning'!B6)</f>
        <v/>
      </c>
      <c r="C56" s="41">
        <f>IF('Implementation Planning'!C6="","",'Implementation Planning'!C6)</f>
        <v/>
      </c>
      <c r="D56" s="41">
        <f>IF('Implementation Planning'!D6="","",'Implementation Planning'!D6)</f>
        <v/>
      </c>
      <c r="E56" s="41">
        <f>IF('Implementation Planning'!E6="","",'Implementation Planning'!E6)</f>
        <v/>
      </c>
      <c r="F56" s="40">
        <f>IF('Implementation Planning'!F6="","",'Implementation Planning'!F6)</f>
        <v/>
      </c>
      <c r="G56" s="41">
        <f>IF('Implementation Planning'!G6="","",'Implementation Planning'!G6)</f>
        <v/>
      </c>
    </row>
    <row r="57">
      <c r="A57" s="39">
        <f>IF('Implementation Planning'!A7="","",'Implementation Planning'!A7)</f>
        <v/>
      </c>
      <c r="B57" s="39">
        <f>IF('Implementation Planning'!B7="","",'Implementation Planning'!B7)</f>
        <v/>
      </c>
      <c r="C57" s="39">
        <f>IF('Implementation Planning'!C7="","",'Implementation Planning'!C7)</f>
        <v/>
      </c>
      <c r="D57" s="39">
        <f>IF('Implementation Planning'!D7="","",'Implementation Planning'!D7)</f>
        <v/>
      </c>
      <c r="E57" s="39">
        <f>IF('Implementation Planning'!E7="","",'Implementation Planning'!E7)</f>
        <v/>
      </c>
      <c r="F57" s="40">
        <f>IF('Implementation Planning'!F7="","",'Implementation Planning'!F7)</f>
        <v/>
      </c>
      <c r="G57" s="39">
        <f>IF('Implementation Planning'!G7="","",'Implementation Planning'!G7)</f>
        <v/>
      </c>
    </row>
    <row r="58">
      <c r="A58" s="41">
        <f>IF('Implementation Planning'!A8="","",'Implementation Planning'!A8)</f>
        <v/>
      </c>
      <c r="B58" s="41">
        <f>IF('Implementation Planning'!B8="","",'Implementation Planning'!B8)</f>
        <v/>
      </c>
      <c r="C58" s="41">
        <f>IF('Implementation Planning'!C8="","",'Implementation Planning'!C8)</f>
        <v/>
      </c>
      <c r="D58" s="41">
        <f>IF('Implementation Planning'!D8="","",'Implementation Planning'!D8)</f>
        <v/>
      </c>
      <c r="E58" s="41">
        <f>IF('Implementation Planning'!E8="","",'Implementation Planning'!E8)</f>
        <v/>
      </c>
      <c r="F58" s="40">
        <f>IF('Implementation Planning'!F8="","",'Implementation Planning'!F8)</f>
        <v/>
      </c>
      <c r="G58" s="41">
        <f>IF('Implementation Planning'!G8="","",'Implementation Planning'!G8)</f>
        <v/>
      </c>
    </row>
    <row r="59">
      <c r="A59" s="39">
        <f>IF('Implementation Planning'!A9="","",'Implementation Planning'!A9)</f>
        <v/>
      </c>
      <c r="B59" s="39">
        <f>IF('Implementation Planning'!B9="","",'Implementation Planning'!B9)</f>
        <v/>
      </c>
      <c r="C59" s="39">
        <f>IF('Implementation Planning'!C9="","",'Implementation Planning'!C9)</f>
        <v/>
      </c>
      <c r="D59" s="39">
        <f>IF('Implementation Planning'!D9="","",'Implementation Planning'!D9)</f>
        <v/>
      </c>
      <c r="E59" s="39">
        <f>IF('Implementation Planning'!E9="","",'Implementation Planning'!E9)</f>
        <v/>
      </c>
      <c r="F59" s="40">
        <f>IF('Implementation Planning'!F9="","",'Implementation Planning'!F9)</f>
        <v/>
      </c>
      <c r="G59" s="39">
        <f>IF('Implementation Planning'!G9="","",'Implementation Planning'!G9)</f>
        <v/>
      </c>
    </row>
    <row r="60">
      <c r="A60" s="41">
        <f>IF('Implementation Planning'!A10="","",'Implementation Planning'!A10)</f>
        <v/>
      </c>
      <c r="B60" s="41">
        <f>IF('Implementation Planning'!B10="","",'Implementation Planning'!B10)</f>
        <v/>
      </c>
      <c r="C60" s="41">
        <f>IF('Implementation Planning'!C10="","",'Implementation Planning'!C10)</f>
        <v/>
      </c>
      <c r="D60" s="41">
        <f>IF('Implementation Planning'!D10="","",'Implementation Planning'!D10)</f>
        <v/>
      </c>
      <c r="E60" s="41">
        <f>IF('Implementation Planning'!E10="","",'Implementation Planning'!E10)</f>
        <v/>
      </c>
      <c r="F60" s="40">
        <f>IF('Implementation Planning'!F10="","",'Implementation Planning'!F10)</f>
        <v/>
      </c>
      <c r="G60" s="41">
        <f>IF('Implementation Planning'!G10="","",'Implementation Planning'!G10)</f>
        <v/>
      </c>
    </row>
    <row r="61">
      <c r="A61" s="39">
        <f>IF('Implementation Planning'!A11="","",'Implementation Planning'!A11)</f>
        <v/>
      </c>
      <c r="B61" s="39">
        <f>IF('Implementation Planning'!B11="","",'Implementation Planning'!B11)</f>
        <v/>
      </c>
      <c r="C61" s="39">
        <f>IF('Implementation Planning'!C11="","",'Implementation Planning'!C11)</f>
        <v/>
      </c>
      <c r="D61" s="39">
        <f>IF('Implementation Planning'!D11="","",'Implementation Planning'!D11)</f>
        <v/>
      </c>
      <c r="E61" s="39">
        <f>IF('Implementation Planning'!E11="","",'Implementation Planning'!E11)</f>
        <v/>
      </c>
      <c r="F61" s="40">
        <f>IF('Implementation Planning'!F11="","",'Implementation Planning'!F11)</f>
        <v/>
      </c>
      <c r="G61" s="39">
        <f>IF('Implementation Planning'!G11="","",'Implementation Planning'!G11)</f>
        <v/>
      </c>
    </row>
    <row r="62">
      <c r="A62" s="41">
        <f>IF('Risk &amp; Constraints'!A2="","",'Risk &amp; Constraints'!A2)</f>
        <v/>
      </c>
      <c r="B62" s="41">
        <f>IF('Risk &amp; Constraints'!B2="","",'Risk &amp; Constraints'!B2)</f>
        <v/>
      </c>
      <c r="C62" s="41">
        <f>IF('Risk &amp; Constraints'!C2="","",'Risk &amp; Constraints'!C2)</f>
        <v/>
      </c>
      <c r="D62" s="41">
        <f>IF('Risk &amp; Constraints'!D2="","",'Risk &amp; Constraints'!D2)</f>
        <v/>
      </c>
      <c r="E62" s="41">
        <f>IF('Risk &amp; Constraints'!E2="","",'Risk &amp; Constraints'!E2)</f>
        <v/>
      </c>
      <c r="F62" s="40">
        <f>IF('Risk &amp; Constraints'!F2="","",'Risk &amp; Constraints'!F2)</f>
        <v/>
      </c>
      <c r="G62" s="41">
        <f>IF('Risk &amp; Constraints'!G2="","",'Risk &amp; Constraints'!G2)</f>
        <v/>
      </c>
    </row>
    <row r="63">
      <c r="A63" s="39">
        <f>IF('Risk &amp; Constraints'!A3="","",'Risk &amp; Constraints'!A3)</f>
        <v/>
      </c>
      <c r="B63" s="39">
        <f>IF('Risk &amp; Constraints'!B3="","",'Risk &amp; Constraints'!B3)</f>
        <v/>
      </c>
      <c r="C63" s="39">
        <f>IF('Risk &amp; Constraints'!C3="","",'Risk &amp; Constraints'!C3)</f>
        <v/>
      </c>
      <c r="D63" s="39">
        <f>IF('Risk &amp; Constraints'!D3="","",'Risk &amp; Constraints'!D3)</f>
        <v/>
      </c>
      <c r="E63" s="39">
        <f>IF('Risk &amp; Constraints'!E3="","",'Risk &amp; Constraints'!E3)</f>
        <v/>
      </c>
      <c r="F63" s="40">
        <f>IF('Risk &amp; Constraints'!F3="","",'Risk &amp; Constraints'!F3)</f>
        <v/>
      </c>
      <c r="G63" s="39">
        <f>IF('Risk &amp; Constraints'!G3="","",'Risk &amp; Constraints'!G3)</f>
        <v/>
      </c>
    </row>
    <row r="64">
      <c r="A64" s="41">
        <f>IF('Risk &amp; Constraints'!A4="","",'Risk &amp; Constraints'!A4)</f>
        <v/>
      </c>
      <c r="B64" s="41">
        <f>IF('Risk &amp; Constraints'!B4="","",'Risk &amp; Constraints'!B4)</f>
        <v/>
      </c>
      <c r="C64" s="41">
        <f>IF('Risk &amp; Constraints'!C4="","",'Risk &amp; Constraints'!C4)</f>
        <v/>
      </c>
      <c r="D64" s="41">
        <f>IF('Risk &amp; Constraints'!D4="","",'Risk &amp; Constraints'!D4)</f>
        <v/>
      </c>
      <c r="E64" s="41">
        <f>IF('Risk &amp; Constraints'!E4="","",'Risk &amp; Constraints'!E4)</f>
        <v/>
      </c>
      <c r="F64" s="40">
        <f>IF('Risk &amp; Constraints'!F4="","",'Risk &amp; Constraints'!F4)</f>
        <v/>
      </c>
      <c r="G64" s="41">
        <f>IF('Risk &amp; Constraints'!G4="","",'Risk &amp; Constraints'!G4)</f>
        <v/>
      </c>
    </row>
    <row r="65">
      <c r="A65" s="39">
        <f>IF('Risk &amp; Constraints'!A5="","",'Risk &amp; Constraints'!A5)</f>
        <v/>
      </c>
      <c r="B65" s="39">
        <f>IF('Risk &amp; Constraints'!B5="","",'Risk &amp; Constraints'!B5)</f>
        <v/>
      </c>
      <c r="C65" s="39">
        <f>IF('Risk &amp; Constraints'!C5="","",'Risk &amp; Constraints'!C5)</f>
        <v/>
      </c>
      <c r="D65" s="39">
        <f>IF('Risk &amp; Constraints'!D5="","",'Risk &amp; Constraints'!D5)</f>
        <v/>
      </c>
      <c r="E65" s="39">
        <f>IF('Risk &amp; Constraints'!E5="","",'Risk &amp; Constraints'!E5)</f>
        <v/>
      </c>
      <c r="F65" s="40">
        <f>IF('Risk &amp; Constraints'!F5="","",'Risk &amp; Constraints'!F5)</f>
        <v/>
      </c>
      <c r="G65" s="39">
        <f>IF('Risk &amp; Constraints'!G5="","",'Risk &amp; Constraints'!G5)</f>
        <v/>
      </c>
    </row>
    <row r="66">
      <c r="A66" s="41">
        <f>IF('Risk &amp; Constraints'!A6="","",'Risk &amp; Constraints'!A6)</f>
        <v/>
      </c>
      <c r="B66" s="41">
        <f>IF('Risk &amp; Constraints'!B6="","",'Risk &amp; Constraints'!B6)</f>
        <v/>
      </c>
      <c r="C66" s="41">
        <f>IF('Risk &amp; Constraints'!C6="","",'Risk &amp; Constraints'!C6)</f>
        <v/>
      </c>
      <c r="D66" s="41">
        <f>IF('Risk &amp; Constraints'!D6="","",'Risk &amp; Constraints'!D6)</f>
        <v/>
      </c>
      <c r="E66" s="41">
        <f>IF('Risk &amp; Constraints'!E6="","",'Risk &amp; Constraints'!E6)</f>
        <v/>
      </c>
      <c r="F66" s="40">
        <f>IF('Risk &amp; Constraints'!F6="","",'Risk &amp; Constraints'!F6)</f>
        <v/>
      </c>
      <c r="G66" s="41">
        <f>IF('Risk &amp; Constraints'!G6="","",'Risk &amp; Constraints'!G6)</f>
        <v/>
      </c>
    </row>
    <row r="67">
      <c r="A67" s="39">
        <f>IF('Risk &amp; Constraints'!A7="","",'Risk &amp; Constraints'!A7)</f>
        <v/>
      </c>
      <c r="B67" s="39">
        <f>IF('Risk &amp; Constraints'!B7="","",'Risk &amp; Constraints'!B7)</f>
        <v/>
      </c>
      <c r="C67" s="39">
        <f>IF('Risk &amp; Constraints'!C7="","",'Risk &amp; Constraints'!C7)</f>
        <v/>
      </c>
      <c r="D67" s="39">
        <f>IF('Risk &amp; Constraints'!D7="","",'Risk &amp; Constraints'!D7)</f>
        <v/>
      </c>
      <c r="E67" s="39">
        <f>IF('Risk &amp; Constraints'!E7="","",'Risk &amp; Constraints'!E7)</f>
        <v/>
      </c>
      <c r="F67" s="40">
        <f>IF('Risk &amp; Constraints'!F7="","",'Risk &amp; Constraints'!F7)</f>
        <v/>
      </c>
      <c r="G67" s="39">
        <f>IF('Risk &amp; Constraints'!G7="","",'Risk &amp; Constraints'!G7)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25" customWidth="1" min="3" max="3"/>
    <col width="50" customWidth="1" min="4" max="4"/>
    <col width="40" customWidth="1" min="5" max="5"/>
    <col width="40" customWidth="1" min="6" max="6"/>
    <col width="30" customWidth="1" min="7" max="7"/>
  </cols>
  <sheetData>
    <row r="1" ht="32" customHeight="1">
      <c r="A1" s="38" t="inlineStr">
        <is>
          <t>Question ID</t>
        </is>
      </c>
      <c r="B1" s="38" t="inlineStr">
        <is>
          <t>Category</t>
        </is>
      </c>
      <c r="C1" s="38" t="inlineStr">
        <is>
          <t>Sub-Category</t>
        </is>
      </c>
      <c r="D1" s="38" t="inlineStr">
        <is>
          <t>Question</t>
        </is>
      </c>
      <c r="E1" s="38" t="inlineStr">
        <is>
          <t>Guidance</t>
        </is>
      </c>
      <c r="F1" s="38" t="inlineStr">
        <is>
          <t>Customer Response</t>
        </is>
      </c>
      <c r="G1" s="38" t="inlineStr">
        <is>
          <t>Notes</t>
        </is>
      </c>
    </row>
    <row r="2">
      <c r="A2" s="41" t="inlineStr">
        <is>
          <t>BUS-001</t>
        </is>
      </c>
      <c r="B2" s="41" t="inlineStr">
        <is>
          <t>Business Requirements</t>
        </is>
      </c>
      <c r="C2" s="41" t="inlineStr">
        <is>
          <t>Project Information</t>
        </is>
      </c>
      <c r="D2" s="41" t="inlineStr">
        <is>
          <t>What is the name of your Secure Access / NAC project?</t>
        </is>
      </c>
      <c r="E2" s="41" t="inlineStr">
        <is>
          <t>Provide internal project reference name</t>
        </is>
      </c>
      <c r="F2" s="40" t="n"/>
      <c r="G2" s="41" t="inlineStr">
        <is>
          <t>Internal project reference for tracking</t>
        </is>
      </c>
    </row>
    <row r="3">
      <c r="A3" s="39" t="inlineStr">
        <is>
          <t>BUS-002</t>
        </is>
      </c>
      <c r="B3" s="39" t="inlineStr">
        <is>
          <t>Business Requirements</t>
        </is>
      </c>
      <c r="C3" s="39" t="inlineStr">
        <is>
          <t>Project Information</t>
        </is>
      </c>
      <c r="D3" s="39" t="inlineStr">
        <is>
          <t>Who is the primary stakeholder for this security initiative?</t>
        </is>
      </c>
      <c r="E3" s="39" t="inlineStr">
        <is>
          <t>Name, role, and decision-making authority</t>
        </is>
      </c>
      <c r="F3" s="40" t="n"/>
      <c r="G3" s="39" t="inlineStr">
        <is>
          <t>Main point of contact and decision authority</t>
        </is>
      </c>
    </row>
    <row r="4">
      <c r="A4" s="41" t="inlineStr">
        <is>
          <t>BUS-003</t>
        </is>
      </c>
      <c r="B4" s="41" t="inlineStr">
        <is>
          <t>Business Requirements</t>
        </is>
      </c>
      <c r="C4" s="41" t="inlineStr">
        <is>
          <t>Business Drivers</t>
        </is>
      </c>
      <c r="D4" s="41" t="inlineStr">
        <is>
          <t>What security challenges are you trying to solve with NAC?</t>
        </is>
      </c>
      <c r="E4" s="41" t="inlineStr">
        <is>
          <t>Common challenges: Unauthorized device access, Rogue access points, BYOD security, Guest WiFi security, Compliance requirements, Lateral movement threats</t>
        </is>
      </c>
      <c r="F4" s="40" t="n"/>
      <c r="G4" s="41" t="inlineStr">
        <is>
          <t>Primary business driver for NAC investment</t>
        </is>
      </c>
    </row>
    <row r="5">
      <c r="A5" s="39" t="inlineStr">
        <is>
          <t>BUS-004</t>
        </is>
      </c>
      <c r="B5" s="39" t="inlineStr">
        <is>
          <t>Business Requirements</t>
        </is>
      </c>
      <c r="C5" s="39" t="inlineStr">
        <is>
          <t>Current State</t>
        </is>
      </c>
      <c r="D5" s="39" t="inlineStr">
        <is>
          <t>What is your current network access control approach?</t>
        </is>
      </c>
      <c r="E5" s="39" t="inlineStr">
        <is>
          <t>Describe: MAC filtering, Port security, Pre-shared keys (PSK), VPN only, No access control, Other</t>
        </is>
      </c>
      <c r="F5" s="40" t="n"/>
      <c r="G5" s="39" t="inlineStr">
        <is>
          <t>Current state baseline assessment</t>
        </is>
      </c>
    </row>
    <row r="6">
      <c r="A6" s="41" t="inlineStr">
        <is>
          <t>BUS-005</t>
        </is>
      </c>
      <c r="B6" s="41" t="inlineStr">
        <is>
          <t>Business Requirements</t>
        </is>
      </c>
      <c r="C6" s="41" t="inlineStr">
        <is>
          <t>Objectives</t>
        </is>
      </c>
      <c r="D6" s="41" t="inlineStr">
        <is>
          <t>What are your primary goals for implementing NAC?</t>
        </is>
      </c>
      <c r="E6" s="41" t="inlineStr">
        <is>
          <t>Common goals: Prevent unauthorized access, Enable secure BYOD, Automate guest WiFi, Network segmentation, Compliance (PCI/HIPAA), Device visibility</t>
        </is>
      </c>
      <c r="F6" s="40" t="n"/>
      <c r="G6" s="41" t="inlineStr">
        <is>
          <t>Business objectives and expected outcomes</t>
        </is>
      </c>
    </row>
    <row r="7">
      <c r="A7" s="39" t="inlineStr">
        <is>
          <t>BUS-006</t>
        </is>
      </c>
      <c r="B7" s="39" t="inlineStr">
        <is>
          <t>Business Requirements</t>
        </is>
      </c>
      <c r="C7" s="39" t="inlineStr">
        <is>
          <t>Success Criteria</t>
        </is>
      </c>
      <c r="D7" s="39" t="inlineStr">
        <is>
          <t>How will you measure NAC success?</t>
        </is>
      </c>
      <c r="E7" s="39" t="inlineStr">
        <is>
          <t>Define KPIs: Unauthorized access incidents, Guest helpdesk tickets reduced, Compliance audit score, Time to onboard BYOD devices</t>
        </is>
      </c>
      <c r="F7" s="40" t="n"/>
      <c r="G7" s="39" t="inlineStr">
        <is>
          <t>Success metrics for project evaluation</t>
        </is>
      </c>
    </row>
    <row r="8">
      <c r="A8" s="41" t="inlineStr">
        <is>
          <t>BUS-007</t>
        </is>
      </c>
      <c r="B8" s="41" t="inlineStr">
        <is>
          <t>Business Requirements</t>
        </is>
      </c>
      <c r="C8" s="41" t="inlineStr">
        <is>
          <t>Timeline</t>
        </is>
      </c>
      <c r="D8" s="41" t="inlineStr">
        <is>
          <t>What is your expected timeline for NAC implementation?</t>
        </is>
      </c>
      <c r="E8" s="41" t="inlineStr">
        <is>
          <t>Typical ranges: 0-3 months, 3-6 months, 6-12 months, 12+ months</t>
        </is>
      </c>
      <c r="F8" s="40" t="n"/>
      <c r="G8" s="41" t="inlineStr">
        <is>
          <t>Project timeline expectations and constraints</t>
        </is>
      </c>
    </row>
    <row r="9">
      <c r="A9" s="39" t="inlineStr">
        <is>
          <t>BUS-008</t>
        </is>
      </c>
      <c r="B9" s="39" t="inlineStr">
        <is>
          <t>Business Requirements</t>
        </is>
      </c>
      <c r="C9" s="39" t="inlineStr">
        <is>
          <t>Budget</t>
        </is>
      </c>
      <c r="D9" s="39" t="inlineStr">
        <is>
          <t>What is your approved budget range for this NAC solution?</t>
        </is>
      </c>
      <c r="E9" s="39" t="inlineStr">
        <is>
          <t>Common ranges: $100K-250K, $250K-500K, $500K-1M. Include hardware, software, services</t>
        </is>
      </c>
      <c r="F9" s="40" t="n"/>
      <c r="G9" s="39" t="inlineStr">
        <is>
          <t>Budget constraints for solution sizing</t>
        </is>
      </c>
    </row>
    <row r="10">
      <c r="A10" s="41" t="inlineStr">
        <is>
          <t>BUS-009</t>
        </is>
      </c>
      <c r="B10" s="41" t="inlineStr">
        <is>
          <t>Business Requirements</t>
        </is>
      </c>
      <c r="C10" s="41" t="inlineStr">
        <is>
          <t>Compliance</t>
        </is>
      </c>
      <c r="D10" s="41" t="inlineStr">
        <is>
          <t>What compliance standards drive NAC requirements?</t>
        </is>
      </c>
      <c r="E10" s="41" t="inlineStr">
        <is>
          <t>Standards: PCI DSS, HIPAA, NIST 800-53, ISO 27001, CMMC, Industry-specific</t>
        </is>
      </c>
      <c r="F10" s="40" t="n"/>
      <c r="G10" s="41" t="inlineStr">
        <is>
          <t>Compliance controls and audit requirements</t>
        </is>
      </c>
    </row>
    <row r="11">
      <c r="A11" s="39" t="inlineStr">
        <is>
          <t>BUS-010</t>
        </is>
      </c>
      <c r="B11" s="39" t="inlineStr">
        <is>
          <t>Business Requirements</t>
        </is>
      </c>
      <c r="C11" s="39" t="inlineStr">
        <is>
          <t>Security Incidents</t>
        </is>
      </c>
      <c r="D11" s="39" t="inlineStr">
        <is>
          <t>Have you experienced unauthorized access or security incidents?</t>
        </is>
      </c>
      <c r="E11" s="39" t="inlineStr">
        <is>
          <t>Incidents: Rogue devices, Unauthorized wireless, Data breaches, Malware lateral movement, Shadow IT</t>
        </is>
      </c>
      <c r="F11" s="40" t="n"/>
      <c r="G11" s="39" t="inlineStr">
        <is>
          <t>Security posture and risk assessment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25" customWidth="1" min="3" max="3"/>
    <col width="50" customWidth="1" min="4" max="4"/>
    <col width="40" customWidth="1" min="5" max="5"/>
    <col width="40" customWidth="1" min="6" max="6"/>
    <col width="30" customWidth="1" min="7" max="7"/>
  </cols>
  <sheetData>
    <row r="1" ht="32" customHeight="1">
      <c r="A1" s="38" t="inlineStr">
        <is>
          <t>Question ID</t>
        </is>
      </c>
      <c r="B1" s="38" t="inlineStr">
        <is>
          <t>Category</t>
        </is>
      </c>
      <c r="C1" s="38" t="inlineStr">
        <is>
          <t>Sub-Category</t>
        </is>
      </c>
      <c r="D1" s="38" t="inlineStr">
        <is>
          <t>Question</t>
        </is>
      </c>
      <c r="E1" s="38" t="inlineStr">
        <is>
          <t>Guidance</t>
        </is>
      </c>
      <c r="F1" s="38" t="inlineStr">
        <is>
          <t>Customer Response</t>
        </is>
      </c>
      <c r="G1" s="38" t="inlineStr">
        <is>
          <t>Notes</t>
        </is>
      </c>
    </row>
    <row r="2">
      <c r="A2" s="41" t="inlineStr">
        <is>
          <t>TECH-001</t>
        </is>
      </c>
      <c r="B2" s="41" t="inlineStr">
        <is>
          <t>Technical Requirements</t>
        </is>
      </c>
      <c r="C2" s="41" t="inlineStr">
        <is>
          <t>User Count</t>
        </is>
      </c>
      <c r="D2" s="41" t="inlineStr">
        <is>
          <t>How many concurrent users need network access?</t>
        </is>
      </c>
      <c r="E2" s="41" t="inlineStr">
        <is>
          <t>Typical ranges: 500, 1000, 3000, 5000, 10000+</t>
        </is>
      </c>
      <c r="F2" s="40" t="n"/>
      <c r="G2" s="41" t="inlineStr">
        <is>
          <t>User count drives ISE licensing</t>
        </is>
      </c>
    </row>
    <row r="3">
      <c r="A3" s="39" t="inlineStr">
        <is>
          <t>TECH-002</t>
        </is>
      </c>
      <c r="B3" s="39" t="inlineStr">
        <is>
          <t>Technical Requirements</t>
        </is>
      </c>
      <c r="C3" s="39" t="inlineStr">
        <is>
          <t>Device Count</t>
        </is>
      </c>
      <c r="D3" s="39" t="inlineStr">
        <is>
          <t>How many network endpoints need authentication?</t>
        </is>
      </c>
      <c r="E3" s="39" t="inlineStr">
        <is>
          <t>Count all devices: Computers, Smartphones, Tablets, Printers, IoT devices, IP cameras, Other</t>
        </is>
      </c>
      <c r="F3" s="40" t="n"/>
      <c r="G3" s="39" t="inlineStr">
        <is>
          <t>Total endpoint count for licensing</t>
        </is>
      </c>
    </row>
    <row r="4">
      <c r="A4" s="41" t="inlineStr">
        <is>
          <t>TECH-003</t>
        </is>
      </c>
      <c r="B4" s="41" t="inlineStr">
        <is>
          <t>Technical Requirements</t>
        </is>
      </c>
      <c r="C4" s="41" t="inlineStr">
        <is>
          <t>Device Types</t>
        </is>
      </c>
      <c r="D4" s="41" t="inlineStr">
        <is>
          <t>What types of devices access the network?</t>
        </is>
      </c>
      <c r="E4" s="41" t="inlineStr">
        <is>
          <t>Device types: Corporate laptops, BYOD smartphones, Tablets, Printers, IoT sensors, IP cameras, Medical devices, Guest devices</t>
        </is>
      </c>
      <c r="F4" s="40" t="n"/>
      <c r="G4" s="41" t="inlineStr">
        <is>
          <t>Device profiling and policy requirements</t>
        </is>
      </c>
    </row>
    <row r="5">
      <c r="A5" s="39" t="inlineStr">
        <is>
          <t>TECH-004</t>
        </is>
      </c>
      <c r="B5" s="39" t="inlineStr">
        <is>
          <t>Technical Requirements</t>
        </is>
      </c>
      <c r="C5" s="39" t="inlineStr">
        <is>
          <t>BYOD Policy</t>
        </is>
      </c>
      <c r="D5" s="39" t="inlineStr">
        <is>
          <t>Do you allow BYOD (Bring Your Own Device)?</t>
        </is>
      </c>
      <c r="E5" s="39" t="inlineStr">
        <is>
          <t>BYOD policy: Allowed for all employees, Limited to executives, Pilot only, Not allowed, Planned in future</t>
        </is>
      </c>
      <c r="F5" s="40" t="n"/>
      <c r="G5" s="39" t="inlineStr">
        <is>
          <t>BYOD requirements and onboarding</t>
        </is>
      </c>
    </row>
    <row r="6">
      <c r="A6" s="41" t="inlineStr">
        <is>
          <t>TECH-005</t>
        </is>
      </c>
      <c r="B6" s="41" t="inlineStr">
        <is>
          <t>Technical Requirements</t>
        </is>
      </c>
      <c r="C6" s="41" t="inlineStr">
        <is>
          <t>Guest Access</t>
        </is>
      </c>
      <c r="D6" s="41" t="inlineStr">
        <is>
          <t>How many guest users access WiFi daily?</t>
        </is>
      </c>
      <c r="E6" s="41" t="inlineStr">
        <is>
          <t>Guest volume: &lt;10/day, 10-50/day, 50-100/day, 100+/day</t>
        </is>
      </c>
      <c r="F6" s="40" t="n"/>
      <c r="G6" s="41" t="inlineStr">
        <is>
          <t>Guest portal sizing and workflow requirements</t>
        </is>
      </c>
    </row>
    <row r="7">
      <c r="A7" s="39" t="inlineStr">
        <is>
          <t>TECH-006</t>
        </is>
      </c>
      <c r="B7" s="39" t="inlineStr">
        <is>
          <t>Technical Requirements</t>
        </is>
      </c>
      <c r="C7" s="39" t="inlineStr">
        <is>
          <t>Network Infrastructure</t>
        </is>
      </c>
      <c r="D7" s="39" t="inlineStr">
        <is>
          <t>What Cisco network infrastructure is deployed?</t>
        </is>
      </c>
      <c r="E7" s="39" t="inlineStr">
        <is>
          <t>Infrastructure: Catalyst 9K switches, Catalyst 3K/4K switches, Nexus switches, Wireless LAN Controllers, Meraki (cloud-managed)</t>
        </is>
      </c>
      <c r="F7" s="40" t="n"/>
      <c r="G7" s="39" t="inlineStr">
        <is>
          <t>ISE integration and compatibility</t>
        </is>
      </c>
    </row>
    <row r="8">
      <c r="A8" s="41" t="inlineStr">
        <is>
          <t>TECH-007</t>
        </is>
      </c>
      <c r="B8" s="41" t="inlineStr">
        <is>
          <t>Technical Requirements</t>
        </is>
      </c>
      <c r="C8" s="41" t="inlineStr">
        <is>
          <t>Switch Compatibility</t>
        </is>
      </c>
      <c r="D8" s="41" t="inlineStr">
        <is>
          <t>Do your switches support 802.1X authentication?</t>
        </is>
      </c>
      <c r="E8" s="41" t="inlineStr">
        <is>
          <t>802.1X support: Yes - Catalyst 9K/3K/4K, Partial - requires IOS upgrade, No - legacy switches, Mixed environment</t>
        </is>
      </c>
      <c r="F8" s="40" t="n"/>
      <c r="G8" s="41" t="inlineStr">
        <is>
          <t>Infrastructure readiness and upgrade needs</t>
        </is>
      </c>
    </row>
    <row r="9">
      <c r="A9" s="39" t="inlineStr">
        <is>
          <t>TECH-008</t>
        </is>
      </c>
      <c r="B9" s="39" t="inlineStr">
        <is>
          <t>Technical Requirements</t>
        </is>
      </c>
      <c r="C9" s="39" t="inlineStr">
        <is>
          <t>Wireless Infrastructure</t>
        </is>
      </c>
      <c r="D9" s="39" t="inlineStr">
        <is>
          <t>What wireless infrastructure is deployed?</t>
        </is>
      </c>
      <c r="E9" s="39" t="inlineStr">
        <is>
          <t>Wireless: Cisco Catalyst 9800 WLC, Cisco AireOS WLC, Meraki cloud-managed, Third-party (Aruba HP Ruckus)</t>
        </is>
      </c>
      <c r="F9" s="40" t="n"/>
      <c r="G9" s="39" t="inlineStr">
        <is>
          <t>Wireless integration and compatibility</t>
        </is>
      </c>
    </row>
    <row r="10">
      <c r="A10" s="41" t="inlineStr">
        <is>
          <t>TECH-009</t>
        </is>
      </c>
      <c r="B10" s="41" t="inlineStr">
        <is>
          <t>Technical Requirements</t>
        </is>
      </c>
      <c r="C10" s="41" t="inlineStr">
        <is>
          <t>Network Topology</t>
        </is>
      </c>
      <c r="D10" s="41" t="inlineStr">
        <is>
          <t>What is your network topology?</t>
        </is>
      </c>
      <c r="E10" s="41" t="inlineStr">
        <is>
          <t>Topology: Campus (core/distribution/access), Branch offices, Data center, Remote sites, Distributed locations</t>
        </is>
      </c>
      <c r="F10" s="40" t="n"/>
      <c r="G10" s="41" t="inlineStr">
        <is>
          <t>Deployment architecture and scale</t>
        </is>
      </c>
    </row>
    <row r="11">
      <c r="A11" s="39" t="inlineStr">
        <is>
          <t>TECH-010</t>
        </is>
      </c>
      <c r="B11" s="39" t="inlineStr">
        <is>
          <t>Technical Requirements</t>
        </is>
      </c>
      <c r="C11" s="39" t="inlineStr">
        <is>
          <t>VLANs and Segmentation</t>
        </is>
      </c>
      <c r="D11" s="39" t="inlineStr">
        <is>
          <t>How many VLANs are configured?</t>
        </is>
      </c>
      <c r="E11" s="39" t="inlineStr">
        <is>
          <t>VLAN count: &lt;10, 10-50, 50-100, 100+, Dynamic VLAN assignment needed</t>
        </is>
      </c>
      <c r="F11" s="40" t="n"/>
      <c r="G11" s="39" t="inlineStr">
        <is>
          <t>Network segmentation complexity</t>
        </is>
      </c>
    </row>
    <row r="12">
      <c r="A12" s="41" t="inlineStr">
        <is>
          <t>TECH-011</t>
        </is>
      </c>
      <c r="B12" s="41" t="inlineStr">
        <is>
          <t>Technical Requirements</t>
        </is>
      </c>
      <c r="C12" s="41" t="inlineStr">
        <is>
          <t>Authentication Source</t>
        </is>
      </c>
      <c r="D12" s="41" t="inlineStr">
        <is>
          <t>What identity source will ISE authenticate against?</t>
        </is>
      </c>
      <c r="E12" s="41" t="inlineStr">
        <is>
          <t>Identity sources: Active Directory, LDAP, Azure AD (cloud sync), RADIUS proxy, Certificate-based, Local database</t>
        </is>
      </c>
      <c r="F12" s="40" t="n"/>
      <c r="G12" s="41" t="inlineStr">
        <is>
          <t>Identity integration requirements</t>
        </is>
      </c>
    </row>
    <row r="13">
      <c r="A13" s="39" t="inlineStr">
        <is>
          <t>TECH-012</t>
        </is>
      </c>
      <c r="B13" s="39" t="inlineStr">
        <is>
          <t>Technical Requirements</t>
        </is>
      </c>
      <c r="C13" s="39" t="inlineStr">
        <is>
          <t>Active Directory</t>
        </is>
      </c>
      <c r="D13" s="39" t="inlineStr">
        <is>
          <t>What Active Directory environment do you have?</t>
        </is>
      </c>
      <c r="E13" s="39" t="inlineStr">
        <is>
          <t>AD environment: On-premises AD, Azure AD only, Hybrid AD + Azure AD, Multi-forest, Multi-domain</t>
        </is>
      </c>
      <c r="F13" s="40" t="n"/>
      <c r="G13" s="39" t="inlineStr">
        <is>
          <t>AD integration architecture</t>
        </is>
      </c>
    </row>
    <row r="14">
      <c r="A14" s="41" t="inlineStr">
        <is>
          <t>TECH-013</t>
        </is>
      </c>
      <c r="B14" s="41" t="inlineStr">
        <is>
          <t>Technical Requirements</t>
        </is>
      </c>
      <c r="C14" s="41" t="inlineStr">
        <is>
          <t>Certificate Infrastructure</t>
        </is>
      </c>
      <c r="D14" s="41" t="inlineStr">
        <is>
          <t>Do you have a PKI (Public Key Infrastructure)?</t>
        </is>
      </c>
      <c r="E14" s="41" t="inlineStr">
        <is>
          <t>PKI: Microsoft CA, Third-party CA (DigiCert Entrust), No PKI - need implementation, Self-signed only</t>
        </is>
      </c>
      <c r="F14" s="40" t="n"/>
      <c r="G14" s="41" t="inlineStr">
        <is>
          <t>Certificate-based authentication readiness</t>
        </is>
      </c>
    </row>
    <row r="15">
      <c r="A15" s="39" t="inlineStr">
        <is>
          <t>TECH-014</t>
        </is>
      </c>
      <c r="B15" s="39" t="inlineStr">
        <is>
          <t>Technical Requirements</t>
        </is>
      </c>
      <c r="C15" s="39" t="inlineStr">
        <is>
          <t>TrustSec Requirements</t>
        </is>
      </c>
      <c r="D15" s="39" t="inlineStr">
        <is>
          <t>Do you need TrustSec micro-segmentation?</t>
        </is>
      </c>
      <c r="E15" s="39" t="inlineStr">
        <is>
          <t>TrustSec use cases: Compliance zones, Lateral movement prevention, Contractor isolation, IoT segmentation, Not required</t>
        </is>
      </c>
      <c r="F15" s="40" t="n"/>
      <c r="G15" s="39" t="inlineStr">
        <is>
          <t>Software-defined segmentation needs</t>
        </is>
      </c>
    </row>
    <row r="16">
      <c r="A16" s="41" t="inlineStr">
        <is>
          <t>TECH-015</t>
        </is>
      </c>
      <c r="B16" s="41" t="inlineStr">
        <is>
          <t>Technical Requirements</t>
        </is>
      </c>
      <c r="C16" s="41" t="inlineStr">
        <is>
          <t>Device Admin</t>
        </is>
      </c>
      <c r="D16" s="41" t="inlineStr">
        <is>
          <t>Do you need device administration (network admin AAA)?</t>
        </is>
      </c>
      <c r="E16" s="41" t="inlineStr">
        <is>
          <t>Device admin: TACACS+ for network devices, RADIUS for VPN, Not required, Already have separate TACACS server</t>
        </is>
      </c>
      <c r="F16" s="40" t="n"/>
      <c r="G16" s="41" t="inlineStr">
        <is>
          <t>Network device AAA requirements</t>
        </is>
      </c>
    </row>
    <row r="17">
      <c r="A17" s="39" t="inlineStr">
        <is>
          <t>TECH-016</t>
        </is>
      </c>
      <c r="B17" s="39" t="inlineStr">
        <is>
          <t>Technical Requirements</t>
        </is>
      </c>
      <c r="C17" s="39" t="inlineStr">
        <is>
          <t>Posture Assessment</t>
        </is>
      </c>
      <c r="D17" s="39" t="inlineStr">
        <is>
          <t>Do you require device posture checking (compliance)?</t>
        </is>
      </c>
      <c r="E17" s="39" t="inlineStr">
        <is>
          <t>Posture checks: Antivirus status, OS patching, Disk encryption, Firewall enabled, Registry keys, Not required</t>
        </is>
      </c>
      <c r="F17" s="40" t="n"/>
      <c r="G17" s="39" t="inlineStr">
        <is>
          <t>Compliance validation requirements</t>
        </is>
      </c>
    </row>
    <row r="18">
      <c r="A18" s="41" t="inlineStr">
        <is>
          <t>TECH-017</t>
        </is>
      </c>
      <c r="B18" s="41" t="inlineStr">
        <is>
          <t>Technical Requirements</t>
        </is>
      </c>
      <c r="C18" s="41" t="inlineStr">
        <is>
          <t>MDM Integration</t>
        </is>
      </c>
      <c r="D18" s="41" t="inlineStr">
        <is>
          <t>Do you use Mobile Device Management (MDM)?</t>
        </is>
      </c>
      <c r="E18" s="41" t="inlineStr">
        <is>
          <t>MDM platforms: Microsoft Intune, VMware Workspace ONE, MobileIron, Jamf (Apple), No MDM, Planned</t>
        </is>
      </c>
      <c r="F18" s="40" t="n"/>
      <c r="G18" s="41" t="inlineStr">
        <is>
          <t>MDM integration for BYOD policies</t>
        </is>
      </c>
    </row>
    <row r="19">
      <c r="A19" s="39" t="inlineStr">
        <is>
          <t>TECH-018</t>
        </is>
      </c>
      <c r="B19" s="39" t="inlineStr">
        <is>
          <t>Technical Requirements</t>
        </is>
      </c>
      <c r="C19" s="39" t="inlineStr">
        <is>
          <t>High Availability</t>
        </is>
      </c>
      <c r="D19" s="39" t="inlineStr">
        <is>
          <t>What HA requirements do you have for ISE?</t>
        </is>
      </c>
      <c r="E19" s="39" t="inlineStr">
        <is>
          <t>HA requirements: Active-active across sites, Primary-secondary in same DC, Single node (no HA), Geographic redundancy</t>
        </is>
      </c>
      <c r="F19" s="40" t="n"/>
      <c r="G19" s="39" t="inlineStr">
        <is>
          <t>Availability and redundancy design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25" customWidth="1" min="3" max="3"/>
    <col width="50" customWidth="1" min="4" max="4"/>
    <col width="40" customWidth="1" min="5" max="5"/>
    <col width="40" customWidth="1" min="6" max="6"/>
    <col width="30" customWidth="1" min="7" max="7"/>
  </cols>
  <sheetData>
    <row r="1" ht="32" customHeight="1">
      <c r="A1" s="38" t="inlineStr">
        <is>
          <t>Question ID</t>
        </is>
      </c>
      <c r="B1" s="38" t="inlineStr">
        <is>
          <t>Category</t>
        </is>
      </c>
      <c r="C1" s="38" t="inlineStr">
        <is>
          <t>Sub-Category</t>
        </is>
      </c>
      <c r="D1" s="38" t="inlineStr">
        <is>
          <t>Question</t>
        </is>
      </c>
      <c r="E1" s="38" t="inlineStr">
        <is>
          <t>Guidance</t>
        </is>
      </c>
      <c r="F1" s="38" t="inlineStr">
        <is>
          <t>Customer Response</t>
        </is>
      </c>
      <c r="G1" s="38" t="inlineStr">
        <is>
          <t>Notes</t>
        </is>
      </c>
    </row>
    <row r="2">
      <c r="A2" s="41" t="inlineStr">
        <is>
          <t>SEC-001</t>
        </is>
      </c>
      <c r="B2" s="41" t="inlineStr">
        <is>
          <t>Security &amp; Compliance</t>
        </is>
      </c>
      <c r="C2" s="41" t="inlineStr">
        <is>
          <t>Access Policies</t>
        </is>
      </c>
      <c r="D2" s="41" t="inlineStr">
        <is>
          <t>What access policies need enforcement?</t>
        </is>
      </c>
      <c r="E2" s="41" t="inlineStr">
        <is>
          <t>Policies: Employee full access, Contractor restricted, Guest internet-only, IoT isolated, Time-based access, Location-based</t>
        </is>
      </c>
      <c r="F2" s="40" t="n"/>
      <c r="G2" s="41" t="inlineStr">
        <is>
          <t>Policy framework and requirements</t>
        </is>
      </c>
    </row>
    <row r="3">
      <c r="A3" s="39" t="inlineStr">
        <is>
          <t>SEC-002</t>
        </is>
      </c>
      <c r="B3" s="39" t="inlineStr">
        <is>
          <t>Security &amp; Compliance</t>
        </is>
      </c>
      <c r="C3" s="39" t="inlineStr">
        <is>
          <t>Segmentation</t>
        </is>
      </c>
      <c r="D3" s="39" t="inlineStr">
        <is>
          <t>What network segmentation is required?</t>
        </is>
      </c>
      <c r="E3" s="39" t="inlineStr">
        <is>
          <t>Segmentation: User role-based, Device type, Compliance status, Department/OU, Guest isolation, IoT quarantine</t>
        </is>
      </c>
      <c r="F3" s="40" t="n"/>
      <c r="G3" s="39" t="inlineStr">
        <is>
          <t>Segmentation strategy and architecture</t>
        </is>
      </c>
    </row>
    <row r="4">
      <c r="A4" s="41" t="inlineStr">
        <is>
          <t>SEC-003</t>
        </is>
      </c>
      <c r="B4" s="41" t="inlineStr">
        <is>
          <t>Security &amp; Compliance</t>
        </is>
      </c>
      <c r="C4" s="41" t="inlineStr">
        <is>
          <t>Guest Workflow</t>
        </is>
      </c>
      <c r="D4" s="41" t="inlineStr">
        <is>
          <t>What guest access workflow is required?</t>
        </is>
      </c>
      <c r="E4" s="41" t="inlineStr">
        <is>
          <t>Workflow: Self-registration, Sponsor approval, Lobby ambassador, SMS verification, Email validation, Social login</t>
        </is>
      </c>
      <c r="F4" s="40" t="n"/>
      <c r="G4" s="41" t="inlineStr">
        <is>
          <t>Guest portal design and process</t>
        </is>
      </c>
    </row>
    <row r="5">
      <c r="A5" s="39" t="inlineStr">
        <is>
          <t>SEC-004</t>
        </is>
      </c>
      <c r="B5" s="39" t="inlineStr">
        <is>
          <t>Security &amp; Compliance</t>
        </is>
      </c>
      <c r="C5" s="39" t="inlineStr">
        <is>
          <t>BYOD Onboarding</t>
        </is>
      </c>
      <c r="D5" s="39" t="inlineStr">
        <is>
          <t>How should BYOD devices be onboarded?</t>
        </is>
      </c>
      <c r="E5" s="39" t="inlineStr">
        <is>
          <t>Onboarding: Self-service portal, MDM enrollment, Certificate provisioning, Username/password only, Admin provisioned</t>
        </is>
      </c>
      <c r="F5" s="40" t="n"/>
      <c r="G5" s="39" t="inlineStr">
        <is>
          <t>BYOD user experience and security</t>
        </is>
      </c>
    </row>
    <row r="6">
      <c r="A6" s="41" t="inlineStr">
        <is>
          <t>SEC-005</t>
        </is>
      </c>
      <c r="B6" s="41" t="inlineStr">
        <is>
          <t>Security &amp; Compliance</t>
        </is>
      </c>
      <c r="C6" s="41" t="inlineStr">
        <is>
          <t>Non-Compliant Devices</t>
        </is>
      </c>
      <c r="D6" s="41" t="inlineStr">
        <is>
          <t>How should non-compliant devices be handled?</t>
        </is>
      </c>
      <c r="E6" s="41" t="inlineStr">
        <is>
          <t>Remediation: Quarantine VLAN, Block access, Limited access, Notification only, Automatic remediation portal</t>
        </is>
      </c>
      <c r="F6" s="40" t="n"/>
      <c r="G6" s="41" t="inlineStr">
        <is>
          <t>Posture enforcement strategy</t>
        </is>
      </c>
    </row>
    <row r="7">
      <c r="A7" s="39" t="inlineStr">
        <is>
          <t>SEC-006</t>
        </is>
      </c>
      <c r="B7" s="39" t="inlineStr">
        <is>
          <t>Security &amp; Compliance</t>
        </is>
      </c>
      <c r="C7" s="39" t="inlineStr">
        <is>
          <t>Profiling</t>
        </is>
      </c>
      <c r="D7" s="39" t="inlineStr">
        <is>
          <t>What level of device profiling is needed?</t>
        </is>
      </c>
      <c r="E7" s="39" t="inlineStr">
        <is>
          <t>Profiling: Basic (OS type), Standard (device model), Advanced (manufacturer), Custom profiling, No profiling</t>
        </is>
      </c>
      <c r="F7" s="40" t="n"/>
      <c r="G7" s="39" t="inlineStr">
        <is>
          <t>Device visibility and classification</t>
        </is>
      </c>
    </row>
    <row r="8">
      <c r="A8" s="41" t="inlineStr">
        <is>
          <t>SEC-007</t>
        </is>
      </c>
      <c r="B8" s="41" t="inlineStr">
        <is>
          <t>Security &amp; Compliance</t>
        </is>
      </c>
      <c r="C8" s="41" t="inlineStr">
        <is>
          <t>Threat Detection</t>
        </is>
      </c>
      <c r="D8" s="41" t="inlineStr">
        <is>
          <t>Do you need threat detection integration?</t>
        </is>
      </c>
      <c r="E8" s="41" t="inlineStr">
        <is>
          <t>Threat platforms: Cisco pxGrid (Firepower ISE integration), Third-party SIEM, EDR integration, Not required</t>
        </is>
      </c>
      <c r="F8" s="40" t="n"/>
      <c r="G8" s="41" t="inlineStr">
        <is>
          <t>Security ecosystem integration</t>
        </is>
      </c>
    </row>
    <row r="9">
      <c r="A9" s="39" t="inlineStr">
        <is>
          <t>SEC-008</t>
        </is>
      </c>
      <c r="B9" s="39" t="inlineStr">
        <is>
          <t>Security &amp; Compliance</t>
        </is>
      </c>
      <c r="C9" s="39" t="inlineStr">
        <is>
          <t>Audit Logging</t>
        </is>
      </c>
      <c r="D9" s="39" t="inlineStr">
        <is>
          <t>What audit and logging requirements apply?</t>
        </is>
      </c>
      <c r="E9" s="39" t="inlineStr">
        <is>
          <t>Requirements: Authentication logs, Authorization decisions, Admin access logs, RADIUS accounting, Syslog to SIEM, Long-term retention</t>
        </is>
      </c>
      <c r="F9" s="40" t="n"/>
      <c r="G9" s="39" t="inlineStr">
        <is>
          <t>Audit trail and compliance reporting</t>
        </is>
      </c>
    </row>
    <row r="10">
      <c r="A10" s="41" t="inlineStr">
        <is>
          <t>SEC-009</t>
        </is>
      </c>
      <c r="B10" s="41" t="inlineStr">
        <is>
          <t>Security &amp; Compliance</t>
        </is>
      </c>
      <c r="C10" s="41" t="inlineStr">
        <is>
          <t>Data Privacy</t>
        </is>
      </c>
      <c r="D10" s="41" t="inlineStr">
        <is>
          <t>What data privacy regulations apply?</t>
        </is>
      </c>
      <c r="E10" s="41" t="inlineStr">
        <is>
          <t>Regulations: GDPR, CCPA, HIPAA privacy, Local data residency, Personal data minimization</t>
        </is>
      </c>
      <c r="F10" s="40" t="n"/>
      <c r="G10" s="41" t="inlineStr">
        <is>
          <t>Privacy controls and data handling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25" customWidth="1" min="3" max="3"/>
    <col width="50" customWidth="1" min="4" max="4"/>
    <col width="40" customWidth="1" min="5" max="5"/>
    <col width="40" customWidth="1" min="6" max="6"/>
    <col width="30" customWidth="1" min="7" max="7"/>
  </cols>
  <sheetData>
    <row r="1" ht="32" customHeight="1">
      <c r="A1" s="38" t="inlineStr">
        <is>
          <t>Question ID</t>
        </is>
      </c>
      <c r="B1" s="38" t="inlineStr">
        <is>
          <t>Category</t>
        </is>
      </c>
      <c r="C1" s="38" t="inlineStr">
        <is>
          <t>Sub-Category</t>
        </is>
      </c>
      <c r="D1" s="38" t="inlineStr">
        <is>
          <t>Question</t>
        </is>
      </c>
      <c r="E1" s="38" t="inlineStr">
        <is>
          <t>Guidance</t>
        </is>
      </c>
      <c r="F1" s="38" t="inlineStr">
        <is>
          <t>Customer Response</t>
        </is>
      </c>
      <c r="G1" s="38" t="inlineStr">
        <is>
          <t>Notes</t>
        </is>
      </c>
    </row>
    <row r="2">
      <c r="A2" s="41" t="inlineStr">
        <is>
          <t>OPS-001</t>
        </is>
      </c>
      <c r="B2" s="41" t="inlineStr">
        <is>
          <t>Operations &amp; Support</t>
        </is>
      </c>
      <c r="C2" s="41" t="inlineStr">
        <is>
          <t>Team Size</t>
        </is>
      </c>
      <c r="D2" s="41" t="inlineStr">
        <is>
          <t>How many network security administrators will manage ISE?</t>
        </is>
      </c>
      <c r="E2" s="41" t="inlineStr">
        <is>
          <t>Team size: 1-2 admins, 3-5 admins, 6-10 admins, 10+ admins</t>
        </is>
      </c>
      <c r="F2" s="40" t="n"/>
      <c r="G2" s="41" t="inlineStr">
        <is>
          <t>Staffing and RBAC requirements</t>
        </is>
      </c>
    </row>
    <row r="3">
      <c r="A3" s="39" t="inlineStr">
        <is>
          <t>OPS-002</t>
        </is>
      </c>
      <c r="B3" s="39" t="inlineStr">
        <is>
          <t>Operations &amp; Support</t>
        </is>
      </c>
      <c r="C3" s="39" t="inlineStr">
        <is>
          <t>Expertise</t>
        </is>
      </c>
      <c r="D3" s="39" t="inlineStr">
        <is>
          <t>What is your team's ISE and 802.1X experience?</t>
        </is>
      </c>
      <c r="E3" s="39" t="inlineStr">
        <is>
          <t>Experience: None - new to ISE, Basic 802.1X knowledge, ISE deployment experience, ISE expert/certified, Consultant support needed</t>
        </is>
      </c>
      <c r="F3" s="40" t="n"/>
      <c r="G3" s="39" t="inlineStr">
        <is>
          <t>Training needs and enablement planning</t>
        </is>
      </c>
    </row>
    <row r="4">
      <c r="A4" s="41" t="inlineStr">
        <is>
          <t>OPS-003</t>
        </is>
      </c>
      <c r="B4" s="41" t="inlineStr">
        <is>
          <t>Operations &amp; Support</t>
        </is>
      </c>
      <c r="C4" s="41" t="inlineStr">
        <is>
          <t>Support Coverage</t>
        </is>
      </c>
      <c r="D4" s="41" t="inlineStr">
        <is>
          <t>What support coverage is required?</t>
        </is>
      </c>
      <c r="E4" s="41" t="inlineStr">
        <is>
          <t>Coverage: Business hours (8x5), Extended (24x5), Full (24x7), Self-service only</t>
        </is>
      </c>
      <c r="F4" s="40" t="n"/>
      <c r="G4" s="41" t="inlineStr">
        <is>
          <t>Support model and SLA requirements</t>
        </is>
      </c>
    </row>
    <row r="5">
      <c r="A5" s="39" t="inlineStr">
        <is>
          <t>OPS-004</t>
        </is>
      </c>
      <c r="B5" s="39" t="inlineStr">
        <is>
          <t>Operations &amp; Support</t>
        </is>
      </c>
      <c r="C5" s="39" t="inlineStr">
        <is>
          <t>Helpdesk Integration</t>
        </is>
      </c>
      <c r="D5" s="39" t="inlineStr">
        <is>
          <t>How will helpdesk handle access issues?</t>
        </is>
      </c>
      <c r="E5" s="39" t="inlineStr">
        <is>
          <t>Helpdesk: ServiceNow integration, Dedicated NAC team, Tier 1 helpdesk training, Self-service portal, Escalation to security team</t>
        </is>
      </c>
      <c r="F5" s="40" t="n"/>
      <c r="G5" s="39" t="inlineStr">
        <is>
          <t>User support and incident management</t>
        </is>
      </c>
    </row>
    <row r="6">
      <c r="A6" s="41" t="inlineStr">
        <is>
          <t>OPS-005</t>
        </is>
      </c>
      <c r="B6" s="41" t="inlineStr">
        <is>
          <t>Operations &amp; Support</t>
        </is>
      </c>
      <c r="C6" s="41" t="inlineStr">
        <is>
          <t>User Communication</t>
        </is>
      </c>
      <c r="D6" s="41" t="inlineStr">
        <is>
          <t>How will users be notified about NAC changes?</t>
        </is>
      </c>
      <c r="E6" s="41" t="inlineStr">
        <is>
          <t>Communication: Email campaigns, Intranet announcements, Manager cascade, IT roadshow, Training sessions, No communication</t>
        </is>
      </c>
      <c r="F6" s="40" t="n"/>
      <c r="G6" s="41" t="inlineStr">
        <is>
          <t>Change management and user adoption</t>
        </is>
      </c>
    </row>
    <row r="7">
      <c r="A7" s="39" t="inlineStr">
        <is>
          <t>OPS-006</t>
        </is>
      </c>
      <c r="B7" s="39" t="inlineStr">
        <is>
          <t>Operations &amp; Support</t>
        </is>
      </c>
      <c r="C7" s="39" t="inlineStr">
        <is>
          <t>BYOD Support</t>
        </is>
      </c>
      <c r="D7" s="39" t="inlineStr">
        <is>
          <t>How will BYOD users get support?</t>
        </is>
      </c>
      <c r="E7" s="39" t="inlineStr">
        <is>
          <t>Support: Self-service portal and FAQs, Helpdesk ticket, IT desk walk-up, Email support, Manager assistance</t>
        </is>
      </c>
      <c r="F7" s="40" t="n"/>
      <c r="G7" s="39" t="inlineStr">
        <is>
          <t>BYOD user experience and enablement</t>
        </is>
      </c>
    </row>
    <row r="8">
      <c r="A8" s="41" t="inlineStr">
        <is>
          <t>OPS-007</t>
        </is>
      </c>
      <c r="B8" s="41" t="inlineStr">
        <is>
          <t>Operations &amp; Support</t>
        </is>
      </c>
      <c r="C8" s="41" t="inlineStr">
        <is>
          <t>Monitoring</t>
        </is>
      </c>
      <c r="D8" s="41" t="inlineStr">
        <is>
          <t>What monitoring and alerting is needed?</t>
        </is>
      </c>
      <c r="E8" s="41" t="inlineStr">
        <is>
          <t>Monitoring: ISE health, Authentication failures, Policy violations, Threat alerts, Performance metrics, Integration with NOC tools</t>
        </is>
      </c>
      <c r="F8" s="40" t="n"/>
      <c r="G8" s="41" t="inlineStr">
        <is>
          <t>Operational visibility and alerting</t>
        </is>
      </c>
    </row>
    <row r="9">
      <c r="A9" s="39" t="inlineStr">
        <is>
          <t>OPS-008</t>
        </is>
      </c>
      <c r="B9" s="39" t="inlineStr">
        <is>
          <t>Operations &amp; Support</t>
        </is>
      </c>
      <c r="C9" s="39" t="inlineStr">
        <is>
          <t>Reporting</t>
        </is>
      </c>
      <c r="D9" s="39" t="inlineStr">
        <is>
          <t>What reporting is required for ISE?</t>
        </is>
      </c>
      <c r="E9" s="39" t="inlineStr">
        <is>
          <t>Reports: Authentication summary, Guest access logs, Compliance audit reports, Device inventory, Threat detections, Executive dashboards</t>
        </is>
      </c>
      <c r="F9" s="40" t="n"/>
      <c r="G9" s="39" t="inlineStr">
        <is>
          <t>Reporting and analytics requirements</t>
        </is>
      </c>
    </row>
    <row r="10">
      <c r="A10" s="41" t="inlineStr">
        <is>
          <t>OPS-009</t>
        </is>
      </c>
      <c r="B10" s="41" t="inlineStr">
        <is>
          <t>Operations &amp; Support</t>
        </is>
      </c>
      <c r="C10" s="41" t="inlineStr">
        <is>
          <t>Change Management</t>
        </is>
      </c>
      <c r="D10" s="41" t="inlineStr">
        <is>
          <t>What change management processes apply?</t>
        </is>
      </c>
      <c r="E10" s="41" t="inlineStr">
        <is>
          <t>Processes: CAB approval for policy changes, Testing in lab, Staged rollout, Emergency change process, Approval workflows</t>
        </is>
      </c>
      <c r="F10" s="40" t="n"/>
      <c r="G10" s="41" t="inlineStr">
        <is>
          <t>Change control and governance</t>
        </is>
      </c>
    </row>
    <row r="11">
      <c r="A11" s="39" t="inlineStr">
        <is>
          <t>OPS-010</t>
        </is>
      </c>
      <c r="B11" s="39" t="inlineStr">
        <is>
          <t>Operations &amp; Support</t>
        </is>
      </c>
      <c r="C11" s="39" t="inlineStr">
        <is>
          <t>Backup and DR</t>
        </is>
      </c>
      <c r="D11" s="39" t="inlineStr">
        <is>
          <t>What backup and disaster recovery is required?</t>
        </is>
      </c>
      <c r="E11" s="39" t="inlineStr">
        <is>
          <t>DR: Daily ISE backups, Geographic redundancy, Recovery time objective (RTO), Recovery point objective (RPO), Backup retention</t>
        </is>
      </c>
      <c r="F11" s="40" t="n"/>
      <c r="G11" s="39" t="inlineStr">
        <is>
          <t>Business continuity requirements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25" customWidth="1" min="3" max="3"/>
    <col width="50" customWidth="1" min="4" max="4"/>
    <col width="40" customWidth="1" min="5" max="5"/>
    <col width="40" customWidth="1" min="6" max="6"/>
    <col width="30" customWidth="1" min="7" max="7"/>
  </cols>
  <sheetData>
    <row r="1" ht="32" customHeight="1">
      <c r="A1" s="38" t="inlineStr">
        <is>
          <t>Question ID</t>
        </is>
      </c>
      <c r="B1" s="38" t="inlineStr">
        <is>
          <t>Category</t>
        </is>
      </c>
      <c r="C1" s="38" t="inlineStr">
        <is>
          <t>Sub-Category</t>
        </is>
      </c>
      <c r="D1" s="38" t="inlineStr">
        <is>
          <t>Question</t>
        </is>
      </c>
      <c r="E1" s="38" t="inlineStr">
        <is>
          <t>Guidance</t>
        </is>
      </c>
      <c r="F1" s="38" t="inlineStr">
        <is>
          <t>Customer Response</t>
        </is>
      </c>
      <c r="G1" s="38" t="inlineStr">
        <is>
          <t>Notes</t>
        </is>
      </c>
    </row>
    <row r="2">
      <c r="A2" s="41" t="inlineStr">
        <is>
          <t>IMPL-001</t>
        </is>
      </c>
      <c r="B2" s="41" t="inlineStr">
        <is>
          <t>Implementation Planning</t>
        </is>
      </c>
      <c r="C2" s="41" t="inlineStr">
        <is>
          <t>Resources</t>
        </is>
      </c>
      <c r="D2" s="41" t="inlineStr">
        <is>
          <t>Who will be the technical lead for this ISE project?</t>
        </is>
      </c>
      <c r="E2" s="41" t="inlineStr">
        <is>
          <t>Name, role, contact information</t>
        </is>
      </c>
      <c r="F2" s="40" t="n"/>
      <c r="G2" s="41" t="inlineStr">
        <is>
          <t>Technical ownership and project management</t>
        </is>
      </c>
    </row>
    <row r="3">
      <c r="A3" s="39" t="inlineStr">
        <is>
          <t>IMPL-002</t>
        </is>
      </c>
      <c r="B3" s="39" t="inlineStr">
        <is>
          <t>Implementation Planning</t>
        </is>
      </c>
      <c r="C3" s="39" t="inlineStr">
        <is>
          <t>Team Availability</t>
        </is>
      </c>
      <c r="D3" s="39" t="inlineStr">
        <is>
          <t>What internal resources are available for ISE implementation?</t>
        </is>
      </c>
      <c r="E3" s="39" t="inlineStr">
        <is>
          <t>List team members, roles, time commitment (hours per week)</t>
        </is>
      </c>
      <c r="F3" s="40" t="n"/>
      <c r="G3" s="39" t="inlineStr">
        <is>
          <t>Resource planning and project timeline feasibility</t>
        </is>
      </c>
    </row>
    <row r="4">
      <c r="A4" s="41" t="inlineStr">
        <is>
          <t>IMPL-003</t>
        </is>
      </c>
      <c r="B4" s="41" t="inlineStr">
        <is>
          <t>Implementation Planning</t>
        </is>
      </c>
      <c r="C4" s="41" t="inlineStr">
        <is>
          <t>Phased Rollout</t>
        </is>
      </c>
      <c r="D4" s="41" t="inlineStr">
        <is>
          <t>What is your preferred phased rollout approach?</t>
        </is>
      </c>
      <c r="E4" s="41" t="inlineStr">
        <is>
          <t>Phases: Pilot department, Office by office, Wired then wireless, Guest first then corporate, Big bang</t>
        </is>
      </c>
      <c r="F4" s="40" t="n"/>
      <c r="G4" s="41" t="inlineStr">
        <is>
          <t>Implementation strategy and risk mitigation</t>
        </is>
      </c>
    </row>
    <row r="5">
      <c r="A5" s="39" t="inlineStr">
        <is>
          <t>IMPL-004</t>
        </is>
      </c>
      <c r="B5" s="39" t="inlineStr">
        <is>
          <t>Implementation Planning</t>
        </is>
      </c>
      <c r="C5" s="39" t="inlineStr">
        <is>
          <t>Pilot Scope</t>
        </is>
      </c>
      <c r="D5" s="39" t="inlineStr">
        <is>
          <t>What should be included in the pilot phase?</t>
        </is>
      </c>
      <c r="E5" s="39" t="inlineStr">
        <is>
          <t>Pilot scope: 50-100 users, Single office, IT department only, Wireless only, Specific device types</t>
        </is>
      </c>
      <c r="F5" s="40" t="n"/>
      <c r="G5" s="39" t="inlineStr">
        <is>
          <t>Pilot sizing and success criteria</t>
        </is>
      </c>
    </row>
    <row r="6">
      <c r="A6" s="41" t="inlineStr">
        <is>
          <t>IMPL-005</t>
        </is>
      </c>
      <c r="B6" s="41" t="inlineStr">
        <is>
          <t>Implementation Planning</t>
        </is>
      </c>
      <c r="C6" s="41" t="inlineStr">
        <is>
          <t>Authentication Mode</t>
        </is>
      </c>
      <c r="D6" s="41" t="inlineStr">
        <is>
          <t>What authentication transition strategy do you prefer?</t>
        </is>
      </c>
      <c r="E6" s="41" t="inlineStr">
        <is>
          <t>Strategy: Monitor mode first, MAB fallback during transition, 802.1X enforcement immediately, Phased by location</t>
        </is>
      </c>
      <c r="F6" s="40" t="n"/>
      <c r="G6" s="41" t="inlineStr">
        <is>
          <t>Transition approach and user impact</t>
        </is>
      </c>
    </row>
    <row r="7">
      <c r="A7" s="39" t="inlineStr">
        <is>
          <t>IMPL-006</t>
        </is>
      </c>
      <c r="B7" s="39" t="inlineStr">
        <is>
          <t>Implementation Planning</t>
        </is>
      </c>
      <c r="C7" s="39" t="inlineStr">
        <is>
          <t>Fallback Strategy</t>
        </is>
      </c>
      <c r="D7" s="39" t="inlineStr">
        <is>
          <t>What happens if ISE is unavailable?</t>
        </is>
      </c>
      <c r="E7" s="39" t="inlineStr">
        <is>
          <t>Fallback: Critical VLAN (limited access), Open access (security risk), Closed authentication (no access), Local switch auth</t>
        </is>
      </c>
      <c r="F7" s="40" t="n"/>
      <c r="G7" s="39" t="inlineStr">
        <is>
          <t>Availability and failover strategy</t>
        </is>
      </c>
    </row>
    <row r="8">
      <c r="A8" s="41" t="inlineStr">
        <is>
          <t>IMPL-007</t>
        </is>
      </c>
      <c r="B8" s="41" t="inlineStr">
        <is>
          <t>Implementation Planning</t>
        </is>
      </c>
      <c r="C8" s="41" t="inlineStr">
        <is>
          <t>Certificate Deployment</t>
        </is>
      </c>
      <c r="D8" s="41" t="inlineStr">
        <is>
          <t>How will certificates be deployed to devices?</t>
        </is>
      </c>
      <c r="E8" s="41" t="inlineStr">
        <is>
          <t>Deployment: SCEP auto-enrollment, GPO for Windows, MDM for mobile, Manual installation, Username/password instead</t>
        </is>
      </c>
      <c r="F8" s="40" t="n"/>
      <c r="G8" s="41" t="inlineStr">
        <is>
          <t>Certificate provisioning approach</t>
        </is>
      </c>
    </row>
    <row r="9">
      <c r="A9" s="39" t="inlineStr">
        <is>
          <t>IMPL-008</t>
        </is>
      </c>
      <c r="B9" s="39" t="inlineStr">
        <is>
          <t>Implementation Planning</t>
        </is>
      </c>
      <c r="C9" s="39" t="inlineStr">
        <is>
          <t>Testing Requirements</t>
        </is>
      </c>
      <c r="D9" s="39" t="inlineStr">
        <is>
          <t>What testing is required before production?</t>
        </is>
      </c>
      <c r="E9" s="39" t="inlineStr">
        <is>
          <t>Testing: Lab validation, Pilot user acceptance, Performance testing, Failover testing, Policy validation, Load testing</t>
        </is>
      </c>
      <c r="F9" s="40" t="n"/>
      <c r="G9" s="39" t="inlineStr">
        <is>
          <t>Testing and validation requirements</t>
        </is>
      </c>
    </row>
    <row r="10">
      <c r="A10" s="41" t="inlineStr">
        <is>
          <t>IMPL-009</t>
        </is>
      </c>
      <c r="B10" s="41" t="inlineStr">
        <is>
          <t>Implementation Planning</t>
        </is>
      </c>
      <c r="C10" s="41" t="inlineStr">
        <is>
          <t>Training Needs</t>
        </is>
      </c>
      <c r="D10" s="41" t="inlineStr">
        <is>
          <t>What training is needed for teams and users?</t>
        </is>
      </c>
      <c r="E10" s="41" t="inlineStr">
        <is>
          <t>Training: ISE admin training, Helpdesk training, User BYOD training, Policy management, Troubleshooting, Best practices</t>
        </is>
      </c>
      <c r="F10" s="40" t="n"/>
      <c r="G10" s="41" t="inlineStr">
        <is>
          <t>Knowledge transfer scope and timeline</t>
        </is>
      </c>
    </row>
    <row r="11">
      <c r="A11" s="39" t="inlineStr">
        <is>
          <t>IMPL-010</t>
        </is>
      </c>
      <c r="B11" s="39" t="inlineStr">
        <is>
          <t>Implementation Planning</t>
        </is>
      </c>
      <c r="C11" s="39" t="inlineStr">
        <is>
          <t>Documentation</t>
        </is>
      </c>
      <c r="D11" s="39" t="inlineStr">
        <is>
          <t>What documentation standards apply?</t>
        </is>
      </c>
      <c r="E11" s="39" t="inlineStr">
        <is>
          <t>Documentation: Architecture diagrams, Policy definitions, Runbooks, User guides, Troubleshooting guides, Integration specs</t>
        </is>
      </c>
      <c r="F11" s="40" t="n"/>
      <c r="G11" s="39" t="inlineStr">
        <is>
          <t>Documentation scope and deliverables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25" customWidth="1" min="3" max="3"/>
    <col width="50" customWidth="1" min="4" max="4"/>
    <col width="40" customWidth="1" min="5" max="5"/>
    <col width="40" customWidth="1" min="6" max="6"/>
    <col width="30" customWidth="1" min="7" max="7"/>
  </cols>
  <sheetData>
    <row r="1" ht="32" customHeight="1">
      <c r="A1" s="38" t="inlineStr">
        <is>
          <t>Question ID</t>
        </is>
      </c>
      <c r="B1" s="38" t="inlineStr">
        <is>
          <t>Category</t>
        </is>
      </c>
      <c r="C1" s="38" t="inlineStr">
        <is>
          <t>Sub-Category</t>
        </is>
      </c>
      <c r="D1" s="38" t="inlineStr">
        <is>
          <t>Question</t>
        </is>
      </c>
      <c r="E1" s="38" t="inlineStr">
        <is>
          <t>Guidance</t>
        </is>
      </c>
      <c r="F1" s="38" t="inlineStr">
        <is>
          <t>Customer Response</t>
        </is>
      </c>
      <c r="G1" s="38" t="inlineStr">
        <is>
          <t>Notes</t>
        </is>
      </c>
    </row>
    <row r="2">
      <c r="A2" s="41" t="inlineStr">
        <is>
          <t>RISK-001</t>
        </is>
      </c>
      <c r="B2" s="41" t="inlineStr">
        <is>
          <t>Risk &amp; Constraints</t>
        </is>
      </c>
      <c r="C2" s="41" t="inlineStr">
        <is>
          <t>Implementation Risks</t>
        </is>
      </c>
      <c r="D2" s="41" t="inlineStr">
        <is>
          <t>What are your main concerns about implementing NAC?</t>
        </is>
      </c>
      <c r="E2" s="41" t="inlineStr">
        <is>
          <t>Concerns: User lockout, Network disruption, Helpdesk overload, Device compatibility, Project timeline, Budget overruns</t>
        </is>
      </c>
      <c r="F2" s="40" t="n"/>
      <c r="G2" s="41" t="inlineStr">
        <is>
          <t>Primary implementation concerns and risk factors</t>
        </is>
      </c>
    </row>
    <row r="3">
      <c r="A3" s="39" t="inlineStr">
        <is>
          <t>RISK-002</t>
        </is>
      </c>
      <c r="B3" s="39" t="inlineStr">
        <is>
          <t>Risk &amp; Constraints</t>
        </is>
      </c>
      <c r="C3" s="39" t="inlineStr">
        <is>
          <t>User Impact</t>
        </is>
      </c>
      <c r="D3" s="39" t="inlineStr">
        <is>
          <t>What is your tolerance for user disruption during rollout?</t>
        </is>
      </c>
      <c r="E3" s="39" t="inlineStr">
        <is>
          <t>Tolerance: Zero disruption (monitor mode), Minimal (planned communications), Moderate (pilot acceptance), High (enforcement immediately)</t>
        </is>
      </c>
      <c r="F3" s="40" t="n"/>
      <c r="G3" s="39" t="inlineStr">
        <is>
          <t>User impact acceptance and mitigation</t>
        </is>
      </c>
    </row>
    <row r="4">
      <c r="A4" s="41" t="inlineStr">
        <is>
          <t>RISK-003</t>
        </is>
      </c>
      <c r="B4" s="41" t="inlineStr">
        <is>
          <t>Risk &amp; Constraints</t>
        </is>
      </c>
      <c r="C4" s="41" t="inlineStr">
        <is>
          <t>Device Compatibility</t>
        </is>
      </c>
      <c r="D4" s="41" t="inlineStr">
        <is>
          <t>Are there concerns about legacy device compatibility?</t>
        </is>
      </c>
      <c r="E4" s="41" t="inlineStr">
        <is>
          <t>Concerns: 802.1X support, Certificate provisioning, Older IoT devices, Printers without auth, Medical devices, Industrial equipment</t>
        </is>
      </c>
      <c r="F4" s="40" t="n"/>
      <c r="G4" s="41" t="inlineStr">
        <is>
          <t>Compatibility assessment and MAB fallback</t>
        </is>
      </c>
    </row>
    <row r="5">
      <c r="A5" s="39" t="inlineStr">
        <is>
          <t>RISK-004</t>
        </is>
      </c>
      <c r="B5" s="39" t="inlineStr">
        <is>
          <t>Risk &amp; Constraints</t>
        </is>
      </c>
      <c r="C5" s="39" t="inlineStr">
        <is>
          <t>Skill Gaps</t>
        </is>
      </c>
      <c r="D5" s="39" t="inlineStr">
        <is>
          <t>What skill gaps exist for supporting ISE?</t>
        </is>
      </c>
      <c r="E5" s="39" t="inlineStr">
        <is>
          <t>Skill gaps: 802.1X troubleshooting, Certificate management, RADIUS debugging, Policy authoring, Active Directory, Wireless security</t>
        </is>
      </c>
      <c r="F5" s="40" t="n"/>
      <c r="G5" s="39" t="inlineStr">
        <is>
          <t>Training and hiring requirements</t>
        </is>
      </c>
    </row>
    <row r="6">
      <c r="A6" s="41" t="inlineStr">
        <is>
          <t>RISK-005</t>
        </is>
      </c>
      <c r="B6" s="41" t="inlineStr">
        <is>
          <t>Risk &amp; Constraints</t>
        </is>
      </c>
      <c r="C6" s="41" t="inlineStr">
        <is>
          <t>Dependencies</t>
        </is>
      </c>
      <c r="D6" s="41" t="inlineStr">
        <is>
          <t>What external dependencies exist for this project?</t>
        </is>
      </c>
      <c r="E6" s="41" t="inlineStr">
        <is>
          <t>Dependencies: Switch IOS upgrades, Certificate authority deployment, Active Directory cleanup, Network documentation, Budget approvals</t>
        </is>
      </c>
      <c r="F6" s="40" t="n"/>
      <c r="G6" s="41" t="inlineStr">
        <is>
          <t>Project dependencies and critical path items</t>
        </is>
      </c>
    </row>
    <row r="7">
      <c r="A7" s="39" t="inlineStr">
        <is>
          <t>RISK-006</t>
        </is>
      </c>
      <c r="B7" s="39" t="inlineStr">
        <is>
          <t>Risk &amp; Constraints</t>
        </is>
      </c>
      <c r="C7" s="39" t="inlineStr">
        <is>
          <t>Constraints</t>
        </is>
      </c>
      <c r="D7" s="39" t="inlineStr">
        <is>
          <t>What constraints must the NAC solution work within?</t>
        </is>
      </c>
      <c r="E7" s="39" t="inlineStr">
        <is>
          <t>Constraints: Budget limits, Timeline, Legacy device support, User experience, Helpdesk capacity, Organizational change tolerance</t>
        </is>
      </c>
      <c r="F7" s="40" t="n"/>
      <c r="G7" s="39" t="inlineStr">
        <is>
          <t>Solution design boundaries and constraints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2025-11-16T20:54:40Z</dcterms:created>
  <dcterms:modified xmlns:dcterms="http://purl.org/dc/terms/" xmlns:xsi="http://www.w3.org/2001/XMLSchema-instance" xsi:type="dcterms:W3CDTF">2025-11-22T18:22:06Z</dcterms:modified>
  <cp:lastModifiedBy>Kishan Siram</cp:lastModifiedBy>
</cp:coreProperties>
</file>