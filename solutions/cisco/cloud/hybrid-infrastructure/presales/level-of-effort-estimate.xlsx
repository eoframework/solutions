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Settings'!$A$2:$D$10</definedName>
    <definedName name="_xlnm._FilterDatabase" localSheetId="3" hidden="1">'LOE'!$A$2:$J$34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166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CISCO - Cloud - Hybrid Infrastructure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HyperFlex 4-node for 200-300 VMs</t>
        </is>
      </c>
      <c r="D3" s="38" t="inlineStr">
        <is>
          <t>HyperFlex 4-node for 200-300 VMs</t>
        </is>
      </c>
      <c r="E3" s="38" t="inlineStr">
        <is>
          <t>HyperFlex 6-node for 400-600 VMs</t>
        </is>
      </c>
      <c r="F3" s="38" t="inlineStr">
        <is>
          <t>HyperFlex 8+ node for 800+ VMs</t>
        </is>
      </c>
      <c r="G3" s="38" t="inlineStr">
        <is>
          <t>Hyperconverged infrastructure scope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Standard HyperFlex deployment</t>
        </is>
      </c>
      <c r="D4" s="41" t="inlineStr">
        <is>
          <t>Standard deployment</t>
        </is>
      </c>
      <c r="E4" s="41" t="inlineStr">
        <is>
          <t>Custom vSphere policies and automation</t>
        </is>
      </c>
      <c r="F4" s="41" t="inlineStr">
        <is>
          <t>Extensive custom integrations</t>
        </is>
      </c>
      <c r="G4" s="41" t="inlineStr">
        <is>
          <t>Configuration vs customization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systems (vCenter + backup)</t>
        </is>
      </c>
      <c r="D5" s="38" t="inlineStr">
        <is>
          <t>2 systems (vCenter + backup)</t>
        </is>
      </c>
      <c r="E5" s="38" t="inlineStr">
        <is>
          <t>4 systems (vCenter backup monitoring CMDB)</t>
        </is>
      </c>
      <c r="F5" s="38" t="inlineStr">
        <is>
          <t>6+ systems including orchestration</t>
        </is>
      </c>
      <c r="G5" s="38" t="inlineStr">
        <is>
          <t>vCenter Veeam Intersight integration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VM inventory only</t>
        </is>
      </c>
      <c r="D6" s="41" t="inlineStr">
        <is>
          <t>VM inventory</t>
        </is>
      </c>
      <c r="E6" s="41" t="inlineStr">
        <is>
          <t>VM + storage + network telemetry</t>
        </is>
      </c>
      <c r="F6" s="41" t="inlineStr">
        <is>
          <t>VM + storage + network + app metrics</t>
        </is>
      </c>
      <c r="G6" s="41" t="inlineStr">
        <is>
          <t>Infrastructure monitoring data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10 infrastructure admins</t>
        </is>
      </c>
      <c r="D7" s="38" t="inlineStr">
        <is>
          <t>10 admins</t>
        </is>
      </c>
      <c r="E7" s="38" t="inlineStr">
        <is>
          <t>20 virtualization team members</t>
        </is>
      </c>
      <c r="F7" s="38" t="inlineStr">
        <is>
          <t>40+ distributed team members</t>
        </is>
      </c>
      <c r="G7" s="38" t="inlineStr">
        <is>
          <t>vCenter and Intersight users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(admin + operator)</t>
        </is>
      </c>
      <c r="D8" s="41" t="inlineStr">
        <is>
          <t>2 roles</t>
        </is>
      </c>
      <c r="E8" s="41" t="inlineStr">
        <is>
          <t>4 roles with resource delegation</t>
        </is>
      </c>
      <c r="F8" s="41" t="inlineStr">
        <is>
          <t>6+ roles with complex RBAC</t>
        </is>
      </c>
      <c r="G8" s="41" t="inlineStr">
        <is>
          <t>Role-based access control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200-300 VMs workload</t>
        </is>
      </c>
      <c r="D9" s="38" t="inlineStr">
        <is>
          <t>200-300 VMs</t>
        </is>
      </c>
      <c r="E9" s="38" t="inlineStr">
        <is>
          <t>400-600 VMs mixed workload</t>
        </is>
      </c>
      <c r="F9" s="38" t="inlineStr">
        <is>
          <t>800+ VMs high-density</t>
        </is>
      </c>
      <c r="G9" s="38" t="inlineStr">
        <is>
          <t>Virtual machine capacity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20 TB usable storage</t>
        </is>
      </c>
      <c r="D10" s="41" t="inlineStr">
        <is>
          <t>20 TB</t>
        </is>
      </c>
      <c r="E10" s="41" t="inlineStr">
        <is>
          <t>40 TB usable storage</t>
        </is>
      </c>
      <c r="F10" s="41" t="inlineStr">
        <is>
          <t>80+ TB usable storage</t>
        </is>
      </c>
      <c r="G10" s="41" t="inlineStr">
        <is>
          <t>After deduplication and compression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data center</t>
        </is>
      </c>
      <c r="D11" s="38" t="inlineStr">
        <is>
          <t>Single data center</t>
        </is>
      </c>
      <c r="E11" s="38" t="inlineStr">
        <is>
          <t>2 data centers with replication</t>
        </is>
      </c>
      <c r="F11" s="38" t="inlineStr">
        <is>
          <t>Multi-site with disaster recovery</t>
        </is>
      </c>
      <c r="G11" s="38" t="inlineStr">
        <is>
          <t>Geographic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Infrastructure uptime SLA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3-tier compute storage network</t>
        </is>
      </c>
      <c r="D13" s="38" t="inlineStr">
        <is>
          <t>Basic 3-tier</t>
        </is>
      </c>
      <c r="E13" s="38" t="inlineStr">
        <is>
          <t>Complex multi-tier with DR</t>
        </is>
      </c>
      <c r="F13" s="38" t="inlineStr">
        <is>
          <t>Distributed multi-site architecture</t>
        </is>
      </c>
      <c r="G13" s="38" t="inlineStr">
        <is>
          <t>Infrastructure complexity level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encryption and RBAC</t>
        </is>
      </c>
      <c r="D14" s="41" t="inlineStr">
        <is>
          <t>Basic security</t>
        </is>
      </c>
      <c r="E14" s="41" t="inlineStr">
        <is>
          <t>Encryption + compliance scanning</t>
        </is>
      </c>
      <c r="F14" s="41" t="inlineStr">
        <is>
          <t>Advanced security + multi-framework compliance</t>
        </is>
      </c>
      <c r="G14" s="41" t="inlineStr">
        <is>
          <t>Data protection and compliance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Basic logging</t>
        </is>
      </c>
      <c r="D15" s="38" t="inlineStr">
        <is>
          <t>Basic logging</t>
        </is>
      </c>
      <c r="E15" s="38" t="inlineStr">
        <is>
          <t>PCI DSS or HIPAA</t>
        </is>
      </c>
      <c r="F15" s="38" t="inlineStr">
        <is>
          <t>Multiple regulatory frameworks</t>
        </is>
      </c>
      <c r="G15" s="38" t="inlineStr">
        <is>
          <t>Regulatory compliance requirements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IOPS and latency</t>
        </is>
      </c>
      <c r="D16" s="41" t="inlineStr">
        <is>
          <t>Standard performance</t>
        </is>
      </c>
      <c r="E16" s="41" t="inlineStr">
        <is>
          <t>High IOPS all-flash NVMe</t>
        </is>
      </c>
      <c r="F16" s="41" t="inlineStr">
        <is>
          <t>Extreme performance low-latency</t>
        </is>
      </c>
      <c r="G16" s="41" t="inlineStr">
        <is>
          <t>Storage performance tier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Production only</t>
        </is>
      </c>
      <c r="D17" s="38" t="inlineStr">
        <is>
          <t>Production only</t>
        </is>
      </c>
      <c r="E17" s="38" t="inlineStr">
        <is>
          <t>Dev + production</t>
        </is>
      </c>
      <c r="F17" s="38" t="inlineStr">
        <is>
          <t>Dev + staging + production + DR</t>
        </is>
      </c>
      <c r="G17" s="38" t="inlineStr">
        <is>
          <t>Environment management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(Infrastructure Assessment, Workload Analysis, Requirements Gathering)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(Architecture Design, Capacity Planning, Migration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(HyperFlex Deployment, vSphere Configuration, VM Migration)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(Performance Testing, Failover Testing, Application Validation)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VM Migration, Cutover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Operations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Baseline, Legacy Decommission)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0.25</v>
      </c>
      <c r="D10" s="41" t="inlineStr">
        <is>
          <t>Project management and technical leadership (25% of total engineering effort)</t>
        </is>
      </c>
    </row>
    <row r="12" ht="20" customHeight="1">
      <c r="A12" s="44" t="inlineStr">
        <is>
          <t>EO Sales Engineer Updates Multipliers Based on Customer Scope</t>
        </is>
      </c>
    </row>
  </sheetData>
  <autoFilter ref="A2:D10"/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40" customWidth="1" min="10" max="10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Estimated Hours</t>
        </is>
      </c>
      <c r="F2" s="36" t="inlineStr">
        <is>
          <t>Rate</t>
        </is>
      </c>
      <c r="G2" s="36" t="inlineStr">
        <is>
          <t>Cost Estimate</t>
        </is>
      </c>
      <c r="H2" s="36" t="inlineStr">
        <is>
          <t>Dependencies</t>
        </is>
      </c>
      <c r="I2" s="36" t="inlineStr">
        <is>
          <t>Risk Level</t>
        </is>
      </c>
      <c r="J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Infrastructure Assessment</t>
        </is>
      </c>
      <c r="C3" s="46" t="inlineStr">
        <is>
          <t>Assess current servers storage and network infrastructure</t>
        </is>
      </c>
      <c r="D3" s="46">
        <f>ROUND($C$23*40,0)</f>
        <v/>
      </c>
      <c r="E3" s="47" t="n">
        <v>40</v>
      </c>
      <c r="F3" s="47" t="n">
        <v>225</v>
      </c>
      <c r="G3" s="46">
        <f>TEXT(E3*F3,"$#,##0")</f>
        <v/>
      </c>
      <c r="H3" s="46" t="inlineStr"/>
      <c r="I3" s="46" t="inlineStr">
        <is>
          <t>Medium</t>
        </is>
      </c>
      <c r="J3" s="46" t="inlineStr">
        <is>
          <t>Capacity utilization and performance analysis</t>
        </is>
      </c>
    </row>
    <row r="4" ht="26" customHeight="1">
      <c r="A4" s="48" t="inlineStr">
        <is>
          <t>Discovery</t>
        </is>
      </c>
      <c r="B4" s="49" t="inlineStr">
        <is>
          <t>Workload Analysis</t>
        </is>
      </c>
      <c r="C4" s="49" t="inlineStr">
        <is>
          <t>Analyze VM workloads and resource requirements</t>
        </is>
      </c>
      <c r="D4" s="49">
        <f>ROUND($C$23*32,0)</f>
        <v/>
      </c>
      <c r="E4" s="50" t="n">
        <v>32</v>
      </c>
      <c r="F4" s="50" t="n">
        <v>200</v>
      </c>
      <c r="G4" s="49">
        <f>TEXT(E4*F4,"$#,##0")</f>
        <v/>
      </c>
      <c r="H4" s="49" t="inlineStr"/>
      <c r="I4" s="49" t="inlineStr">
        <is>
          <t>Medium</t>
        </is>
      </c>
      <c r="J4" s="49" t="inlineStr">
        <is>
          <t>vCPU memory storage IOPS profiling</t>
        </is>
      </c>
    </row>
    <row r="5" ht="26" customHeight="1">
      <c r="A5" s="45" t="inlineStr">
        <is>
          <t>Discovery</t>
        </is>
      </c>
      <c r="B5" s="46" t="inlineStr">
        <is>
          <t>Capacity Planning</t>
        </is>
      </c>
      <c r="C5" s="46" t="inlineStr">
        <is>
          <t>Size HyperFlex cluster for current and future needs</t>
        </is>
      </c>
      <c r="D5" s="46">
        <f>ROUND($C$23*24,0)</f>
        <v/>
      </c>
      <c r="E5" s="47" t="n">
        <v>24</v>
      </c>
      <c r="F5" s="47" t="n">
        <v>225</v>
      </c>
      <c r="G5" s="46">
        <f>TEXT(E5*F5,"$#,##0")</f>
        <v/>
      </c>
      <c r="H5" s="46" t="inlineStr">
        <is>
          <t>Workload Analysis</t>
        </is>
      </c>
      <c r="I5" s="46" t="inlineStr">
        <is>
          <t>Medium</t>
        </is>
      </c>
      <c r="J5" s="46" t="inlineStr">
        <is>
          <t>3-year capacity planning</t>
        </is>
      </c>
    </row>
    <row r="6" ht="26" customHeight="1">
      <c r="A6" s="48" t="inlineStr">
        <is>
          <t>Discovery</t>
        </is>
      </c>
      <c r="B6" s="49" t="inlineStr">
        <is>
          <t>Application Dependencies</t>
        </is>
      </c>
      <c r="C6" s="49" t="inlineStr">
        <is>
          <t>Map application dependencies and migration priorities</t>
        </is>
      </c>
      <c r="D6" s="49">
        <f>ROUND($C$23*32,0)</f>
        <v/>
      </c>
      <c r="E6" s="50" t="n">
        <v>32</v>
      </c>
      <c r="F6" s="50" t="n">
        <v>200</v>
      </c>
      <c r="G6" s="49">
        <f>TEXT(E6*F6,"$#,##0")</f>
        <v/>
      </c>
      <c r="H6" s="49" t="inlineStr">
        <is>
          <t>Workload Analysis</t>
        </is>
      </c>
      <c r="I6" s="49" t="inlineStr">
        <is>
          <t>Medium</t>
        </is>
      </c>
      <c r="J6" s="49" t="inlineStr">
        <is>
          <t>VM grouping and migration waves</t>
        </is>
      </c>
    </row>
    <row r="7" ht="26" customHeight="1">
      <c r="A7" s="45" t="inlineStr">
        <is>
          <t>Planning</t>
        </is>
      </c>
      <c r="B7" s="46" t="inlineStr">
        <is>
          <t>HyperFlex Architecture</t>
        </is>
      </c>
      <c r="C7" s="46" t="inlineStr">
        <is>
          <t>Design 4-node HyperFlex cluster architecture</t>
        </is>
      </c>
      <c r="D7" s="46">
        <f>ROUND($C$24*48,0)</f>
        <v/>
      </c>
      <c r="E7" s="47" t="n">
        <v>48</v>
      </c>
      <c r="F7" s="47" t="n">
        <v>225</v>
      </c>
      <c r="G7" s="46">
        <f>TEXT(E7*F7,"$#,##0")</f>
        <v/>
      </c>
      <c r="H7" s="46" t="inlineStr">
        <is>
          <t>Capacity Planning</t>
        </is>
      </c>
      <c r="I7" s="46" t="inlineStr">
        <is>
          <t>Medium</t>
        </is>
      </c>
      <c r="J7" s="46" t="inlineStr">
        <is>
          <t>HA redundancy and storage design</t>
        </is>
      </c>
    </row>
    <row r="8" ht="26" customHeight="1">
      <c r="A8" s="48" t="inlineStr">
        <is>
          <t>Planning</t>
        </is>
      </c>
      <c r="B8" s="49" t="inlineStr">
        <is>
          <t>Network Design</t>
        </is>
      </c>
      <c r="C8" s="49" t="inlineStr">
        <is>
          <t>Design fabric interconnect and network topology</t>
        </is>
      </c>
      <c r="D8" s="49">
        <f>ROUND($C$24*32,0)</f>
        <v/>
      </c>
      <c r="E8" s="50" t="n">
        <v>32</v>
      </c>
      <c r="F8" s="50" t="n">
        <v>200</v>
      </c>
      <c r="G8" s="49">
        <f>TEXT(E8*F8,"$#,##0")</f>
        <v/>
      </c>
      <c r="H8" s="49" t="inlineStr">
        <is>
          <t>Architecture</t>
        </is>
      </c>
      <c r="I8" s="49" t="inlineStr">
        <is>
          <t>Medium</t>
        </is>
      </c>
      <c r="J8" s="49" t="inlineStr">
        <is>
          <t>25GbE connectivity and VLANs</t>
        </is>
      </c>
    </row>
    <row r="9" ht="26" customHeight="1">
      <c r="A9" s="45" t="inlineStr">
        <is>
          <t>Planning</t>
        </is>
      </c>
      <c r="B9" s="46" t="inlineStr">
        <is>
          <t>Migration Strategy</t>
        </is>
      </c>
      <c r="C9" s="46" t="inlineStr">
        <is>
          <t>Plan phased VM migration approach</t>
        </is>
      </c>
      <c r="D9" s="46">
        <f>ROUND($C$24*40,0)</f>
        <v/>
      </c>
      <c r="E9" s="47" t="n">
        <v>40</v>
      </c>
      <c r="F9" s="47" t="n">
        <v>200</v>
      </c>
      <c r="G9" s="46">
        <f>TEXT(E9*F9,"$#,##0")</f>
        <v/>
      </c>
      <c r="H9" s="46" t="inlineStr">
        <is>
          <t>Dependencies</t>
        </is>
      </c>
      <c r="I9" s="46" t="inlineStr">
        <is>
          <t>High</t>
        </is>
      </c>
      <c r="J9" s="46" t="inlineStr">
        <is>
          <t>vMotion vs cold migration strategy</t>
        </is>
      </c>
    </row>
    <row r="10" ht="26" customHeight="1">
      <c r="A10" s="48" t="inlineStr">
        <is>
          <t>Planning</t>
        </is>
      </c>
      <c r="B10" s="49" t="inlineStr">
        <is>
          <t>Backup Integration</t>
        </is>
      </c>
      <c r="C10" s="49" t="inlineStr">
        <is>
          <t>Plan backup integration with Veeam or Commvault</t>
        </is>
      </c>
      <c r="D10" s="49">
        <f>ROUND($C$24*24,0)</f>
        <v/>
      </c>
      <c r="E10" s="50" t="n">
        <v>24</v>
      </c>
      <c r="F10" s="50" t="n">
        <v>175</v>
      </c>
      <c r="G10" s="49">
        <f>TEXT(E10*F10,"$#,##0")</f>
        <v/>
      </c>
      <c r="H10" s="49" t="inlineStr">
        <is>
          <t>Migration Plan</t>
        </is>
      </c>
      <c r="I10" s="49" t="inlineStr">
        <is>
          <t>Medium</t>
        </is>
      </c>
      <c r="J10" s="49" t="inlineStr">
        <is>
          <t>Snapshot-based backup design</t>
        </is>
      </c>
    </row>
    <row r="11" ht="26" customHeight="1">
      <c r="A11" s="45" t="inlineStr">
        <is>
          <t>Development</t>
        </is>
      </c>
      <c r="B11" s="46" t="inlineStr">
        <is>
          <t>HyperFlex Deployment</t>
        </is>
      </c>
      <c r="C11" s="46" t="inlineStr">
        <is>
          <t>Deploy 4-node HyperFlex cluster with HA</t>
        </is>
      </c>
      <c r="D11" s="46">
        <f>ROUND($C$25*80,0)</f>
        <v/>
      </c>
      <c r="E11" s="47" t="n">
        <v>80</v>
      </c>
      <c r="F11" s="47" t="n">
        <v>225</v>
      </c>
      <c r="G11" s="46">
        <f>TEXT(E11*F11,"$#,##0")</f>
        <v/>
      </c>
      <c r="H11" s="46" t="inlineStr">
        <is>
          <t>Architecture</t>
        </is>
      </c>
      <c r="I11" s="46" t="inlineStr">
        <is>
          <t>Medium</t>
        </is>
      </c>
      <c r="J11" s="46" t="inlineStr">
        <is>
          <t>Hardware installation and cluster init</t>
        </is>
      </c>
    </row>
    <row r="12" ht="26" customHeight="1">
      <c r="A12" s="48" t="inlineStr">
        <is>
          <t>Development</t>
        </is>
      </c>
      <c r="B12" s="49" t="inlineStr">
        <is>
          <t>vSphere Configuration</t>
        </is>
      </c>
      <c r="C12" s="49" t="inlineStr">
        <is>
          <t>Install and configure vSphere 8 on HyperFlex</t>
        </is>
      </c>
      <c r="D12" s="49">
        <f>ROUND($C$25*40,0)</f>
        <v/>
      </c>
      <c r="E12" s="50" t="n">
        <v>40</v>
      </c>
      <c r="F12" s="50" t="n">
        <v>200</v>
      </c>
      <c r="G12" s="49">
        <f>TEXT(E12*F12,"$#,##0")</f>
        <v/>
      </c>
      <c r="H12" s="49" t="inlineStr">
        <is>
          <t>HyperFlex Deploy</t>
        </is>
      </c>
      <c r="I12" s="49" t="inlineStr">
        <is>
          <t>Medium</t>
        </is>
      </c>
      <c r="J12" s="49" t="inlineStr">
        <is>
          <t>vCenter integration and vSphere setup</t>
        </is>
      </c>
    </row>
    <row r="13" ht="26" customHeight="1">
      <c r="A13" s="45" t="inlineStr">
        <is>
          <t>Development</t>
        </is>
      </c>
      <c r="B13" s="46" t="inlineStr">
        <is>
          <t>Network Configuration</t>
        </is>
      </c>
      <c r="C13" s="46" t="inlineStr">
        <is>
          <t>Configure fabric interconnects and virtual networking</t>
        </is>
      </c>
      <c r="D13" s="46">
        <f>ROUND($C$25*32,0)</f>
        <v/>
      </c>
      <c r="E13" s="47" t="n">
        <v>32</v>
      </c>
      <c r="F13" s="47" t="n">
        <v>200</v>
      </c>
      <c r="G13" s="46">
        <f>TEXT(E13*F13,"$#,##0")</f>
        <v/>
      </c>
      <c r="H13" s="46" t="inlineStr">
        <is>
          <t>vSphere Setup</t>
        </is>
      </c>
      <c r="I13" s="46" t="inlineStr">
        <is>
          <t>Medium</t>
        </is>
      </c>
      <c r="J13" s="46" t="inlineStr">
        <is>
          <t>VLANs distributed switches port groups</t>
        </is>
      </c>
    </row>
    <row r="14" ht="26" customHeight="1">
      <c r="A14" s="48" t="inlineStr">
        <is>
          <t>Development</t>
        </is>
      </c>
      <c r="B14" s="49" t="inlineStr">
        <is>
          <t>Storage Configuration</t>
        </is>
      </c>
      <c r="C14" s="49" t="inlineStr">
        <is>
          <t>Configure HyperFlex storage and data services</t>
        </is>
      </c>
      <c r="D14" s="49">
        <f>ROUND($C$25*32,0)</f>
        <v/>
      </c>
      <c r="E14" s="50" t="n">
        <v>32</v>
      </c>
      <c r="F14" s="50" t="n">
        <v>200</v>
      </c>
      <c r="G14" s="49">
        <f>TEXT(E14*F14,"$#,##0")</f>
        <v/>
      </c>
      <c r="H14" s="49" t="inlineStr">
        <is>
          <t>vSphere Setup</t>
        </is>
      </c>
      <c r="I14" s="49" t="inlineStr">
        <is>
          <t>Medium</t>
        </is>
      </c>
      <c r="J14" s="49" t="inlineStr">
        <is>
          <t>Deduplication compression replication</t>
        </is>
      </c>
    </row>
    <row r="15" ht="26" customHeight="1">
      <c r="A15" s="45" t="inlineStr">
        <is>
          <t>Development</t>
        </is>
      </c>
      <c r="B15" s="46" t="inlineStr">
        <is>
          <t>Intersight Integration</t>
        </is>
      </c>
      <c r="C15" s="46" t="inlineStr">
        <is>
          <t>Integrate HyperFlex with Cisco Intersight</t>
        </is>
      </c>
      <c r="D15" s="46">
        <f>ROUND($C$25*20,0)</f>
        <v/>
      </c>
      <c r="E15" s="47" t="n">
        <v>20</v>
      </c>
      <c r="F15" s="47" t="n">
        <v>175</v>
      </c>
      <c r="G15" s="46">
        <f>TEXT(E15*F15,"$#,##0")</f>
        <v/>
      </c>
      <c r="H15" s="46" t="inlineStr">
        <is>
          <t>Cluster Deploy</t>
        </is>
      </c>
      <c r="I15" s="46" t="inlineStr">
        <is>
          <t>Low</t>
        </is>
      </c>
      <c r="J15" s="46" t="inlineStr">
        <is>
          <t>Cloud management and monitoring</t>
        </is>
      </c>
    </row>
    <row r="16" ht="26" customHeight="1">
      <c r="A16" s="48" t="inlineStr">
        <is>
          <t>Development</t>
        </is>
      </c>
      <c r="B16" s="49" t="inlineStr">
        <is>
          <t>Backup Configuration</t>
        </is>
      </c>
      <c r="C16" s="49" t="inlineStr">
        <is>
          <t>Configure Veeam backup integration</t>
        </is>
      </c>
      <c r="D16" s="49">
        <f>ROUND($C$25*30,0)</f>
        <v/>
      </c>
      <c r="E16" s="50" t="n">
        <v>30</v>
      </c>
      <c r="F16" s="50" t="n">
        <v>200</v>
      </c>
      <c r="G16" s="49">
        <f>TEXT(E16*F16,"$#,##0")</f>
        <v/>
      </c>
      <c r="H16" s="49" t="inlineStr">
        <is>
          <t>Storage Config</t>
        </is>
      </c>
      <c r="I16" s="49" t="inlineStr">
        <is>
          <t>Medium</t>
        </is>
      </c>
      <c r="J16" s="49" t="inlineStr">
        <is>
          <t>Backup jobs and retention policies</t>
        </is>
      </c>
    </row>
    <row r="17" ht="26" customHeight="1">
      <c r="A17" s="45" t="inlineStr">
        <is>
          <t>Testing</t>
        </is>
      </c>
      <c r="B17" s="46" t="inlineStr">
        <is>
          <t>Performance Testing</t>
        </is>
      </c>
      <c r="C17" s="46" t="inlineStr">
        <is>
          <t>Test storage and VM performance benchmarks</t>
        </is>
      </c>
      <c r="D17" s="46">
        <f>ROUND($C$26*30,0)</f>
        <v/>
      </c>
      <c r="E17" s="47" t="n">
        <v>30</v>
      </c>
      <c r="F17" s="47" t="n">
        <v>200</v>
      </c>
      <c r="G17" s="46">
        <f>TEXT(E17*F17,"$#,##0")</f>
        <v/>
      </c>
      <c r="H17" s="46" t="inlineStr">
        <is>
          <t>Config Complete</t>
        </is>
      </c>
      <c r="I17" s="46" t="inlineStr">
        <is>
          <t>Medium</t>
        </is>
      </c>
      <c r="J17" s="46" t="inlineStr">
        <is>
          <t>IOPS latency throughput validation</t>
        </is>
      </c>
    </row>
    <row r="18" ht="26" customHeight="1">
      <c r="A18" s="48" t="inlineStr">
        <is>
          <t>Testing</t>
        </is>
      </c>
      <c r="B18" s="49" t="inlineStr">
        <is>
          <t>Failover Testing</t>
        </is>
      </c>
      <c r="C18" s="49" t="inlineStr">
        <is>
          <t>Test HA failover and node failure scenarios</t>
        </is>
      </c>
      <c r="D18" s="49">
        <f>ROUND($C$26*24,0)</f>
        <v/>
      </c>
      <c r="E18" s="50" t="n">
        <v>24</v>
      </c>
      <c r="F18" s="50" t="n">
        <v>200</v>
      </c>
      <c r="G18" s="49">
        <f>TEXT(E18*F18,"$#,##0")</f>
        <v/>
      </c>
      <c r="H18" s="49" t="inlineStr">
        <is>
          <t>Performance Tests</t>
        </is>
      </c>
      <c r="I18" s="49" t="inlineStr">
        <is>
          <t>High</t>
        </is>
      </c>
      <c r="J18" s="49" t="inlineStr">
        <is>
          <t>Node failure and cluster resilience</t>
        </is>
      </c>
    </row>
    <row r="19" ht="26" customHeight="1">
      <c r="A19" s="45" t="inlineStr">
        <is>
          <t>Testing</t>
        </is>
      </c>
      <c r="B19" s="46" t="inlineStr">
        <is>
          <t>VM Migration Testing</t>
        </is>
      </c>
      <c r="C19" s="46" t="inlineStr">
        <is>
          <t>Test vMotion and migration procedures</t>
        </is>
      </c>
      <c r="D19" s="46">
        <f>ROUND($C$26*30,0)</f>
        <v/>
      </c>
      <c r="E19" s="47" t="n">
        <v>30</v>
      </c>
      <c r="F19" s="47" t="n">
        <v>175</v>
      </c>
      <c r="G19" s="46">
        <f>TEXT(E19*F19,"$#,##0")</f>
        <v/>
      </c>
      <c r="H19" s="46" t="inlineStr">
        <is>
          <t>Failover Tests</t>
        </is>
      </c>
      <c r="I19" s="46" t="inlineStr">
        <is>
          <t>Medium</t>
        </is>
      </c>
      <c r="J19" s="46" t="inlineStr">
        <is>
          <t>Pilot VM migrations (20 VMs)</t>
        </is>
      </c>
    </row>
    <row r="20" ht="26" customHeight="1">
      <c r="A20" s="48" t="inlineStr">
        <is>
          <t>Testing</t>
        </is>
      </c>
      <c r="B20" s="49" t="inlineStr">
        <is>
          <t>Application Validation</t>
        </is>
      </c>
      <c r="C20" s="49" t="inlineStr">
        <is>
          <t>Validate application functionality post-migration</t>
        </is>
      </c>
      <c r="D20" s="49">
        <f>ROUND($C$26*40,0)</f>
        <v/>
      </c>
      <c r="E20" s="50" t="n">
        <v>40</v>
      </c>
      <c r="F20" s="50" t="n">
        <v>175</v>
      </c>
      <c r="G20" s="49">
        <f>TEXT(E20*F20,"$#,##0")</f>
        <v/>
      </c>
      <c r="H20" s="49" t="inlineStr">
        <is>
          <t>VM Migration</t>
        </is>
      </c>
      <c r="I20" s="49" t="inlineStr">
        <is>
          <t>High</t>
        </is>
      </c>
      <c r="J20" s="49" t="inlineStr">
        <is>
          <t>Business application testing</t>
        </is>
      </c>
    </row>
    <row r="21" ht="26" customHeight="1">
      <c r="A21" s="45" t="inlineStr">
        <is>
          <t>Deployment</t>
        </is>
      </c>
      <c r="B21" s="46" t="inlineStr">
        <is>
          <t>Production VM Migration Wave 1</t>
        </is>
      </c>
      <c r="C21" s="46" t="inlineStr">
        <is>
          <t>Migrate 50 non-critical VMs (Wave 1)</t>
        </is>
      </c>
      <c r="D21" s="46">
        <f>ROUND($C$27*30,0)</f>
        <v/>
      </c>
      <c r="E21" s="47" t="n">
        <v>30</v>
      </c>
      <c r="F21" s="47" t="n">
        <v>175</v>
      </c>
      <c r="G21" s="46">
        <f>TEXT(E21*F21,"$#,##0")</f>
        <v/>
      </c>
      <c r="H21" s="46" t="inlineStr">
        <is>
          <t>Testing Complete</t>
        </is>
      </c>
      <c r="I21" s="46" t="inlineStr">
        <is>
          <t>Medium</t>
        </is>
      </c>
      <c r="J21" s="46" t="inlineStr">
        <is>
          <t>Dev/test and low-priority VMs</t>
        </is>
      </c>
    </row>
    <row r="22" ht="26" customHeight="1">
      <c r="A22" s="48" t="inlineStr">
        <is>
          <t>Deployment</t>
        </is>
      </c>
      <c r="B22" s="49" t="inlineStr">
        <is>
          <t>Production VM Migration Wave 2</t>
        </is>
      </c>
      <c r="C22" s="49" t="inlineStr">
        <is>
          <t>Migrate 50 business application VMs (Wave 2)</t>
        </is>
      </c>
      <c r="D22" s="49">
        <f>ROUND($C$27*40,0)</f>
        <v/>
      </c>
      <c r="E22" s="50" t="n">
        <v>40</v>
      </c>
      <c r="F22" s="50" t="n">
        <v>175</v>
      </c>
      <c r="G22" s="49">
        <f>TEXT(E22*F22,"$#,##0")</f>
        <v/>
      </c>
      <c r="H22" s="49" t="inlineStr">
        <is>
          <t>Wave 1 Success</t>
        </is>
      </c>
      <c r="I22" s="49" t="inlineStr">
        <is>
          <t>Medium</t>
        </is>
      </c>
      <c r="J22" s="49" t="inlineStr">
        <is>
          <t>Business apps and file servers</t>
        </is>
      </c>
    </row>
    <row r="23" ht="26" customHeight="1">
      <c r="A23" s="45" t="inlineStr">
        <is>
          <t>Deployment</t>
        </is>
      </c>
      <c r="B23" s="46" t="inlineStr">
        <is>
          <t>Production VM Migration Wave 3</t>
        </is>
      </c>
      <c r="C23" s="46" t="inlineStr">
        <is>
          <t>Migrate 50 critical VMs (Wave 3)</t>
        </is>
      </c>
      <c r="D23" s="46">
        <f>ROUND($C$27*50,0)</f>
        <v/>
      </c>
      <c r="E23" s="47" t="n">
        <v>50</v>
      </c>
      <c r="F23" s="47" t="n">
        <v>200</v>
      </c>
      <c r="G23" s="46">
        <f>TEXT(E23*F23,"$#,##0")</f>
        <v/>
      </c>
      <c r="H23" s="46" t="inlineStr">
        <is>
          <t>Wave 2 Success</t>
        </is>
      </c>
      <c r="I23" s="46" t="inlineStr">
        <is>
          <t>High</t>
        </is>
      </c>
      <c r="J23" s="46" t="inlineStr">
        <is>
          <t>Databases and mission-critical apps</t>
        </is>
      </c>
    </row>
    <row r="24" ht="26" customHeight="1">
      <c r="A24" s="48" t="inlineStr">
        <is>
          <t>Deployment</t>
        </is>
      </c>
      <c r="B24" s="49" t="inlineStr">
        <is>
          <t>Remaining VM Migration</t>
        </is>
      </c>
      <c r="C24" s="49" t="inlineStr">
        <is>
          <t>Migrate final VMs and validate infrastructure</t>
        </is>
      </c>
      <c r="D24" s="49">
        <f>ROUND($C$27*40,0)</f>
        <v/>
      </c>
      <c r="E24" s="50" t="n">
        <v>40</v>
      </c>
      <c r="F24" s="50" t="n">
        <v>175</v>
      </c>
      <c r="G24" s="49">
        <f>TEXT(E24*F24,"$#,##0")</f>
        <v/>
      </c>
      <c r="H24" s="49" t="inlineStr">
        <is>
          <t>Wave 3 Success</t>
        </is>
      </c>
      <c r="I24" s="49" t="inlineStr">
        <is>
          <t>Medium</t>
        </is>
      </c>
      <c r="J24" s="49" t="inlineStr">
        <is>
          <t>Cleanup and final migrations</t>
        </is>
      </c>
    </row>
    <row r="25" ht="26" customHeight="1">
      <c r="A25" s="45" t="inlineStr">
        <is>
          <t>Deployment</t>
        </is>
      </c>
      <c r="B25" s="46" t="inlineStr">
        <is>
          <t>Hypercare Support</t>
        </is>
      </c>
      <c r="C25" s="46" t="inlineStr">
        <is>
          <t>Provide post-migration stabilization support</t>
        </is>
      </c>
      <c r="D25" s="46">
        <f>ROUND($C$27*60,0)</f>
        <v/>
      </c>
      <c r="E25" s="47" t="n">
        <v>60</v>
      </c>
      <c r="F25" s="47" t="n">
        <v>150</v>
      </c>
      <c r="G25" s="46">
        <f>TEXT(E25*F25,"$#,##0")</f>
        <v/>
      </c>
      <c r="H25" s="46" t="inlineStr">
        <is>
          <t>Migration Complete</t>
        </is>
      </c>
      <c r="I25" s="46" t="inlineStr">
        <is>
          <t>Medium</t>
        </is>
      </c>
      <c r="J25" s="46" t="inlineStr">
        <is>
          <t>4-week hypercare period</t>
        </is>
      </c>
    </row>
    <row r="26" ht="26" customHeight="1">
      <c r="A26" s="48" t="inlineStr">
        <is>
          <t>Training</t>
        </is>
      </c>
      <c r="B26" s="49" t="inlineStr">
        <is>
          <t>Administrator Training</t>
        </is>
      </c>
      <c r="C26" s="49" t="inlineStr">
        <is>
          <t>Train infrastructure team on HyperFlex operations</t>
        </is>
      </c>
      <c r="D26" s="49">
        <f>ROUND($C$28*24,0)</f>
        <v/>
      </c>
      <c r="E26" s="50" t="n">
        <v>24</v>
      </c>
      <c r="F26" s="50" t="n">
        <v>175</v>
      </c>
      <c r="G26" s="49">
        <f>TEXT(E26*F26,"$#,##0")</f>
        <v/>
      </c>
      <c r="H26" s="49" t="inlineStr">
        <is>
          <t>Deployment</t>
        </is>
      </c>
      <c r="I26" s="49" t="inlineStr">
        <is>
          <t>Low</t>
        </is>
      </c>
      <c r="J26" s="49" t="inlineStr">
        <is>
          <t>HyperFlex and Intersight management</t>
        </is>
      </c>
    </row>
    <row r="27" ht="26" customHeight="1">
      <c r="A27" s="45" t="inlineStr">
        <is>
          <t>Training</t>
        </is>
      </c>
      <c r="B27" s="46" t="inlineStr">
        <is>
          <t>Operations Training</t>
        </is>
      </c>
      <c r="C27" s="46" t="inlineStr">
        <is>
          <t>Train operations on monitoring and troubleshooting</t>
        </is>
      </c>
      <c r="D27" s="46">
        <f>ROUND($C$28*16,0)</f>
        <v/>
      </c>
      <c r="E27" s="47" t="n">
        <v>16</v>
      </c>
      <c r="F27" s="47" t="n">
        <v>150</v>
      </c>
      <c r="G27" s="46">
        <f>TEXT(E27*F27,"$#,##0")</f>
        <v/>
      </c>
      <c r="H27" s="46" t="inlineStr">
        <is>
          <t>Admin Training</t>
        </is>
      </c>
      <c r="I27" s="46" t="inlineStr">
        <is>
          <t>Low</t>
        </is>
      </c>
      <c r="J27" s="46" t="inlineStr">
        <is>
          <t>Day-to-day operations and alerts</t>
        </is>
      </c>
    </row>
    <row r="28" ht="26" customHeight="1">
      <c r="A28" s="48" t="inlineStr">
        <is>
          <t>Training</t>
        </is>
      </c>
      <c r="B28" s="49" t="inlineStr">
        <is>
          <t>Documentation</t>
        </is>
      </c>
      <c r="C28" s="49" t="inlineStr">
        <is>
          <t>Create runbooks SOPs and architecture docs</t>
        </is>
      </c>
      <c r="D28" s="49">
        <f>ROUND($C$28*32,0)</f>
        <v/>
      </c>
      <c r="E28" s="50" t="n">
        <v>32</v>
      </c>
      <c r="F28" s="50" t="n">
        <v>150</v>
      </c>
      <c r="G28" s="49">
        <f>TEXT(E28*F28,"$#,##0")</f>
        <v/>
      </c>
      <c r="H28" s="49" t="inlineStr"/>
      <c r="I28" s="49" t="inlineStr">
        <is>
          <t>Low</t>
        </is>
      </c>
      <c r="J28" s="49" t="inlineStr">
        <is>
          <t>Operational procedures and diagrams</t>
        </is>
      </c>
    </row>
    <row r="29" ht="26" customHeight="1">
      <c r="A29" s="45" t="inlineStr">
        <is>
          <t>Closeout</t>
        </is>
      </c>
      <c r="B29" s="46" t="inlineStr">
        <is>
          <t>Knowledge Transfer</t>
        </is>
      </c>
      <c r="C29" s="46" t="inlineStr">
        <is>
          <t>Transfer infrastructure to operations team</t>
        </is>
      </c>
      <c r="D29" s="46">
        <f>ROUND($C$29*16,0)</f>
        <v/>
      </c>
      <c r="E29" s="47" t="n">
        <v>16</v>
      </c>
      <c r="F29" s="47" t="n">
        <v>175</v>
      </c>
      <c r="G29" s="46">
        <f>TEXT(E29*F29,"$#,##0")</f>
        <v/>
      </c>
      <c r="H29" s="46" t="inlineStr">
        <is>
          <t>Training Complete</t>
        </is>
      </c>
      <c r="I29" s="46" t="inlineStr">
        <is>
          <t>Low</t>
        </is>
      </c>
      <c r="J29" s="46" t="inlineStr">
        <is>
          <t>Operational handoff and escalation</t>
        </is>
      </c>
    </row>
    <row r="30" ht="26" customHeight="1">
      <c r="A30" s="48" t="inlineStr">
        <is>
          <t>Closeout</t>
        </is>
      </c>
      <c r="B30" s="49" t="inlineStr">
        <is>
          <t>Performance Baseline</t>
        </is>
      </c>
      <c r="C30" s="49" t="inlineStr">
        <is>
          <t>Establish performance baselines and SLAs</t>
        </is>
      </c>
      <c r="D30" s="49">
        <f>ROUND($C$29*16,0)</f>
        <v/>
      </c>
      <c r="E30" s="50" t="n">
        <v>16</v>
      </c>
      <c r="F30" s="50" t="n">
        <v>175</v>
      </c>
      <c r="G30" s="49">
        <f>TEXT(E30*F30,"$#,##0")</f>
        <v/>
      </c>
      <c r="H30" s="49" t="inlineStr">
        <is>
          <t>Hypercare</t>
        </is>
      </c>
      <c r="I30" s="49" t="inlineStr">
        <is>
          <t>Low</t>
        </is>
      </c>
      <c r="J30" s="49" t="inlineStr">
        <is>
          <t>VM performance and storage metrics</t>
        </is>
      </c>
    </row>
    <row r="31" ht="26" customHeight="1">
      <c r="A31" s="45" t="inlineStr">
        <is>
          <t>Closeout</t>
        </is>
      </c>
      <c r="B31" s="46" t="inlineStr">
        <is>
          <t>Legacy Decommission Planning</t>
        </is>
      </c>
      <c r="C31" s="46" t="inlineStr">
        <is>
          <t>Plan decommissioning of legacy infrastructure</t>
        </is>
      </c>
      <c r="D31" s="46">
        <f>ROUND($C$29*24,0)</f>
        <v/>
      </c>
      <c r="E31" s="47" t="n">
        <v>24</v>
      </c>
      <c r="F31" s="47" t="n">
        <v>150</v>
      </c>
      <c r="G31" s="46">
        <f>TEXT(E31*F31,"$#,##0")</f>
        <v/>
      </c>
      <c r="H31" s="46" t="inlineStr">
        <is>
          <t>Migration Complete</t>
        </is>
      </c>
      <c r="I31" s="46" t="inlineStr">
        <is>
          <t>Low</t>
        </is>
      </c>
      <c r="J31" s="46" t="inlineStr">
        <is>
          <t>Server and SAN retirement planning</t>
        </is>
      </c>
    </row>
    <row r="32" ht="26" customHeight="1">
      <c r="A32" s="48" t="inlineStr">
        <is>
          <t>Management</t>
        </is>
      </c>
      <c r="B32" s="49" t="inlineStr">
        <is>
          <t>Technical Leadership</t>
        </is>
      </c>
      <c r="C32" s="49" t="inlineStr">
        <is>
          <t>Technical quarterback and architecture oversight</t>
        </is>
      </c>
      <c r="D32" s="49">
        <f>ROUND(SUM(E3:E31)*$C$30,0)</f>
        <v/>
      </c>
      <c r="E32" s="51">
        <f>ROUND(SUM(E3:E31)*0.25,0)</f>
        <v/>
      </c>
      <c r="F32" s="50" t="n">
        <v>225</v>
      </c>
      <c r="G32" s="49">
        <f>TEXT(E32*F32,"$#,##0")</f>
        <v/>
      </c>
      <c r="H32" s="49" t="inlineStr"/>
      <c r="I32" s="49" t="inlineStr">
        <is>
          <t>Medium</t>
        </is>
      </c>
      <c r="J32" s="49" t="inlineStr">
        <is>
          <t>25% of total engineering effort</t>
        </is>
      </c>
    </row>
    <row r="33" ht="26" customHeight="1">
      <c r="A33" s="45" t="inlineStr">
        <is>
          <t>Management</t>
        </is>
      </c>
      <c r="B33" s="46" t="inlineStr">
        <is>
          <t>Project Management</t>
        </is>
      </c>
      <c r="C33" s="46" t="inlineStr">
        <is>
          <t>Project coordination and stakeholder management</t>
        </is>
      </c>
      <c r="D33" s="46">
        <f>ROUND(SUM(E3:E32)*0.20,0)</f>
        <v/>
      </c>
      <c r="E33" s="52">
        <f>ROUND(SUM(E3:E32)*0.20,0)</f>
        <v/>
      </c>
      <c r="F33" s="47" t="n">
        <v>175</v>
      </c>
      <c r="G33" s="46">
        <f>TEXT(E33*F33,"$#,##0")</f>
        <v/>
      </c>
      <c r="H33" s="46" t="inlineStr"/>
      <c r="I33" s="46" t="inlineStr">
        <is>
          <t>Low</t>
        </is>
      </c>
      <c r="J33" s="46" t="inlineStr">
        <is>
          <t>20% of total engineering effort</t>
        </is>
      </c>
    </row>
    <row r="34" ht="26" customHeight="1">
      <c r="A34" s="53" t="inlineStr"/>
      <c r="B34" s="53" t="inlineStr"/>
      <c r="C34" s="53" t="inlineStr"/>
      <c r="D34" s="54" t="inlineStr">
        <is>
          <t>TOTAL HOURS</t>
        </is>
      </c>
      <c r="E34" s="54">
        <f>SUM(E3:E33)</f>
        <v/>
      </c>
      <c r="F34" s="54" t="inlineStr">
        <is>
          <t>TOTAL COST</t>
        </is>
      </c>
      <c r="G34" s="54">
        <f>TEXT(SUM(G3:G33),"$#,##0")</f>
        <v/>
      </c>
      <c r="H34" s="53" t="inlineStr"/>
      <c r="I34" s="53" t="inlineStr"/>
      <c r="J34" s="54" t="inlineStr">
        <is>
          <t>Total HyperFlex HCI implementation cost</t>
        </is>
      </c>
    </row>
  </sheetData>
  <autoFilter ref="A2:J3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6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Hardware</t>
        </is>
      </c>
      <c r="B3" s="38" t="inlineStr">
        <is>
          <t>Server Trade-In Credit</t>
        </is>
      </c>
      <c r="C3" s="55" t="n">
        <v>-15000</v>
      </c>
      <c r="D3" s="38" t="inlineStr">
        <is>
          <t>Legacy server trade-in credit</t>
        </is>
      </c>
    </row>
    <row r="4" ht="26" customHeight="1">
      <c r="A4" s="40" t="inlineStr">
        <is>
          <t>Software</t>
        </is>
      </c>
      <c r="B4" s="41" t="inlineStr">
        <is>
          <t>VMware ELA Credit</t>
        </is>
      </c>
      <c r="C4" s="56" t="n">
        <v>-20000</v>
      </c>
      <c r="D4" s="41" t="inlineStr">
        <is>
          <t>Existing VMware Enterprise License Agreement credit</t>
        </is>
      </c>
    </row>
    <row r="5" ht="26" customHeight="1">
      <c r="A5" s="37" t="inlineStr">
        <is>
          <t>Professional Services</t>
        </is>
      </c>
      <c r="B5" s="38" t="inlineStr">
        <is>
          <t>Implementation Services</t>
        </is>
      </c>
      <c r="C5" s="55" t="n">
        <v>0</v>
      </c>
      <c r="D5" s="38" t="inlineStr">
        <is>
          <t>No professional services credits available</t>
        </is>
      </c>
    </row>
    <row r="6" ht="26" customHeight="1">
      <c r="A6" s="40" t="inlineStr">
        <is>
          <t>Support &amp; Maintenance</t>
        </is>
      </c>
      <c r="B6" s="41" t="inlineStr">
        <is>
          <t>Support Credit</t>
        </is>
      </c>
      <c r="C6" s="56" t="n">
        <v>0</v>
      </c>
      <c r="D6" s="41" t="inlineStr">
        <is>
          <t>No support renewal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2025-11-26T15:23:58Z</dcterms:modified>
  <cp:lastModifiedBy>Kishan Siram</cp:lastModifiedBy>
</cp:coreProperties>
</file>