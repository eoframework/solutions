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Cloud - Hybrid Infrastructure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HyperFlex 4-node for 200-300 VMs</t>
        </is>
      </c>
      <c r="D3" s="38" t="inlineStr">
        <is>
          <t>HyperFlex 4-node for 200-300 VMs</t>
        </is>
      </c>
      <c r="E3" s="38" t="inlineStr">
        <is>
          <t>HyperFlex 6-node for 400-600 VMs</t>
        </is>
      </c>
      <c r="F3" s="38" t="inlineStr">
        <is>
          <t>HyperFlex 8+ node for 800+ VMs</t>
        </is>
      </c>
      <c r="G3" s="38" t="inlineStr">
        <is>
          <t>Hyperconverged infrastructure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HyperFlex deployment</t>
        </is>
      </c>
      <c r="D4" s="41" t="inlineStr">
        <is>
          <t>Standard deployment</t>
        </is>
      </c>
      <c r="E4" s="41" t="inlineStr">
        <is>
          <t>Custom vSphere policies and automation</t>
        </is>
      </c>
      <c r="F4" s="41" t="inlineStr">
        <is>
          <t>Extensive custom integrations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(vCenter + backup)</t>
        </is>
      </c>
      <c r="D5" s="38" t="inlineStr">
        <is>
          <t>2 systems (vCenter + backup)</t>
        </is>
      </c>
      <c r="E5" s="38" t="inlineStr">
        <is>
          <t>4 systems (vCenter backup monitoring CMDB)</t>
        </is>
      </c>
      <c r="F5" s="38" t="inlineStr">
        <is>
          <t>6+ systems including orchestration</t>
        </is>
      </c>
      <c r="G5" s="38" t="inlineStr">
        <is>
          <t>vCenter Veeam Intersight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VM inventory only</t>
        </is>
      </c>
      <c r="D6" s="41" t="inlineStr">
        <is>
          <t>VM inventory</t>
        </is>
      </c>
      <c r="E6" s="41" t="inlineStr">
        <is>
          <t>VM + storage + network telemetry</t>
        </is>
      </c>
      <c r="F6" s="41" t="inlineStr">
        <is>
          <t>VM + storage + network + app metrics</t>
        </is>
      </c>
      <c r="G6" s="41" t="inlineStr">
        <is>
          <t>Infrastructure monitoring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infrastructure admins</t>
        </is>
      </c>
      <c r="D7" s="38" t="inlineStr">
        <is>
          <t>10 admins</t>
        </is>
      </c>
      <c r="E7" s="38" t="inlineStr">
        <is>
          <t>20 virtualization team members</t>
        </is>
      </c>
      <c r="F7" s="38" t="inlineStr">
        <is>
          <t>40+ distributed team members</t>
        </is>
      </c>
      <c r="G7" s="38" t="inlineStr">
        <is>
          <t>vCenter and Intersight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resource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200-300 VMs workload</t>
        </is>
      </c>
      <c r="D9" s="38" t="inlineStr">
        <is>
          <t>200-300 VMs</t>
        </is>
      </c>
      <c r="E9" s="38" t="inlineStr">
        <is>
          <t>400-600 VMs mixed workload</t>
        </is>
      </c>
      <c r="F9" s="38" t="inlineStr">
        <is>
          <t>800+ VMs high-density</t>
        </is>
      </c>
      <c r="G9" s="38" t="inlineStr">
        <is>
          <t>Virtual machine capacity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 TB usable storage</t>
        </is>
      </c>
      <c r="D10" s="41" t="inlineStr">
        <is>
          <t>20 TB</t>
        </is>
      </c>
      <c r="E10" s="41" t="inlineStr">
        <is>
          <t>40 TB usable storage</t>
        </is>
      </c>
      <c r="F10" s="41" t="inlineStr">
        <is>
          <t>80+ TB usable storage</t>
        </is>
      </c>
      <c r="G10" s="41" t="inlineStr">
        <is>
          <t>After deduplication and compression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replication</t>
        </is>
      </c>
      <c r="F11" s="38" t="inlineStr">
        <is>
          <t>Multi-site with disaster recovery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Infrastructure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3-tier compute storage network</t>
        </is>
      </c>
      <c r="D13" s="38" t="inlineStr">
        <is>
          <t>Basic 3-tier</t>
        </is>
      </c>
      <c r="E13" s="38" t="inlineStr">
        <is>
          <t>Complex multi-tier with DR</t>
        </is>
      </c>
      <c r="F13" s="38" t="inlineStr">
        <is>
          <t>Distributed multi-site architecture</t>
        </is>
      </c>
      <c r="G13" s="38" t="inlineStr">
        <is>
          <t>Infrastructure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and RBAC</t>
        </is>
      </c>
      <c r="D14" s="41" t="inlineStr">
        <is>
          <t>Basic security</t>
        </is>
      </c>
      <c r="E14" s="41" t="inlineStr">
        <is>
          <t>Encryption + compliance scanning</t>
        </is>
      </c>
      <c r="F14" s="41" t="inlineStr">
        <is>
          <t>Advanced security + multi-framework compliance</t>
        </is>
      </c>
      <c r="G14" s="41" t="inlineStr">
        <is>
          <t>Data protection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IOPS and latency</t>
        </is>
      </c>
      <c r="D16" s="41" t="inlineStr">
        <is>
          <t>Standard performance</t>
        </is>
      </c>
      <c r="E16" s="41" t="inlineStr">
        <is>
          <t>High IOPS all-flash NVMe</t>
        </is>
      </c>
      <c r="F16" s="41" t="inlineStr">
        <is>
          <t>Extreme performance low-latency</t>
        </is>
      </c>
      <c r="G16" s="41" t="inlineStr">
        <is>
          <t>Storage performance tier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Dev + production</t>
        </is>
      </c>
      <c r="F17" s="38" t="inlineStr">
        <is>
          <t>Dev + staging + production + DR</t>
        </is>
      </c>
      <c r="G17" s="38" t="inlineStr">
        <is>
          <t>Environment management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(Infrastructure Assessment, Workload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Capacity Planning,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(HyperFlex Deployment, vSphere Configuration, VM Migration)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Testing, Failover Testing, Application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VM Migration, Cutover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Legacy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Infrastructure Assessment</t>
        </is>
      </c>
      <c r="C3" s="46" t="inlineStr">
        <is>
          <t>Assess current servers storage and network infrastructure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Capacity utilization and performance analysis</t>
        </is>
      </c>
    </row>
    <row r="4" ht="26" customHeight="1">
      <c r="A4" s="48" t="inlineStr">
        <is>
          <t>Discovery</t>
        </is>
      </c>
      <c r="B4" s="49" t="inlineStr">
        <is>
          <t>Workload Analysis</t>
        </is>
      </c>
      <c r="C4" s="49" t="inlineStr">
        <is>
          <t>Analyze VM workloads and resource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vCPU memory storage IOPS profiling</t>
        </is>
      </c>
    </row>
    <row r="5" ht="26" customHeight="1">
      <c r="A5" s="45" t="inlineStr">
        <is>
          <t>Discovery</t>
        </is>
      </c>
      <c r="B5" s="46" t="inlineStr">
        <is>
          <t>Capacity Planning</t>
        </is>
      </c>
      <c r="C5" s="46" t="inlineStr">
        <is>
          <t>Size HyperFlex cluster for current and future needs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>
        <is>
          <t>Workload Analysis</t>
        </is>
      </c>
      <c r="I5" s="46" t="inlineStr">
        <is>
          <t>Medium</t>
        </is>
      </c>
      <c r="J5" s="46" t="inlineStr">
        <is>
          <t>3-year capacity planning</t>
        </is>
      </c>
    </row>
    <row r="6" ht="26" customHeight="1">
      <c r="A6" s="48" t="inlineStr">
        <is>
          <t>Discovery</t>
        </is>
      </c>
      <c r="B6" s="49" t="inlineStr">
        <is>
          <t>Application Dependencies</t>
        </is>
      </c>
      <c r="C6" s="49" t="inlineStr">
        <is>
          <t>Map application dependencies and migration priorities</t>
        </is>
      </c>
      <c r="D6" s="49">
        <f>ROUND($C$23*32,0)</f>
        <v/>
      </c>
      <c r="E6" s="50" t="n">
        <v>32</v>
      </c>
      <c r="F6" s="50" t="n">
        <v>200</v>
      </c>
      <c r="G6" s="49">
        <f>TEXT(E6*F6,"$#,##0")</f>
        <v/>
      </c>
      <c r="H6" s="49" t="inlineStr">
        <is>
          <t>Workload Analysis</t>
        </is>
      </c>
      <c r="I6" s="49" t="inlineStr">
        <is>
          <t>Medium</t>
        </is>
      </c>
      <c r="J6" s="49" t="inlineStr">
        <is>
          <t>VM grouping and migration waves</t>
        </is>
      </c>
    </row>
    <row r="7" ht="26" customHeight="1">
      <c r="A7" s="45" t="inlineStr">
        <is>
          <t>Planning</t>
        </is>
      </c>
      <c r="B7" s="46" t="inlineStr">
        <is>
          <t>HyperFlex Architecture</t>
        </is>
      </c>
      <c r="C7" s="46" t="inlineStr">
        <is>
          <t>Design 4-node HyperFlex cluster architecture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Capacity Planning</t>
        </is>
      </c>
      <c r="I7" s="46" t="inlineStr">
        <is>
          <t>Medium</t>
        </is>
      </c>
      <c r="J7" s="46" t="inlineStr">
        <is>
          <t>HA redundancy and storage design</t>
        </is>
      </c>
    </row>
    <row r="8" ht="26" customHeight="1">
      <c r="A8" s="48" t="inlineStr">
        <is>
          <t>Planning</t>
        </is>
      </c>
      <c r="B8" s="49" t="inlineStr">
        <is>
          <t>Network Design</t>
        </is>
      </c>
      <c r="C8" s="49" t="inlineStr">
        <is>
          <t>Design fabric interconnect and network topology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Architecture</t>
        </is>
      </c>
      <c r="I8" s="49" t="inlineStr">
        <is>
          <t>Medium</t>
        </is>
      </c>
      <c r="J8" s="49" t="inlineStr">
        <is>
          <t>25GbE connectivity and VLANs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VM migration approach</t>
        </is>
      </c>
      <c r="D9" s="46">
        <f>ROUND($C$24*40,0)</f>
        <v/>
      </c>
      <c r="E9" s="47" t="n">
        <v>40</v>
      </c>
      <c r="F9" s="47" t="n">
        <v>200</v>
      </c>
      <c r="G9" s="46">
        <f>TEXT(E9*F9,"$#,##0")</f>
        <v/>
      </c>
      <c r="H9" s="46" t="inlineStr">
        <is>
          <t>Dependencies</t>
        </is>
      </c>
      <c r="I9" s="46" t="inlineStr">
        <is>
          <t>High</t>
        </is>
      </c>
      <c r="J9" s="46" t="inlineStr">
        <is>
          <t>vMotion vs cold migration strategy</t>
        </is>
      </c>
    </row>
    <row r="10" ht="26" customHeight="1">
      <c r="A10" s="48" t="inlineStr">
        <is>
          <t>Planning</t>
        </is>
      </c>
      <c r="B10" s="49" t="inlineStr">
        <is>
          <t>Backup Integration</t>
        </is>
      </c>
      <c r="C10" s="49" t="inlineStr">
        <is>
          <t>Plan backup integration with Veeam or Commvault</t>
        </is>
      </c>
      <c r="D10" s="49">
        <f>ROUND($C$24*24,0)</f>
        <v/>
      </c>
      <c r="E10" s="50" t="n">
        <v>24</v>
      </c>
      <c r="F10" s="50" t="n">
        <v>175</v>
      </c>
      <c r="G10" s="49">
        <f>TEXT(E10*F10,"$#,##0")</f>
        <v/>
      </c>
      <c r="H10" s="49" t="inlineStr">
        <is>
          <t>Migration Plan</t>
        </is>
      </c>
      <c r="I10" s="49" t="inlineStr">
        <is>
          <t>Medium</t>
        </is>
      </c>
      <c r="J10" s="49" t="inlineStr">
        <is>
          <t>Snapshot-based backup design</t>
        </is>
      </c>
    </row>
    <row r="11" ht="26" customHeight="1">
      <c r="A11" s="45" t="inlineStr">
        <is>
          <t>Development</t>
        </is>
      </c>
      <c r="B11" s="46" t="inlineStr">
        <is>
          <t>HyperFlex Deployment</t>
        </is>
      </c>
      <c r="C11" s="46" t="inlineStr">
        <is>
          <t>Deploy 4-node HyperFlex cluster with HA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Hardware installation and cluster init</t>
        </is>
      </c>
    </row>
    <row r="12" ht="26" customHeight="1">
      <c r="A12" s="48" t="inlineStr">
        <is>
          <t>Development</t>
        </is>
      </c>
      <c r="B12" s="49" t="inlineStr">
        <is>
          <t>vSphere Configuration</t>
        </is>
      </c>
      <c r="C12" s="49" t="inlineStr">
        <is>
          <t>Install and configure vSphere 8 on HyperFlex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HyperFlex Deploy</t>
        </is>
      </c>
      <c r="I12" s="49" t="inlineStr">
        <is>
          <t>Medium</t>
        </is>
      </c>
      <c r="J12" s="49" t="inlineStr">
        <is>
          <t>vCenter integration and vSphere setup</t>
        </is>
      </c>
    </row>
    <row r="13" ht="26" customHeight="1">
      <c r="A13" s="45" t="inlineStr">
        <is>
          <t>Development</t>
        </is>
      </c>
      <c r="B13" s="46" t="inlineStr">
        <is>
          <t>Network Configuration</t>
        </is>
      </c>
      <c r="C13" s="46" t="inlineStr">
        <is>
          <t>Configure fabric interconnects and virtual networking</t>
        </is>
      </c>
      <c r="D13" s="46">
        <f>ROUND($C$25*32,0)</f>
        <v/>
      </c>
      <c r="E13" s="47" t="n">
        <v>32</v>
      </c>
      <c r="F13" s="47" t="n">
        <v>200</v>
      </c>
      <c r="G13" s="46">
        <f>TEXT(E13*F13,"$#,##0")</f>
        <v/>
      </c>
      <c r="H13" s="46" t="inlineStr">
        <is>
          <t>vSphere Setup</t>
        </is>
      </c>
      <c r="I13" s="46" t="inlineStr">
        <is>
          <t>Medium</t>
        </is>
      </c>
      <c r="J13" s="46" t="inlineStr">
        <is>
          <t>VLANs distributed switches port groups</t>
        </is>
      </c>
    </row>
    <row r="14" ht="26" customHeight="1">
      <c r="A14" s="48" t="inlineStr">
        <is>
          <t>Development</t>
        </is>
      </c>
      <c r="B14" s="49" t="inlineStr">
        <is>
          <t>Storage Configuration</t>
        </is>
      </c>
      <c r="C14" s="49" t="inlineStr">
        <is>
          <t>Configure HyperFlex storage and data services</t>
        </is>
      </c>
      <c r="D14" s="49">
        <f>ROUND($C$25*32,0)</f>
        <v/>
      </c>
      <c r="E14" s="50" t="n">
        <v>32</v>
      </c>
      <c r="F14" s="50" t="n">
        <v>200</v>
      </c>
      <c r="G14" s="49">
        <f>TEXT(E14*F14,"$#,##0")</f>
        <v/>
      </c>
      <c r="H14" s="49" t="inlineStr">
        <is>
          <t>vSphere Setup</t>
        </is>
      </c>
      <c r="I14" s="49" t="inlineStr">
        <is>
          <t>Medium</t>
        </is>
      </c>
      <c r="J14" s="49" t="inlineStr">
        <is>
          <t>Deduplication compression replication</t>
        </is>
      </c>
    </row>
    <row r="15" ht="26" customHeight="1">
      <c r="A15" s="45" t="inlineStr">
        <is>
          <t>Development</t>
        </is>
      </c>
      <c r="B15" s="46" t="inlineStr">
        <is>
          <t>Intersight Integration</t>
        </is>
      </c>
      <c r="C15" s="46" t="inlineStr">
        <is>
          <t>Integrate HyperFlex with Cisco Intersight</t>
        </is>
      </c>
      <c r="D15" s="46">
        <f>ROUND($C$25*20,0)</f>
        <v/>
      </c>
      <c r="E15" s="47" t="n">
        <v>20</v>
      </c>
      <c r="F15" s="47" t="n">
        <v>175</v>
      </c>
      <c r="G15" s="46">
        <f>TEXT(E15*F15,"$#,##0")</f>
        <v/>
      </c>
      <c r="H15" s="46" t="inlineStr">
        <is>
          <t>Cluster Deploy</t>
        </is>
      </c>
      <c r="I15" s="46" t="inlineStr">
        <is>
          <t>Low</t>
        </is>
      </c>
      <c r="J15" s="46" t="inlineStr">
        <is>
          <t>Cloud management and monitoring</t>
        </is>
      </c>
    </row>
    <row r="16" ht="26" customHeight="1">
      <c r="A16" s="48" t="inlineStr">
        <is>
          <t>Development</t>
        </is>
      </c>
      <c r="B16" s="49" t="inlineStr">
        <is>
          <t>Backup Configuration</t>
        </is>
      </c>
      <c r="C16" s="49" t="inlineStr">
        <is>
          <t>Configure Veeam backup integration</t>
        </is>
      </c>
      <c r="D16" s="49">
        <f>ROUND($C$25*30,0)</f>
        <v/>
      </c>
      <c r="E16" s="50" t="n">
        <v>30</v>
      </c>
      <c r="F16" s="50" t="n">
        <v>200</v>
      </c>
      <c r="G16" s="49">
        <f>TEXT(E16*F16,"$#,##0")</f>
        <v/>
      </c>
      <c r="H16" s="49" t="inlineStr">
        <is>
          <t>Storage Config</t>
        </is>
      </c>
      <c r="I16" s="49" t="inlineStr">
        <is>
          <t>Medium</t>
        </is>
      </c>
      <c r="J16" s="49" t="inlineStr">
        <is>
          <t>Backup jobs and retention policies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Test storage and VM performance benchmarks</t>
        </is>
      </c>
      <c r="D17" s="46">
        <f>ROUND($C$26*30,0)</f>
        <v/>
      </c>
      <c r="E17" s="47" t="n">
        <v>30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IOPS latency throughput validation</t>
        </is>
      </c>
    </row>
    <row r="18" ht="26" customHeight="1">
      <c r="A18" s="48" t="inlineStr">
        <is>
          <t>Testing</t>
        </is>
      </c>
      <c r="B18" s="49" t="inlineStr">
        <is>
          <t>Failover Testing</t>
        </is>
      </c>
      <c r="C18" s="49" t="inlineStr">
        <is>
          <t>Test HA failover and node failure scenarios</t>
        </is>
      </c>
      <c r="D18" s="49">
        <f>ROUND($C$26*24,0)</f>
        <v/>
      </c>
      <c r="E18" s="50" t="n">
        <v>24</v>
      </c>
      <c r="F18" s="50" t="n">
        <v>200</v>
      </c>
      <c r="G18" s="49">
        <f>TEXT(E18*F18,"$#,##0")</f>
        <v/>
      </c>
      <c r="H18" s="49" t="inlineStr">
        <is>
          <t>Performance Tests</t>
        </is>
      </c>
      <c r="I18" s="49" t="inlineStr">
        <is>
          <t>High</t>
        </is>
      </c>
      <c r="J18" s="49" t="inlineStr">
        <is>
          <t>Node failure and cluster resilience</t>
        </is>
      </c>
    </row>
    <row r="19" ht="26" customHeight="1">
      <c r="A19" s="45" t="inlineStr">
        <is>
          <t>Testing</t>
        </is>
      </c>
      <c r="B19" s="46" t="inlineStr">
        <is>
          <t>VM Migration Testing</t>
        </is>
      </c>
      <c r="C19" s="46" t="inlineStr">
        <is>
          <t>Test vMotion and migration procedures</t>
        </is>
      </c>
      <c r="D19" s="46">
        <f>ROUND($C$26*30,0)</f>
        <v/>
      </c>
      <c r="E19" s="47" t="n">
        <v>30</v>
      </c>
      <c r="F19" s="47" t="n">
        <v>175</v>
      </c>
      <c r="G19" s="46">
        <f>TEXT(E19*F19,"$#,##0")</f>
        <v/>
      </c>
      <c r="H19" s="46" t="inlineStr">
        <is>
          <t>Failover Tests</t>
        </is>
      </c>
      <c r="I19" s="46" t="inlineStr">
        <is>
          <t>Medium</t>
        </is>
      </c>
      <c r="J19" s="46" t="inlineStr">
        <is>
          <t>Pilot VM migrations (20 VMs)</t>
        </is>
      </c>
    </row>
    <row r="20" ht="26" customHeight="1">
      <c r="A20" s="48" t="inlineStr">
        <is>
          <t>Testing</t>
        </is>
      </c>
      <c r="B20" s="49" t="inlineStr">
        <is>
          <t>Application Validation</t>
        </is>
      </c>
      <c r="C20" s="49" t="inlineStr">
        <is>
          <t>Validate application functionality post-migration</t>
        </is>
      </c>
      <c r="D20" s="49">
        <f>ROUND($C$26*40,0)</f>
        <v/>
      </c>
      <c r="E20" s="50" t="n">
        <v>40</v>
      </c>
      <c r="F20" s="50" t="n">
        <v>175</v>
      </c>
      <c r="G20" s="49">
        <f>TEXT(E20*F20,"$#,##0")</f>
        <v/>
      </c>
      <c r="H20" s="49" t="inlineStr">
        <is>
          <t>VM Migration</t>
        </is>
      </c>
      <c r="I20" s="49" t="inlineStr">
        <is>
          <t>High</t>
        </is>
      </c>
      <c r="J20" s="49" t="inlineStr">
        <is>
          <t>Business application testing</t>
        </is>
      </c>
    </row>
    <row r="21" ht="26" customHeight="1">
      <c r="A21" s="45" t="inlineStr">
        <is>
          <t>Deployment</t>
        </is>
      </c>
      <c r="B21" s="46" t="inlineStr">
        <is>
          <t>Production VM Migration Wave 1</t>
        </is>
      </c>
      <c r="C21" s="46" t="inlineStr">
        <is>
          <t>Migrate 50 non-critical VMs (Wave 1)</t>
        </is>
      </c>
      <c r="D21" s="46">
        <f>ROUND($C$27*30,0)</f>
        <v/>
      </c>
      <c r="E21" s="47" t="n">
        <v>30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Dev/test and low-priority VMs</t>
        </is>
      </c>
    </row>
    <row r="22" ht="26" customHeight="1">
      <c r="A22" s="48" t="inlineStr">
        <is>
          <t>Deployment</t>
        </is>
      </c>
      <c r="B22" s="49" t="inlineStr">
        <is>
          <t>Production VM Migration Wave 2</t>
        </is>
      </c>
      <c r="C22" s="49" t="inlineStr">
        <is>
          <t>Migrate 50 business application VMs (Wave 2)</t>
        </is>
      </c>
      <c r="D22" s="49">
        <f>ROUND($C$27*40,0)</f>
        <v/>
      </c>
      <c r="E22" s="50" t="n">
        <v>40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Business apps and file servers</t>
        </is>
      </c>
    </row>
    <row r="23" ht="26" customHeight="1">
      <c r="A23" s="45" t="inlineStr">
        <is>
          <t>Deployment</t>
        </is>
      </c>
      <c r="B23" s="46" t="inlineStr">
        <is>
          <t>Production VM Migration Wave 3</t>
        </is>
      </c>
      <c r="C23" s="46" t="inlineStr">
        <is>
          <t>Migrate 50 critical VMs (Wave 3)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Wave 2 Success</t>
        </is>
      </c>
      <c r="I23" s="46" t="inlineStr">
        <is>
          <t>High</t>
        </is>
      </c>
      <c r="J23" s="46" t="inlineStr">
        <is>
          <t>Databases and mission-critical apps</t>
        </is>
      </c>
    </row>
    <row r="24" ht="26" customHeight="1">
      <c r="A24" s="48" t="inlineStr">
        <is>
          <t>Deployment</t>
        </is>
      </c>
      <c r="B24" s="49" t="inlineStr">
        <is>
          <t>Remaining VM Migration</t>
        </is>
      </c>
      <c r="C24" s="49" t="inlineStr">
        <is>
          <t>Migrate final VMs and validate infrastructure</t>
        </is>
      </c>
      <c r="D24" s="49">
        <f>ROUND($C$27*40,0)</f>
        <v/>
      </c>
      <c r="E24" s="50" t="n">
        <v>40</v>
      </c>
      <c r="F24" s="50" t="n">
        <v>175</v>
      </c>
      <c r="G24" s="49">
        <f>TEXT(E24*F24,"$#,##0")</f>
        <v/>
      </c>
      <c r="H24" s="49" t="inlineStr">
        <is>
          <t>Wave 3 Success</t>
        </is>
      </c>
      <c r="I24" s="49" t="inlineStr">
        <is>
          <t>Medium</t>
        </is>
      </c>
      <c r="J24" s="49" t="inlineStr">
        <is>
          <t>Cleanup and final migrations</t>
        </is>
      </c>
    </row>
    <row r="25" ht="26" customHeight="1">
      <c r="A25" s="45" t="inlineStr">
        <is>
          <t>Deployment</t>
        </is>
      </c>
      <c r="B25" s="46" t="inlineStr">
        <is>
          <t>Hypercare Support</t>
        </is>
      </c>
      <c r="C25" s="46" t="inlineStr">
        <is>
          <t>Provide post-migration stabilization support</t>
        </is>
      </c>
      <c r="D25" s="46">
        <f>ROUND($C$27*60,0)</f>
        <v/>
      </c>
      <c r="E25" s="47" t="n">
        <v>60</v>
      </c>
      <c r="F25" s="47" t="n">
        <v>150</v>
      </c>
      <c r="G25" s="46">
        <f>TEXT(E25*F25,"$#,##0")</f>
        <v/>
      </c>
      <c r="H25" s="46" t="inlineStr">
        <is>
          <t>Migration Complete</t>
        </is>
      </c>
      <c r="I25" s="46" t="inlineStr">
        <is>
          <t>Medium</t>
        </is>
      </c>
      <c r="J25" s="46" t="inlineStr">
        <is>
          <t>4-week hypercare period</t>
        </is>
      </c>
    </row>
    <row r="26" ht="26" customHeight="1">
      <c r="A26" s="48" t="inlineStr">
        <is>
          <t>Training</t>
        </is>
      </c>
      <c r="B26" s="49" t="inlineStr">
        <is>
          <t>Administrator Training</t>
        </is>
      </c>
      <c r="C26" s="49" t="inlineStr">
        <is>
          <t>Train infrastructure team on HyperFlex operations</t>
        </is>
      </c>
      <c r="D26" s="49">
        <f>ROUND($C$28*24,0)</f>
        <v/>
      </c>
      <c r="E26" s="50" t="n">
        <v>24</v>
      </c>
      <c r="F26" s="50" t="n">
        <v>175</v>
      </c>
      <c r="G26" s="49">
        <f>TEXT(E26*F26,"$#,##0")</f>
        <v/>
      </c>
      <c r="H26" s="49" t="inlineStr">
        <is>
          <t>Deployment</t>
        </is>
      </c>
      <c r="I26" s="49" t="inlineStr">
        <is>
          <t>Low</t>
        </is>
      </c>
      <c r="J26" s="49" t="inlineStr">
        <is>
          <t>HyperFlex and Intersight management</t>
        </is>
      </c>
    </row>
    <row r="27" ht="26" customHeight="1">
      <c r="A27" s="45" t="inlineStr">
        <is>
          <t>Training</t>
        </is>
      </c>
      <c r="B27" s="46" t="inlineStr">
        <is>
          <t>Operations Training</t>
        </is>
      </c>
      <c r="C27" s="46" t="inlineStr">
        <is>
          <t>Train operations on monitoring and troubleshooting</t>
        </is>
      </c>
      <c r="D27" s="46">
        <f>ROUND($C$28*16,0)</f>
        <v/>
      </c>
      <c r="E27" s="47" t="n">
        <v>16</v>
      </c>
      <c r="F27" s="47" t="n">
        <v>150</v>
      </c>
      <c r="G27" s="46">
        <f>TEXT(E27*F27,"$#,##0")</f>
        <v/>
      </c>
      <c r="H27" s="46" t="inlineStr">
        <is>
          <t>Admin Training</t>
        </is>
      </c>
      <c r="I27" s="46" t="inlineStr">
        <is>
          <t>Low</t>
        </is>
      </c>
      <c r="J27" s="46" t="inlineStr">
        <is>
          <t>Day-to-day operations and alerts</t>
        </is>
      </c>
    </row>
    <row r="28" ht="26" customHeight="1">
      <c r="A28" s="48" t="inlineStr">
        <is>
          <t>Training</t>
        </is>
      </c>
      <c r="B28" s="49" t="inlineStr">
        <is>
          <t>Documentation</t>
        </is>
      </c>
      <c r="C28" s="49" t="inlineStr">
        <is>
          <t>Create runbooks SOPs and architecture docs</t>
        </is>
      </c>
      <c r="D28" s="49">
        <f>ROUND($C$28*32,0)</f>
        <v/>
      </c>
      <c r="E28" s="50" t="n">
        <v>32</v>
      </c>
      <c r="F28" s="50" t="n">
        <v>150</v>
      </c>
      <c r="G28" s="49">
        <f>TEXT(E28*F28,"$#,##0")</f>
        <v/>
      </c>
      <c r="H28" s="49" t="inlineStr"/>
      <c r="I28" s="49" t="inlineStr">
        <is>
          <t>Low</t>
        </is>
      </c>
      <c r="J28" s="49" t="inlineStr">
        <is>
          <t>Operational procedures and diagrams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infrastructure to operations team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Training Complete</t>
        </is>
      </c>
      <c r="I29" s="46" t="inlineStr">
        <is>
          <t>Low</t>
        </is>
      </c>
      <c r="J29" s="46" t="inlineStr">
        <is>
          <t>Operational handoff and escalation</t>
        </is>
      </c>
    </row>
    <row r="30" ht="26" customHeight="1">
      <c r="A30" s="48" t="inlineStr">
        <is>
          <t>Closeout</t>
        </is>
      </c>
      <c r="B30" s="49" t="inlineStr">
        <is>
          <t>Performance Baseline</t>
        </is>
      </c>
      <c r="C30" s="49" t="inlineStr">
        <is>
          <t>Establish performance baselines and SLAs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Hypercare</t>
        </is>
      </c>
      <c r="I30" s="49" t="inlineStr">
        <is>
          <t>Low</t>
        </is>
      </c>
      <c r="J30" s="49" t="inlineStr">
        <is>
          <t>VM performance and storage metrics</t>
        </is>
      </c>
    </row>
    <row r="31" ht="26" customHeight="1">
      <c r="A31" s="45" t="inlineStr">
        <is>
          <t>Closeout</t>
        </is>
      </c>
      <c r="B31" s="46" t="inlineStr">
        <is>
          <t>Legacy Decommission Planning</t>
        </is>
      </c>
      <c r="C31" s="46" t="inlineStr">
        <is>
          <t>Plan decommissioning of legacy infrastructure</t>
        </is>
      </c>
      <c r="D31" s="46">
        <f>ROUND($C$29*24,0)</f>
        <v/>
      </c>
      <c r="E31" s="47" t="n">
        <v>24</v>
      </c>
      <c r="F31" s="47" t="n">
        <v>150</v>
      </c>
      <c r="G31" s="46">
        <f>TEXT(E31*F31,"$#,##0")</f>
        <v/>
      </c>
      <c r="H31" s="46" t="inlineStr">
        <is>
          <t>Migration Complete</t>
        </is>
      </c>
      <c r="I31" s="46" t="inlineStr">
        <is>
          <t>Low</t>
        </is>
      </c>
      <c r="J31" s="46" t="inlineStr">
        <is>
          <t>Server and SAN retirement planning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ROUND(SUM(E17:E45)*$C$30,0)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HyperFlex HCI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Server Trade-In Credit</t>
        </is>
      </c>
      <c r="C3" s="55" t="n">
        <v>-15000</v>
      </c>
      <c r="D3" s="38" t="inlineStr">
        <is>
          <t>Legacy server trade-in credit</t>
        </is>
      </c>
    </row>
    <row r="4" ht="26" customHeight="1">
      <c r="A4" s="40" t="inlineStr">
        <is>
          <t>Software</t>
        </is>
      </c>
      <c r="B4" s="41" t="inlineStr">
        <is>
          <t>VMware ELA Credit</t>
        </is>
      </c>
      <c r="C4" s="56" t="n">
        <v>-20000</v>
      </c>
      <c r="D4" s="41" t="inlineStr">
        <is>
          <t>Existing VMware Enterprise License Agreement credit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2025-11-23T00:03:26Z</dcterms:modified>
  <cp:lastModifiedBy>Kishan Siram</cp:lastModifiedBy>
</cp:coreProperties>
</file>