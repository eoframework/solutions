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Categories (Read Only)" sheetId="2" state="visible" r:id="rId2"/>
    <sheet xmlns:r="http://schemas.openxmlformats.org/officeDocument/2006/relationships" name="Business Requirements" sheetId="3" state="visible" r:id="rId3"/>
    <sheet xmlns:r="http://schemas.openxmlformats.org/officeDocument/2006/relationships" name="Technical Requirements" sheetId="4" state="visible" r:id="rId4"/>
    <sheet xmlns:r="http://schemas.openxmlformats.org/officeDocument/2006/relationships" name="Security &amp; Compliance" sheetId="5" state="visible" r:id="rId5"/>
    <sheet xmlns:r="http://schemas.openxmlformats.org/officeDocument/2006/relationships" name="Operations &amp; Support" sheetId="6" state="visible" r:id="rId6"/>
    <sheet xmlns:r="http://schemas.openxmlformats.org/officeDocument/2006/relationships" name="Implementation Planning" sheetId="7" state="visible" r:id="rId7"/>
    <sheet xmlns:r="http://schemas.openxmlformats.org/officeDocument/2006/relationships" name="Risk &amp; Constraint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7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FFFFFF"/>
      <sz val="12"/>
    </font>
    <font>
      <name val="Calibri"/>
      <b val="1"/>
      <color rgb="FF2C3E50"/>
      <sz val="12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6" fillId="7" borderId="5" applyAlignment="1" pivotButton="0" quotePrefix="0" xfId="0">
      <alignment horizontal="center" vertical="center"/>
    </xf>
    <xf numFmtId="0" fontId="16" fillId="8" borderId="5" applyAlignment="1" pivotButton="0" quotePrefix="0" xfId="0">
      <alignment horizontal="center" vertical="center"/>
    </xf>
    <xf numFmtId="9" fontId="16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1" borderId="5" applyAlignment="1" pivotButton="0" quotePrefix="0" xfId="0">
      <alignment vertical="top" wrapText="1" indent="1"/>
    </xf>
    <xf numFmtId="0" fontId="2" fillId="10" borderId="5" applyAlignment="1" pivotButton="0" quotePrefix="0" xfId="0">
      <alignment vertical="top" wrapText="1" indent="1"/>
    </xf>
    <xf numFmtId="0" fontId="2" fillId="4" borderId="5" applyAlignment="1" pivotButton="0" quotePrefix="0" xfId="0">
      <alignment vertical="top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Discovery Questionnaire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22, 2025</t>
        </is>
      </c>
    </row>
    <row r="8" ht="18" customHeight="1">
      <c r="B8" s="2" t="inlineStr">
        <is>
          <t>Customer:</t>
        </is>
      </c>
      <c r="C8" s="3" t="inlineStr">
        <is>
          <t>Hybrid Infrastructure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26" customHeight="1">
      <c r="A1" s="35" t="inlineStr">
        <is>
          <t>Total Questions</t>
        </is>
      </c>
      <c r="B1" s="35" t="inlineStr">
        <is>
          <t>Answered</t>
        </is>
      </c>
      <c r="C1" s="35" t="inlineStr">
        <is>
          <t>Remaining</t>
        </is>
      </c>
      <c r="D1" s="35" t="inlineStr">
        <is>
          <t>% Complete</t>
        </is>
      </c>
    </row>
    <row r="2" ht="26" customHeight="1">
      <c r="A2" s="36" t="n">
        <v>62</v>
      </c>
      <c r="B2" s="36">
        <f>SUMPRODUCT(--(LEN(F5:F66)&gt;0))</f>
        <v/>
      </c>
      <c r="C2" s="36">
        <f>A2-B2</f>
        <v/>
      </c>
      <c r="D2" s="37">
        <f>B2/A2</f>
        <v/>
      </c>
    </row>
    <row r="4" ht="32" customHeight="1">
      <c r="A4" s="38" t="inlineStr">
        <is>
          <t>Question ID</t>
        </is>
      </c>
      <c r="B4" s="38" t="inlineStr">
        <is>
          <t>Category</t>
        </is>
      </c>
      <c r="C4" s="38" t="inlineStr">
        <is>
          <t>Sub-Category</t>
        </is>
      </c>
      <c r="D4" s="38" t="inlineStr">
        <is>
          <t>Question</t>
        </is>
      </c>
      <c r="E4" s="38" t="inlineStr">
        <is>
          <t>Guidance</t>
        </is>
      </c>
      <c r="F4" s="38" t="inlineStr">
        <is>
          <t>Customer Response</t>
        </is>
      </c>
      <c r="G4" s="38" t="inlineStr">
        <is>
          <t>Notes</t>
        </is>
      </c>
    </row>
    <row r="5">
      <c r="A5" s="39">
        <f>IF('Business Requirements'!A2="","",'Business Requirements'!A2)</f>
        <v/>
      </c>
      <c r="B5" s="39">
        <f>IF('Business Requirements'!B2="","",'Business Requirements'!B2)</f>
        <v/>
      </c>
      <c r="C5" s="39">
        <f>IF('Business Requirements'!C2="","",'Business Requirements'!C2)</f>
        <v/>
      </c>
      <c r="D5" s="39">
        <f>IF('Business Requirements'!D2="","",'Business Requirements'!D2)</f>
        <v/>
      </c>
      <c r="E5" s="39">
        <f>IF('Business Requirements'!E2="","",'Business Requirements'!E2)</f>
        <v/>
      </c>
      <c r="F5" s="40">
        <f>IF('Business Requirements'!F2="","",'Business Requirements'!F2)</f>
        <v/>
      </c>
      <c r="G5" s="39">
        <f>IF('Business Requirements'!G2="","",'Business Requirements'!G2)</f>
        <v/>
      </c>
    </row>
    <row r="6">
      <c r="A6" s="41">
        <f>IF('Business Requirements'!A3="","",'Business Requirements'!A3)</f>
        <v/>
      </c>
      <c r="B6" s="41">
        <f>IF('Business Requirements'!B3="","",'Business Requirements'!B3)</f>
        <v/>
      </c>
      <c r="C6" s="41">
        <f>IF('Business Requirements'!C3="","",'Business Requirements'!C3)</f>
        <v/>
      </c>
      <c r="D6" s="41">
        <f>IF('Business Requirements'!D3="","",'Business Requirements'!D3)</f>
        <v/>
      </c>
      <c r="E6" s="41">
        <f>IF('Business Requirements'!E3="","",'Business Requirements'!E3)</f>
        <v/>
      </c>
      <c r="F6" s="40">
        <f>IF('Business Requirements'!F3="","",'Business Requirements'!F3)</f>
        <v/>
      </c>
      <c r="G6" s="41">
        <f>IF('Business Requirements'!G3="","",'Business Requirements'!G3)</f>
        <v/>
      </c>
    </row>
    <row r="7">
      <c r="A7" s="39">
        <f>IF('Business Requirements'!A4="","",'Business Requirements'!A4)</f>
        <v/>
      </c>
      <c r="B7" s="39">
        <f>IF('Business Requirements'!B4="","",'Business Requirements'!B4)</f>
        <v/>
      </c>
      <c r="C7" s="39">
        <f>IF('Business Requirements'!C4="","",'Business Requirements'!C4)</f>
        <v/>
      </c>
      <c r="D7" s="39">
        <f>IF('Business Requirements'!D4="","",'Business Requirements'!D4)</f>
        <v/>
      </c>
      <c r="E7" s="39">
        <f>IF('Business Requirements'!E4="","",'Business Requirements'!E4)</f>
        <v/>
      </c>
      <c r="F7" s="40">
        <f>IF('Business Requirements'!F4="","",'Business Requirements'!F4)</f>
        <v/>
      </c>
      <c r="G7" s="39">
        <f>IF('Business Requirements'!G4="","",'Business Requirements'!G4)</f>
        <v/>
      </c>
    </row>
    <row r="8">
      <c r="A8" s="41">
        <f>IF('Business Requirements'!A5="","",'Business Requirements'!A5)</f>
        <v/>
      </c>
      <c r="B8" s="41">
        <f>IF('Business Requirements'!B5="","",'Business Requirements'!B5)</f>
        <v/>
      </c>
      <c r="C8" s="41">
        <f>IF('Business Requirements'!C5="","",'Business Requirements'!C5)</f>
        <v/>
      </c>
      <c r="D8" s="41">
        <f>IF('Business Requirements'!D5="","",'Business Requirements'!D5)</f>
        <v/>
      </c>
      <c r="E8" s="41">
        <f>IF('Business Requirements'!E5="","",'Business Requirements'!E5)</f>
        <v/>
      </c>
      <c r="F8" s="40">
        <f>IF('Business Requirements'!F5="","",'Business Requirements'!F5)</f>
        <v/>
      </c>
      <c r="G8" s="41">
        <f>IF('Business Requirements'!G5="","",'Business Requirements'!G5)</f>
        <v/>
      </c>
    </row>
    <row r="9">
      <c r="A9" s="39">
        <f>IF('Business Requirements'!A6="","",'Business Requirements'!A6)</f>
        <v/>
      </c>
      <c r="B9" s="39">
        <f>IF('Business Requirements'!B6="","",'Business Requirements'!B6)</f>
        <v/>
      </c>
      <c r="C9" s="39">
        <f>IF('Business Requirements'!C6="","",'Business Requirements'!C6)</f>
        <v/>
      </c>
      <c r="D9" s="39">
        <f>IF('Business Requirements'!D6="","",'Business Requirements'!D6)</f>
        <v/>
      </c>
      <c r="E9" s="39">
        <f>IF('Business Requirements'!E6="","",'Business Requirements'!E6)</f>
        <v/>
      </c>
      <c r="F9" s="40">
        <f>IF('Business Requirements'!F6="","",'Business Requirements'!F6)</f>
        <v/>
      </c>
      <c r="G9" s="39">
        <f>IF('Business Requirements'!G6="","",'Business Requirements'!G6)</f>
        <v/>
      </c>
    </row>
    <row r="10">
      <c r="A10" s="41">
        <f>IF('Business Requirements'!A7="","",'Business Requirements'!A7)</f>
        <v/>
      </c>
      <c r="B10" s="41">
        <f>IF('Business Requirements'!B7="","",'Business Requirements'!B7)</f>
        <v/>
      </c>
      <c r="C10" s="41">
        <f>IF('Business Requirements'!C7="","",'Business Requirements'!C7)</f>
        <v/>
      </c>
      <c r="D10" s="41">
        <f>IF('Business Requirements'!D7="","",'Business Requirements'!D7)</f>
        <v/>
      </c>
      <c r="E10" s="41">
        <f>IF('Business Requirements'!E7="","",'Business Requirements'!E7)</f>
        <v/>
      </c>
      <c r="F10" s="40">
        <f>IF('Business Requirements'!F7="","",'Business Requirements'!F7)</f>
        <v/>
      </c>
      <c r="G10" s="41">
        <f>IF('Business Requirements'!G7="","",'Business Requirements'!G7)</f>
        <v/>
      </c>
    </row>
    <row r="11">
      <c r="A11" s="39">
        <f>IF('Business Requirements'!A8="","",'Business Requirements'!A8)</f>
        <v/>
      </c>
      <c r="B11" s="39">
        <f>IF('Business Requirements'!B8="","",'Business Requirements'!B8)</f>
        <v/>
      </c>
      <c r="C11" s="39">
        <f>IF('Business Requirements'!C8="","",'Business Requirements'!C8)</f>
        <v/>
      </c>
      <c r="D11" s="39">
        <f>IF('Business Requirements'!D8="","",'Business Requirements'!D8)</f>
        <v/>
      </c>
      <c r="E11" s="39">
        <f>IF('Business Requirements'!E8="","",'Business Requirements'!E8)</f>
        <v/>
      </c>
      <c r="F11" s="40">
        <f>IF('Business Requirements'!F8="","",'Business Requirements'!F8)</f>
        <v/>
      </c>
      <c r="G11" s="39">
        <f>IF('Business Requirements'!G8="","",'Business Requirements'!G8)</f>
        <v/>
      </c>
    </row>
    <row r="12">
      <c r="A12" s="41">
        <f>IF('Business Requirements'!A9="","",'Business Requirements'!A9)</f>
        <v/>
      </c>
      <c r="B12" s="41">
        <f>IF('Business Requirements'!B9="","",'Business Requirements'!B9)</f>
        <v/>
      </c>
      <c r="C12" s="41">
        <f>IF('Business Requirements'!C9="","",'Business Requirements'!C9)</f>
        <v/>
      </c>
      <c r="D12" s="41">
        <f>IF('Business Requirements'!D9="","",'Business Requirements'!D9)</f>
        <v/>
      </c>
      <c r="E12" s="41">
        <f>IF('Business Requirements'!E9="","",'Business Requirements'!E9)</f>
        <v/>
      </c>
      <c r="F12" s="40">
        <f>IF('Business Requirements'!F9="","",'Business Requirements'!F9)</f>
        <v/>
      </c>
      <c r="G12" s="41">
        <f>IF('Business Requirements'!G9="","",'Business Requirements'!G9)</f>
        <v/>
      </c>
    </row>
    <row r="13">
      <c r="A13" s="39">
        <f>IF('Business Requirements'!A10="","",'Business Requirements'!A10)</f>
        <v/>
      </c>
      <c r="B13" s="39">
        <f>IF('Business Requirements'!B10="","",'Business Requirements'!B10)</f>
        <v/>
      </c>
      <c r="C13" s="39">
        <f>IF('Business Requirements'!C10="","",'Business Requirements'!C10)</f>
        <v/>
      </c>
      <c r="D13" s="39">
        <f>IF('Business Requirements'!D10="","",'Business Requirements'!D10)</f>
        <v/>
      </c>
      <c r="E13" s="39">
        <f>IF('Business Requirements'!E10="","",'Business Requirements'!E10)</f>
        <v/>
      </c>
      <c r="F13" s="40">
        <f>IF('Business Requirements'!F10="","",'Business Requirements'!F10)</f>
        <v/>
      </c>
      <c r="G13" s="39">
        <f>IF('Business Requirements'!G10="","",'Business Requirements'!G10)</f>
        <v/>
      </c>
    </row>
    <row r="14">
      <c r="A14" s="41">
        <f>IF('Business Requirements'!A11="","",'Business Requirements'!A11)</f>
        <v/>
      </c>
      <c r="B14" s="41">
        <f>IF('Business Requirements'!B11="","",'Business Requirements'!B11)</f>
        <v/>
      </c>
      <c r="C14" s="41">
        <f>IF('Business Requirements'!C11="","",'Business Requirements'!C11)</f>
        <v/>
      </c>
      <c r="D14" s="41">
        <f>IF('Business Requirements'!D11="","",'Business Requirements'!D11)</f>
        <v/>
      </c>
      <c r="E14" s="41">
        <f>IF('Business Requirements'!E11="","",'Business Requirements'!E11)</f>
        <v/>
      </c>
      <c r="F14" s="40">
        <f>IF('Business Requirements'!F11="","",'Business Requirements'!F11)</f>
        <v/>
      </c>
      <c r="G14" s="41">
        <f>IF('Business Requirements'!G11="","",'Business Requirements'!G11)</f>
        <v/>
      </c>
    </row>
    <row r="15">
      <c r="A15" s="39">
        <f>IF('Technical Requirements'!A2="","",'Technical Requirements'!A2)</f>
        <v/>
      </c>
      <c r="B15" s="39">
        <f>IF('Technical Requirements'!B2="","",'Technical Requirements'!B2)</f>
        <v/>
      </c>
      <c r="C15" s="39">
        <f>IF('Technical Requirements'!C2="","",'Technical Requirements'!C2)</f>
        <v/>
      </c>
      <c r="D15" s="39">
        <f>IF('Technical Requirements'!D2="","",'Technical Requirements'!D2)</f>
        <v/>
      </c>
      <c r="E15" s="39">
        <f>IF('Technical Requirements'!E2="","",'Technical Requirements'!E2)</f>
        <v/>
      </c>
      <c r="F15" s="40">
        <f>IF('Technical Requirements'!F2="","",'Technical Requirements'!F2)</f>
        <v/>
      </c>
      <c r="G15" s="39">
        <f>IF('Technical Requirements'!G2="","",'Technical Requirements'!G2)</f>
        <v/>
      </c>
    </row>
    <row r="16">
      <c r="A16" s="41">
        <f>IF('Technical Requirements'!A3="","",'Technical Requirements'!A3)</f>
        <v/>
      </c>
      <c r="B16" s="41">
        <f>IF('Technical Requirements'!B3="","",'Technical Requirements'!B3)</f>
        <v/>
      </c>
      <c r="C16" s="41">
        <f>IF('Technical Requirements'!C3="","",'Technical Requirements'!C3)</f>
        <v/>
      </c>
      <c r="D16" s="41">
        <f>IF('Technical Requirements'!D3="","",'Technical Requirements'!D3)</f>
        <v/>
      </c>
      <c r="E16" s="41">
        <f>IF('Technical Requirements'!E3="","",'Technical Requirements'!E3)</f>
        <v/>
      </c>
      <c r="F16" s="40">
        <f>IF('Technical Requirements'!F3="","",'Technical Requirements'!F3)</f>
        <v/>
      </c>
      <c r="G16" s="41">
        <f>IF('Technical Requirements'!G3="","",'Technical Requirements'!G3)</f>
        <v/>
      </c>
    </row>
    <row r="17">
      <c r="A17" s="39">
        <f>IF('Technical Requirements'!A4="","",'Technical Requirements'!A4)</f>
        <v/>
      </c>
      <c r="B17" s="39">
        <f>IF('Technical Requirements'!B4="","",'Technical Requirements'!B4)</f>
        <v/>
      </c>
      <c r="C17" s="39">
        <f>IF('Technical Requirements'!C4="","",'Technical Requirements'!C4)</f>
        <v/>
      </c>
      <c r="D17" s="39">
        <f>IF('Technical Requirements'!D4="","",'Technical Requirements'!D4)</f>
        <v/>
      </c>
      <c r="E17" s="39">
        <f>IF('Technical Requirements'!E4="","",'Technical Requirements'!E4)</f>
        <v/>
      </c>
      <c r="F17" s="40">
        <f>IF('Technical Requirements'!F4="","",'Technical Requirements'!F4)</f>
        <v/>
      </c>
      <c r="G17" s="39">
        <f>IF('Technical Requirements'!G4="","",'Technical Requirements'!G4)</f>
        <v/>
      </c>
    </row>
    <row r="18">
      <c r="A18" s="41">
        <f>IF('Technical Requirements'!A5="","",'Technical Requirements'!A5)</f>
        <v/>
      </c>
      <c r="B18" s="41">
        <f>IF('Technical Requirements'!B5="","",'Technical Requirements'!B5)</f>
        <v/>
      </c>
      <c r="C18" s="41">
        <f>IF('Technical Requirements'!C5="","",'Technical Requirements'!C5)</f>
        <v/>
      </c>
      <c r="D18" s="41">
        <f>IF('Technical Requirements'!D5="","",'Technical Requirements'!D5)</f>
        <v/>
      </c>
      <c r="E18" s="41">
        <f>IF('Technical Requirements'!E5="","",'Technical Requirements'!E5)</f>
        <v/>
      </c>
      <c r="F18" s="40">
        <f>IF('Technical Requirements'!F5="","",'Technical Requirements'!F5)</f>
        <v/>
      </c>
      <c r="G18" s="41">
        <f>IF('Technical Requirements'!G5="","",'Technical Requirements'!G5)</f>
        <v/>
      </c>
    </row>
    <row r="19">
      <c r="A19" s="39">
        <f>IF('Technical Requirements'!A6="","",'Technical Requirements'!A6)</f>
        <v/>
      </c>
      <c r="B19" s="39">
        <f>IF('Technical Requirements'!B6="","",'Technical Requirements'!B6)</f>
        <v/>
      </c>
      <c r="C19" s="39">
        <f>IF('Technical Requirements'!C6="","",'Technical Requirements'!C6)</f>
        <v/>
      </c>
      <c r="D19" s="39">
        <f>IF('Technical Requirements'!D6="","",'Technical Requirements'!D6)</f>
        <v/>
      </c>
      <c r="E19" s="39">
        <f>IF('Technical Requirements'!E6="","",'Technical Requirements'!E6)</f>
        <v/>
      </c>
      <c r="F19" s="40">
        <f>IF('Technical Requirements'!F6="","",'Technical Requirements'!F6)</f>
        <v/>
      </c>
      <c r="G19" s="39">
        <f>IF('Technical Requirements'!G6="","",'Technical Requirements'!G6)</f>
        <v/>
      </c>
    </row>
    <row r="20">
      <c r="A20" s="41">
        <f>IF('Technical Requirements'!A7="","",'Technical Requirements'!A7)</f>
        <v/>
      </c>
      <c r="B20" s="41">
        <f>IF('Technical Requirements'!B7="","",'Technical Requirements'!B7)</f>
        <v/>
      </c>
      <c r="C20" s="41">
        <f>IF('Technical Requirements'!C7="","",'Technical Requirements'!C7)</f>
        <v/>
      </c>
      <c r="D20" s="41">
        <f>IF('Technical Requirements'!D7="","",'Technical Requirements'!D7)</f>
        <v/>
      </c>
      <c r="E20" s="41">
        <f>IF('Technical Requirements'!E7="","",'Technical Requirements'!E7)</f>
        <v/>
      </c>
      <c r="F20" s="40">
        <f>IF('Technical Requirements'!F7="","",'Technical Requirements'!F7)</f>
        <v/>
      </c>
      <c r="G20" s="41">
        <f>IF('Technical Requirements'!G7="","",'Technical Requirements'!G7)</f>
        <v/>
      </c>
    </row>
    <row r="21">
      <c r="A21" s="39">
        <f>IF('Technical Requirements'!A8="","",'Technical Requirements'!A8)</f>
        <v/>
      </c>
      <c r="B21" s="39">
        <f>IF('Technical Requirements'!B8="","",'Technical Requirements'!B8)</f>
        <v/>
      </c>
      <c r="C21" s="39">
        <f>IF('Technical Requirements'!C8="","",'Technical Requirements'!C8)</f>
        <v/>
      </c>
      <c r="D21" s="39">
        <f>IF('Technical Requirements'!D8="","",'Technical Requirements'!D8)</f>
        <v/>
      </c>
      <c r="E21" s="39">
        <f>IF('Technical Requirements'!E8="","",'Technical Requirements'!E8)</f>
        <v/>
      </c>
      <c r="F21" s="40">
        <f>IF('Technical Requirements'!F8="","",'Technical Requirements'!F8)</f>
        <v/>
      </c>
      <c r="G21" s="39">
        <f>IF('Technical Requirements'!G8="","",'Technical Requirements'!G8)</f>
        <v/>
      </c>
    </row>
    <row r="22">
      <c r="A22" s="41">
        <f>IF('Technical Requirements'!A9="","",'Technical Requirements'!A9)</f>
        <v/>
      </c>
      <c r="B22" s="41">
        <f>IF('Technical Requirements'!B9="","",'Technical Requirements'!B9)</f>
        <v/>
      </c>
      <c r="C22" s="41">
        <f>IF('Technical Requirements'!C9="","",'Technical Requirements'!C9)</f>
        <v/>
      </c>
      <c r="D22" s="41">
        <f>IF('Technical Requirements'!D9="","",'Technical Requirements'!D9)</f>
        <v/>
      </c>
      <c r="E22" s="41">
        <f>IF('Technical Requirements'!E9="","",'Technical Requirements'!E9)</f>
        <v/>
      </c>
      <c r="F22" s="40">
        <f>IF('Technical Requirements'!F9="","",'Technical Requirements'!F9)</f>
        <v/>
      </c>
      <c r="G22" s="41">
        <f>IF('Technical Requirements'!G9="","",'Technical Requirements'!G9)</f>
        <v/>
      </c>
    </row>
    <row r="23">
      <c r="A23" s="39">
        <f>IF('Technical Requirements'!A10="","",'Technical Requirements'!A10)</f>
        <v/>
      </c>
      <c r="B23" s="39">
        <f>IF('Technical Requirements'!B10="","",'Technical Requirements'!B10)</f>
        <v/>
      </c>
      <c r="C23" s="39">
        <f>IF('Technical Requirements'!C10="","",'Technical Requirements'!C10)</f>
        <v/>
      </c>
      <c r="D23" s="39">
        <f>IF('Technical Requirements'!D10="","",'Technical Requirements'!D10)</f>
        <v/>
      </c>
      <c r="E23" s="39">
        <f>IF('Technical Requirements'!E10="","",'Technical Requirements'!E10)</f>
        <v/>
      </c>
      <c r="F23" s="40">
        <f>IF('Technical Requirements'!F10="","",'Technical Requirements'!F10)</f>
        <v/>
      </c>
      <c r="G23" s="39">
        <f>IF('Technical Requirements'!G10="","",'Technical Requirements'!G10)</f>
        <v/>
      </c>
    </row>
    <row r="24">
      <c r="A24" s="41">
        <f>IF('Technical Requirements'!A11="","",'Technical Requirements'!A11)</f>
        <v/>
      </c>
      <c r="B24" s="41">
        <f>IF('Technical Requirements'!B11="","",'Technical Requirements'!B11)</f>
        <v/>
      </c>
      <c r="C24" s="41">
        <f>IF('Technical Requirements'!C11="","",'Technical Requirements'!C11)</f>
        <v/>
      </c>
      <c r="D24" s="41">
        <f>IF('Technical Requirements'!D11="","",'Technical Requirements'!D11)</f>
        <v/>
      </c>
      <c r="E24" s="41">
        <f>IF('Technical Requirements'!E11="","",'Technical Requirements'!E11)</f>
        <v/>
      </c>
      <c r="F24" s="40">
        <f>IF('Technical Requirements'!F11="","",'Technical Requirements'!F11)</f>
        <v/>
      </c>
      <c r="G24" s="41">
        <f>IF('Technical Requirements'!G11="","",'Technical Requirements'!G11)</f>
        <v/>
      </c>
    </row>
    <row r="25">
      <c r="A25" s="39">
        <f>IF('Technical Requirements'!A12="","",'Technical Requirements'!A12)</f>
        <v/>
      </c>
      <c r="B25" s="39">
        <f>IF('Technical Requirements'!B12="","",'Technical Requirements'!B12)</f>
        <v/>
      </c>
      <c r="C25" s="39">
        <f>IF('Technical Requirements'!C12="","",'Technical Requirements'!C12)</f>
        <v/>
      </c>
      <c r="D25" s="39">
        <f>IF('Technical Requirements'!D12="","",'Technical Requirements'!D12)</f>
        <v/>
      </c>
      <c r="E25" s="39">
        <f>IF('Technical Requirements'!E12="","",'Technical Requirements'!E12)</f>
        <v/>
      </c>
      <c r="F25" s="40">
        <f>IF('Technical Requirements'!F12="","",'Technical Requirements'!F12)</f>
        <v/>
      </c>
      <c r="G25" s="39">
        <f>IF('Technical Requirements'!G12="","",'Technical Requirements'!G12)</f>
        <v/>
      </c>
    </row>
    <row r="26">
      <c r="A26" s="41">
        <f>IF('Technical Requirements'!A13="","",'Technical Requirements'!A13)</f>
        <v/>
      </c>
      <c r="B26" s="41">
        <f>IF('Technical Requirements'!B13="","",'Technical Requirements'!B13)</f>
        <v/>
      </c>
      <c r="C26" s="41">
        <f>IF('Technical Requirements'!C13="","",'Technical Requirements'!C13)</f>
        <v/>
      </c>
      <c r="D26" s="41">
        <f>IF('Technical Requirements'!D13="","",'Technical Requirements'!D13)</f>
        <v/>
      </c>
      <c r="E26" s="41">
        <f>IF('Technical Requirements'!E13="","",'Technical Requirements'!E13)</f>
        <v/>
      </c>
      <c r="F26" s="40">
        <f>IF('Technical Requirements'!F13="","",'Technical Requirements'!F13)</f>
        <v/>
      </c>
      <c r="G26" s="41">
        <f>IF('Technical Requirements'!G13="","",'Technical Requirements'!G13)</f>
        <v/>
      </c>
    </row>
    <row r="27">
      <c r="A27" s="39">
        <f>IF('Technical Requirements'!A14="","",'Technical Requirements'!A14)</f>
        <v/>
      </c>
      <c r="B27" s="39">
        <f>IF('Technical Requirements'!B14="","",'Technical Requirements'!B14)</f>
        <v/>
      </c>
      <c r="C27" s="39">
        <f>IF('Technical Requirements'!C14="","",'Technical Requirements'!C14)</f>
        <v/>
      </c>
      <c r="D27" s="39">
        <f>IF('Technical Requirements'!D14="","",'Technical Requirements'!D14)</f>
        <v/>
      </c>
      <c r="E27" s="39">
        <f>IF('Technical Requirements'!E14="","",'Technical Requirements'!E14)</f>
        <v/>
      </c>
      <c r="F27" s="40">
        <f>IF('Technical Requirements'!F14="","",'Technical Requirements'!F14)</f>
        <v/>
      </c>
      <c r="G27" s="39">
        <f>IF('Technical Requirements'!G14="","",'Technical Requirements'!G14)</f>
        <v/>
      </c>
    </row>
    <row r="28">
      <c r="A28" s="41">
        <f>IF('Technical Requirements'!A15="","",'Technical Requirements'!A15)</f>
        <v/>
      </c>
      <c r="B28" s="41">
        <f>IF('Technical Requirements'!B15="","",'Technical Requirements'!B15)</f>
        <v/>
      </c>
      <c r="C28" s="41">
        <f>IF('Technical Requirements'!C15="","",'Technical Requirements'!C15)</f>
        <v/>
      </c>
      <c r="D28" s="41">
        <f>IF('Technical Requirements'!D15="","",'Technical Requirements'!D15)</f>
        <v/>
      </c>
      <c r="E28" s="41">
        <f>IF('Technical Requirements'!E15="","",'Technical Requirements'!E15)</f>
        <v/>
      </c>
      <c r="F28" s="40">
        <f>IF('Technical Requirements'!F15="","",'Technical Requirements'!F15)</f>
        <v/>
      </c>
      <c r="G28" s="41">
        <f>IF('Technical Requirements'!G15="","",'Technical Requirements'!G15)</f>
        <v/>
      </c>
    </row>
    <row r="29">
      <c r="A29" s="39">
        <f>IF('Technical Requirements'!A16="","",'Technical Requirements'!A16)</f>
        <v/>
      </c>
      <c r="B29" s="39">
        <f>IF('Technical Requirements'!B16="","",'Technical Requirements'!B16)</f>
        <v/>
      </c>
      <c r="C29" s="39">
        <f>IF('Technical Requirements'!C16="","",'Technical Requirements'!C16)</f>
        <v/>
      </c>
      <c r="D29" s="39">
        <f>IF('Technical Requirements'!D16="","",'Technical Requirements'!D16)</f>
        <v/>
      </c>
      <c r="E29" s="39">
        <f>IF('Technical Requirements'!E16="","",'Technical Requirements'!E16)</f>
        <v/>
      </c>
      <c r="F29" s="40">
        <f>IF('Technical Requirements'!F16="","",'Technical Requirements'!F16)</f>
        <v/>
      </c>
      <c r="G29" s="39">
        <f>IF('Technical Requirements'!G16="","",'Technical Requirements'!G16)</f>
        <v/>
      </c>
    </row>
    <row r="30">
      <c r="A30" s="41">
        <f>IF('Technical Requirements'!A17="","",'Technical Requirements'!A17)</f>
        <v/>
      </c>
      <c r="B30" s="41">
        <f>IF('Technical Requirements'!B17="","",'Technical Requirements'!B17)</f>
        <v/>
      </c>
      <c r="C30" s="41">
        <f>IF('Technical Requirements'!C17="","",'Technical Requirements'!C17)</f>
        <v/>
      </c>
      <c r="D30" s="41">
        <f>IF('Technical Requirements'!D17="","",'Technical Requirements'!D17)</f>
        <v/>
      </c>
      <c r="E30" s="41">
        <f>IF('Technical Requirements'!E17="","",'Technical Requirements'!E17)</f>
        <v/>
      </c>
      <c r="F30" s="40">
        <f>IF('Technical Requirements'!F17="","",'Technical Requirements'!F17)</f>
        <v/>
      </c>
      <c r="G30" s="41">
        <f>IF('Technical Requirements'!G17="","",'Technical Requirements'!G17)</f>
        <v/>
      </c>
    </row>
    <row r="31">
      <c r="A31" s="39">
        <f>IF('Technical Requirements'!A18="","",'Technical Requirements'!A18)</f>
        <v/>
      </c>
      <c r="B31" s="39">
        <f>IF('Technical Requirements'!B18="","",'Technical Requirements'!B18)</f>
        <v/>
      </c>
      <c r="C31" s="39">
        <f>IF('Technical Requirements'!C18="","",'Technical Requirements'!C18)</f>
        <v/>
      </c>
      <c r="D31" s="39">
        <f>IF('Technical Requirements'!D18="","",'Technical Requirements'!D18)</f>
        <v/>
      </c>
      <c r="E31" s="39">
        <f>IF('Technical Requirements'!E18="","",'Technical Requirements'!E18)</f>
        <v/>
      </c>
      <c r="F31" s="40">
        <f>IF('Technical Requirements'!F18="","",'Technical Requirements'!F18)</f>
        <v/>
      </c>
      <c r="G31" s="39">
        <f>IF('Technical Requirements'!G18="","",'Technical Requirements'!G18)</f>
        <v/>
      </c>
    </row>
    <row r="32">
      <c r="A32" s="41">
        <f>IF('Technical Requirements'!A19="","",'Technical Requirements'!A19)</f>
        <v/>
      </c>
      <c r="B32" s="41">
        <f>IF('Technical Requirements'!B19="","",'Technical Requirements'!B19)</f>
        <v/>
      </c>
      <c r="C32" s="41">
        <f>IF('Technical Requirements'!C19="","",'Technical Requirements'!C19)</f>
        <v/>
      </c>
      <c r="D32" s="41">
        <f>IF('Technical Requirements'!D19="","",'Technical Requirements'!D19)</f>
        <v/>
      </c>
      <c r="E32" s="41">
        <f>IF('Technical Requirements'!E19="","",'Technical Requirements'!E19)</f>
        <v/>
      </c>
      <c r="F32" s="40">
        <f>IF('Technical Requirements'!F19="","",'Technical Requirements'!F19)</f>
        <v/>
      </c>
      <c r="G32" s="41">
        <f>IF('Technical Requirements'!G19="","",'Technical Requirements'!G19)</f>
        <v/>
      </c>
    </row>
    <row r="33">
      <c r="A33" s="39">
        <f>IF('Technical Requirements'!A20="","",'Technical Requirements'!A20)</f>
        <v/>
      </c>
      <c r="B33" s="39">
        <f>IF('Technical Requirements'!B20="","",'Technical Requirements'!B20)</f>
        <v/>
      </c>
      <c r="C33" s="39">
        <f>IF('Technical Requirements'!C20="","",'Technical Requirements'!C20)</f>
        <v/>
      </c>
      <c r="D33" s="39">
        <f>IF('Technical Requirements'!D20="","",'Technical Requirements'!D20)</f>
        <v/>
      </c>
      <c r="E33" s="39">
        <f>IF('Technical Requirements'!E20="","",'Technical Requirements'!E20)</f>
        <v/>
      </c>
      <c r="F33" s="40">
        <f>IF('Technical Requirements'!F20="","",'Technical Requirements'!F20)</f>
        <v/>
      </c>
      <c r="G33" s="39">
        <f>IF('Technical Requirements'!G20="","",'Technical Requirements'!G20)</f>
        <v/>
      </c>
    </row>
    <row r="34">
      <c r="A34" s="41">
        <f>IF('Security &amp; Compliance'!A2="","",'Security &amp; Compliance'!A2)</f>
        <v/>
      </c>
      <c r="B34" s="41">
        <f>IF('Security &amp; Compliance'!B2="","",'Security &amp; Compliance'!B2)</f>
        <v/>
      </c>
      <c r="C34" s="41">
        <f>IF('Security &amp; Compliance'!C2="","",'Security &amp; Compliance'!C2)</f>
        <v/>
      </c>
      <c r="D34" s="41">
        <f>IF('Security &amp; Compliance'!D2="","",'Security &amp; Compliance'!D2)</f>
        <v/>
      </c>
      <c r="E34" s="41">
        <f>IF('Security &amp; Compliance'!E2="","",'Security &amp; Compliance'!E2)</f>
        <v/>
      </c>
      <c r="F34" s="40">
        <f>IF('Security &amp; Compliance'!F2="","",'Security &amp; Compliance'!F2)</f>
        <v/>
      </c>
      <c r="G34" s="41">
        <f>IF('Security &amp; Compliance'!G2="","",'Security &amp; Compliance'!G2)</f>
        <v/>
      </c>
    </row>
    <row r="35">
      <c r="A35" s="39">
        <f>IF('Security &amp; Compliance'!A3="","",'Security &amp; Compliance'!A3)</f>
        <v/>
      </c>
      <c r="B35" s="39">
        <f>IF('Security &amp; Compliance'!B3="","",'Security &amp; Compliance'!B3)</f>
        <v/>
      </c>
      <c r="C35" s="39">
        <f>IF('Security &amp; Compliance'!C3="","",'Security &amp; Compliance'!C3)</f>
        <v/>
      </c>
      <c r="D35" s="39">
        <f>IF('Security &amp; Compliance'!D3="","",'Security &amp; Compliance'!D3)</f>
        <v/>
      </c>
      <c r="E35" s="39">
        <f>IF('Security &amp; Compliance'!E3="","",'Security &amp; Compliance'!E3)</f>
        <v/>
      </c>
      <c r="F35" s="40">
        <f>IF('Security &amp; Compliance'!F3="","",'Security &amp; Compliance'!F3)</f>
        <v/>
      </c>
      <c r="G35" s="39">
        <f>IF('Security &amp; Compliance'!G3="","",'Security &amp; Compliance'!G3)</f>
        <v/>
      </c>
    </row>
    <row r="36">
      <c r="A36" s="41">
        <f>IF('Security &amp; Compliance'!A4="","",'Security &amp; Compliance'!A4)</f>
        <v/>
      </c>
      <c r="B36" s="41">
        <f>IF('Security &amp; Compliance'!B4="","",'Security &amp; Compliance'!B4)</f>
        <v/>
      </c>
      <c r="C36" s="41">
        <f>IF('Security &amp; Compliance'!C4="","",'Security &amp; Compliance'!C4)</f>
        <v/>
      </c>
      <c r="D36" s="41">
        <f>IF('Security &amp; Compliance'!D4="","",'Security &amp; Compliance'!D4)</f>
        <v/>
      </c>
      <c r="E36" s="41">
        <f>IF('Security &amp; Compliance'!E4="","",'Security &amp; Compliance'!E4)</f>
        <v/>
      </c>
      <c r="F36" s="40">
        <f>IF('Security &amp; Compliance'!F4="","",'Security &amp; Compliance'!F4)</f>
        <v/>
      </c>
      <c r="G36" s="41">
        <f>IF('Security &amp; Compliance'!G4="","",'Security &amp; Compliance'!G4)</f>
        <v/>
      </c>
    </row>
    <row r="37">
      <c r="A37" s="39">
        <f>IF('Security &amp; Compliance'!A5="","",'Security &amp; Compliance'!A5)</f>
        <v/>
      </c>
      <c r="B37" s="39">
        <f>IF('Security &amp; Compliance'!B5="","",'Security &amp; Compliance'!B5)</f>
        <v/>
      </c>
      <c r="C37" s="39">
        <f>IF('Security &amp; Compliance'!C5="","",'Security &amp; Compliance'!C5)</f>
        <v/>
      </c>
      <c r="D37" s="39">
        <f>IF('Security &amp; Compliance'!D5="","",'Security &amp; Compliance'!D5)</f>
        <v/>
      </c>
      <c r="E37" s="39">
        <f>IF('Security &amp; Compliance'!E5="","",'Security &amp; Compliance'!E5)</f>
        <v/>
      </c>
      <c r="F37" s="40">
        <f>IF('Security &amp; Compliance'!F5="","",'Security &amp; Compliance'!F5)</f>
        <v/>
      </c>
      <c r="G37" s="39">
        <f>IF('Security &amp; Compliance'!G5="","",'Security &amp; Compliance'!G5)</f>
        <v/>
      </c>
    </row>
    <row r="38">
      <c r="A38" s="41">
        <f>IF('Security &amp; Compliance'!A6="","",'Security &amp; Compliance'!A6)</f>
        <v/>
      </c>
      <c r="B38" s="41">
        <f>IF('Security &amp; Compliance'!B6="","",'Security &amp; Compliance'!B6)</f>
        <v/>
      </c>
      <c r="C38" s="41">
        <f>IF('Security &amp; Compliance'!C6="","",'Security &amp; Compliance'!C6)</f>
        <v/>
      </c>
      <c r="D38" s="41">
        <f>IF('Security &amp; Compliance'!D6="","",'Security &amp; Compliance'!D6)</f>
        <v/>
      </c>
      <c r="E38" s="41">
        <f>IF('Security &amp; Compliance'!E6="","",'Security &amp; Compliance'!E6)</f>
        <v/>
      </c>
      <c r="F38" s="40">
        <f>IF('Security &amp; Compliance'!F6="","",'Security &amp; Compliance'!F6)</f>
        <v/>
      </c>
      <c r="G38" s="41">
        <f>IF('Security &amp; Compliance'!G6="","",'Security &amp; Compliance'!G6)</f>
        <v/>
      </c>
    </row>
    <row r="39">
      <c r="A39" s="39">
        <f>IF('Security &amp; Compliance'!A7="","",'Security &amp; Compliance'!A7)</f>
        <v/>
      </c>
      <c r="B39" s="39">
        <f>IF('Security &amp; Compliance'!B7="","",'Security &amp; Compliance'!B7)</f>
        <v/>
      </c>
      <c r="C39" s="39">
        <f>IF('Security &amp; Compliance'!C7="","",'Security &amp; Compliance'!C7)</f>
        <v/>
      </c>
      <c r="D39" s="39">
        <f>IF('Security &amp; Compliance'!D7="","",'Security &amp; Compliance'!D7)</f>
        <v/>
      </c>
      <c r="E39" s="39">
        <f>IF('Security &amp; Compliance'!E7="","",'Security &amp; Compliance'!E7)</f>
        <v/>
      </c>
      <c r="F39" s="40">
        <f>IF('Security &amp; Compliance'!F7="","",'Security &amp; Compliance'!F7)</f>
        <v/>
      </c>
      <c r="G39" s="39">
        <f>IF('Security &amp; Compliance'!G7="","",'Security &amp; Compliance'!G7)</f>
        <v/>
      </c>
    </row>
    <row r="40">
      <c r="A40" s="41">
        <f>IF('Operations &amp; Support'!A2="","",'Operations &amp; Support'!A2)</f>
        <v/>
      </c>
      <c r="B40" s="41">
        <f>IF('Operations &amp; Support'!B2="","",'Operations &amp; Support'!B2)</f>
        <v/>
      </c>
      <c r="C40" s="41">
        <f>IF('Operations &amp; Support'!C2="","",'Operations &amp; Support'!C2)</f>
        <v/>
      </c>
      <c r="D40" s="41">
        <f>IF('Operations &amp; Support'!D2="","",'Operations &amp; Support'!D2)</f>
        <v/>
      </c>
      <c r="E40" s="41">
        <f>IF('Operations &amp; Support'!E2="","",'Operations &amp; Support'!E2)</f>
        <v/>
      </c>
      <c r="F40" s="40">
        <f>IF('Operations &amp; Support'!F2="","",'Operations &amp; Support'!F2)</f>
        <v/>
      </c>
      <c r="G40" s="41">
        <f>IF('Operations &amp; Support'!G2="","",'Operations &amp; Support'!G2)</f>
        <v/>
      </c>
    </row>
    <row r="41">
      <c r="A41" s="39">
        <f>IF('Operations &amp; Support'!A3="","",'Operations &amp; Support'!A3)</f>
        <v/>
      </c>
      <c r="B41" s="39">
        <f>IF('Operations &amp; Support'!B3="","",'Operations &amp; Support'!B3)</f>
        <v/>
      </c>
      <c r="C41" s="39">
        <f>IF('Operations &amp; Support'!C3="","",'Operations &amp; Support'!C3)</f>
        <v/>
      </c>
      <c r="D41" s="39">
        <f>IF('Operations &amp; Support'!D3="","",'Operations &amp; Support'!D3)</f>
        <v/>
      </c>
      <c r="E41" s="39">
        <f>IF('Operations &amp; Support'!E3="","",'Operations &amp; Support'!E3)</f>
        <v/>
      </c>
      <c r="F41" s="40">
        <f>IF('Operations &amp; Support'!F3="","",'Operations &amp; Support'!F3)</f>
        <v/>
      </c>
      <c r="G41" s="39">
        <f>IF('Operations &amp; Support'!G3="","",'Operations &amp; Support'!G3)</f>
        <v/>
      </c>
    </row>
    <row r="42">
      <c r="A42" s="41">
        <f>IF('Operations &amp; Support'!A4="","",'Operations &amp; Support'!A4)</f>
        <v/>
      </c>
      <c r="B42" s="41">
        <f>IF('Operations &amp; Support'!B4="","",'Operations &amp; Support'!B4)</f>
        <v/>
      </c>
      <c r="C42" s="41">
        <f>IF('Operations &amp; Support'!C4="","",'Operations &amp; Support'!C4)</f>
        <v/>
      </c>
      <c r="D42" s="41">
        <f>IF('Operations &amp; Support'!D4="","",'Operations &amp; Support'!D4)</f>
        <v/>
      </c>
      <c r="E42" s="41">
        <f>IF('Operations &amp; Support'!E4="","",'Operations &amp; Support'!E4)</f>
        <v/>
      </c>
      <c r="F42" s="40">
        <f>IF('Operations &amp; Support'!F4="","",'Operations &amp; Support'!F4)</f>
        <v/>
      </c>
      <c r="G42" s="41">
        <f>IF('Operations &amp; Support'!G4="","",'Operations &amp; Support'!G4)</f>
        <v/>
      </c>
    </row>
    <row r="43">
      <c r="A43" s="39">
        <f>IF('Operations &amp; Support'!A5="","",'Operations &amp; Support'!A5)</f>
        <v/>
      </c>
      <c r="B43" s="39">
        <f>IF('Operations &amp; Support'!B5="","",'Operations &amp; Support'!B5)</f>
        <v/>
      </c>
      <c r="C43" s="39">
        <f>IF('Operations &amp; Support'!C5="","",'Operations &amp; Support'!C5)</f>
        <v/>
      </c>
      <c r="D43" s="39">
        <f>IF('Operations &amp; Support'!D5="","",'Operations &amp; Support'!D5)</f>
        <v/>
      </c>
      <c r="E43" s="39">
        <f>IF('Operations &amp; Support'!E5="","",'Operations &amp; Support'!E5)</f>
        <v/>
      </c>
      <c r="F43" s="40">
        <f>IF('Operations &amp; Support'!F5="","",'Operations &amp; Support'!F5)</f>
        <v/>
      </c>
      <c r="G43" s="39">
        <f>IF('Operations &amp; Support'!G5="","",'Operations &amp; Support'!G5)</f>
        <v/>
      </c>
    </row>
    <row r="44">
      <c r="A44" s="41">
        <f>IF('Operations &amp; Support'!A6="","",'Operations &amp; Support'!A6)</f>
        <v/>
      </c>
      <c r="B44" s="41">
        <f>IF('Operations &amp; Support'!B6="","",'Operations &amp; Support'!B6)</f>
        <v/>
      </c>
      <c r="C44" s="41">
        <f>IF('Operations &amp; Support'!C6="","",'Operations &amp; Support'!C6)</f>
        <v/>
      </c>
      <c r="D44" s="41">
        <f>IF('Operations &amp; Support'!D6="","",'Operations &amp; Support'!D6)</f>
        <v/>
      </c>
      <c r="E44" s="41">
        <f>IF('Operations &amp; Support'!E6="","",'Operations &amp; Support'!E6)</f>
        <v/>
      </c>
      <c r="F44" s="40">
        <f>IF('Operations &amp; Support'!F6="","",'Operations &amp; Support'!F6)</f>
        <v/>
      </c>
      <c r="G44" s="41">
        <f>IF('Operations &amp; Support'!G6="","",'Operations &amp; Support'!G6)</f>
        <v/>
      </c>
    </row>
    <row r="45">
      <c r="A45" s="39">
        <f>IF('Operations &amp; Support'!A7="","",'Operations &amp; Support'!A7)</f>
        <v/>
      </c>
      <c r="B45" s="39">
        <f>IF('Operations &amp; Support'!B7="","",'Operations &amp; Support'!B7)</f>
        <v/>
      </c>
      <c r="C45" s="39">
        <f>IF('Operations &amp; Support'!C7="","",'Operations &amp; Support'!C7)</f>
        <v/>
      </c>
      <c r="D45" s="39">
        <f>IF('Operations &amp; Support'!D7="","",'Operations &amp; Support'!D7)</f>
        <v/>
      </c>
      <c r="E45" s="39">
        <f>IF('Operations &amp; Support'!E7="","",'Operations &amp; Support'!E7)</f>
        <v/>
      </c>
      <c r="F45" s="40">
        <f>IF('Operations &amp; Support'!F7="","",'Operations &amp; Support'!F7)</f>
        <v/>
      </c>
      <c r="G45" s="39">
        <f>IF('Operations &amp; Support'!G7="","",'Operations &amp; Support'!G7)</f>
        <v/>
      </c>
    </row>
    <row r="46">
      <c r="A46" s="41">
        <f>IF('Operations &amp; Support'!A8="","",'Operations &amp; Support'!A8)</f>
        <v/>
      </c>
      <c r="B46" s="41">
        <f>IF('Operations &amp; Support'!B8="","",'Operations &amp; Support'!B8)</f>
        <v/>
      </c>
      <c r="C46" s="41">
        <f>IF('Operations &amp; Support'!C8="","",'Operations &amp; Support'!C8)</f>
        <v/>
      </c>
      <c r="D46" s="41">
        <f>IF('Operations &amp; Support'!D8="","",'Operations &amp; Support'!D8)</f>
        <v/>
      </c>
      <c r="E46" s="41">
        <f>IF('Operations &amp; Support'!E8="","",'Operations &amp; Support'!E8)</f>
        <v/>
      </c>
      <c r="F46" s="40">
        <f>IF('Operations &amp; Support'!F8="","",'Operations &amp; Support'!F8)</f>
        <v/>
      </c>
      <c r="G46" s="41">
        <f>IF('Operations &amp; Support'!G8="","",'Operations &amp; Support'!G8)</f>
        <v/>
      </c>
    </row>
    <row r="47">
      <c r="A47" s="39">
        <f>IF('Operations &amp; Support'!A9="","",'Operations &amp; Support'!A9)</f>
        <v/>
      </c>
      <c r="B47" s="39">
        <f>IF('Operations &amp; Support'!B9="","",'Operations &amp; Support'!B9)</f>
        <v/>
      </c>
      <c r="C47" s="39">
        <f>IF('Operations &amp; Support'!C9="","",'Operations &amp; Support'!C9)</f>
        <v/>
      </c>
      <c r="D47" s="39">
        <f>IF('Operations &amp; Support'!D9="","",'Operations &amp; Support'!D9)</f>
        <v/>
      </c>
      <c r="E47" s="39">
        <f>IF('Operations &amp; Support'!E9="","",'Operations &amp; Support'!E9)</f>
        <v/>
      </c>
      <c r="F47" s="40">
        <f>IF('Operations &amp; Support'!F9="","",'Operations &amp; Support'!F9)</f>
        <v/>
      </c>
      <c r="G47" s="39">
        <f>IF('Operations &amp; Support'!G9="","",'Operations &amp; Support'!G9)</f>
        <v/>
      </c>
    </row>
    <row r="48">
      <c r="A48" s="41">
        <f>IF('Operations &amp; Support'!A10="","",'Operations &amp; Support'!A10)</f>
        <v/>
      </c>
      <c r="B48" s="41">
        <f>IF('Operations &amp; Support'!B10="","",'Operations &amp; Support'!B10)</f>
        <v/>
      </c>
      <c r="C48" s="41">
        <f>IF('Operations &amp; Support'!C10="","",'Operations &amp; Support'!C10)</f>
        <v/>
      </c>
      <c r="D48" s="41">
        <f>IF('Operations &amp; Support'!D10="","",'Operations &amp; Support'!D10)</f>
        <v/>
      </c>
      <c r="E48" s="41">
        <f>IF('Operations &amp; Support'!E10="","",'Operations &amp; Support'!E10)</f>
        <v/>
      </c>
      <c r="F48" s="40">
        <f>IF('Operations &amp; Support'!F10="","",'Operations &amp; Support'!F10)</f>
        <v/>
      </c>
      <c r="G48" s="41">
        <f>IF('Operations &amp; Support'!G10="","",'Operations &amp; Support'!G10)</f>
        <v/>
      </c>
    </row>
    <row r="49">
      <c r="A49" s="39">
        <f>IF('Operations &amp; Support'!A11="","",'Operations &amp; Support'!A11)</f>
        <v/>
      </c>
      <c r="B49" s="39">
        <f>IF('Operations &amp; Support'!B11="","",'Operations &amp; Support'!B11)</f>
        <v/>
      </c>
      <c r="C49" s="39">
        <f>IF('Operations &amp; Support'!C11="","",'Operations &amp; Support'!C11)</f>
        <v/>
      </c>
      <c r="D49" s="39">
        <f>IF('Operations &amp; Support'!D11="","",'Operations &amp; Support'!D11)</f>
        <v/>
      </c>
      <c r="E49" s="39">
        <f>IF('Operations &amp; Support'!E11="","",'Operations &amp; Support'!E11)</f>
        <v/>
      </c>
      <c r="F49" s="40">
        <f>IF('Operations &amp; Support'!F11="","",'Operations &amp; Support'!F11)</f>
        <v/>
      </c>
      <c r="G49" s="39">
        <f>IF('Operations &amp; Support'!G11="","",'Operations &amp; Support'!G11)</f>
        <v/>
      </c>
    </row>
    <row r="50">
      <c r="A50" s="41">
        <f>IF('Implementation Planning'!A2="","",'Implementation Planning'!A2)</f>
        <v/>
      </c>
      <c r="B50" s="41">
        <f>IF('Implementation Planning'!B2="","",'Implementation Planning'!B2)</f>
        <v/>
      </c>
      <c r="C50" s="41">
        <f>IF('Implementation Planning'!C2="","",'Implementation Planning'!C2)</f>
        <v/>
      </c>
      <c r="D50" s="41">
        <f>IF('Implementation Planning'!D2="","",'Implementation Planning'!D2)</f>
        <v/>
      </c>
      <c r="E50" s="41">
        <f>IF('Implementation Planning'!E2="","",'Implementation Planning'!E2)</f>
        <v/>
      </c>
      <c r="F50" s="40">
        <f>IF('Implementation Planning'!F2="","",'Implementation Planning'!F2)</f>
        <v/>
      </c>
      <c r="G50" s="41">
        <f>IF('Implementation Planning'!G2="","",'Implementation Planning'!G2)</f>
        <v/>
      </c>
    </row>
    <row r="51">
      <c r="A51" s="39">
        <f>IF('Implementation Planning'!A3="","",'Implementation Planning'!A3)</f>
        <v/>
      </c>
      <c r="B51" s="39">
        <f>IF('Implementation Planning'!B3="","",'Implementation Planning'!B3)</f>
        <v/>
      </c>
      <c r="C51" s="39">
        <f>IF('Implementation Planning'!C3="","",'Implementation Planning'!C3)</f>
        <v/>
      </c>
      <c r="D51" s="39">
        <f>IF('Implementation Planning'!D3="","",'Implementation Planning'!D3)</f>
        <v/>
      </c>
      <c r="E51" s="39">
        <f>IF('Implementation Planning'!E3="","",'Implementation Planning'!E3)</f>
        <v/>
      </c>
      <c r="F51" s="40">
        <f>IF('Implementation Planning'!F3="","",'Implementation Planning'!F3)</f>
        <v/>
      </c>
      <c r="G51" s="39">
        <f>IF('Implementation Planning'!G3="","",'Implementation Planning'!G3)</f>
        <v/>
      </c>
    </row>
    <row r="52">
      <c r="A52" s="41">
        <f>IF('Implementation Planning'!A4="","",'Implementation Planning'!A4)</f>
        <v/>
      </c>
      <c r="B52" s="41">
        <f>IF('Implementation Planning'!B4="","",'Implementation Planning'!B4)</f>
        <v/>
      </c>
      <c r="C52" s="41">
        <f>IF('Implementation Planning'!C4="","",'Implementation Planning'!C4)</f>
        <v/>
      </c>
      <c r="D52" s="41">
        <f>IF('Implementation Planning'!D4="","",'Implementation Planning'!D4)</f>
        <v/>
      </c>
      <c r="E52" s="41">
        <f>IF('Implementation Planning'!E4="","",'Implementation Planning'!E4)</f>
        <v/>
      </c>
      <c r="F52" s="40">
        <f>IF('Implementation Planning'!F4="","",'Implementation Planning'!F4)</f>
        <v/>
      </c>
      <c r="G52" s="41">
        <f>IF('Implementation Planning'!G4="","",'Implementation Planning'!G4)</f>
        <v/>
      </c>
    </row>
    <row r="53">
      <c r="A53" s="39">
        <f>IF('Implementation Planning'!A5="","",'Implementation Planning'!A5)</f>
        <v/>
      </c>
      <c r="B53" s="39">
        <f>IF('Implementation Planning'!B5="","",'Implementation Planning'!B5)</f>
        <v/>
      </c>
      <c r="C53" s="39">
        <f>IF('Implementation Planning'!C5="","",'Implementation Planning'!C5)</f>
        <v/>
      </c>
      <c r="D53" s="39">
        <f>IF('Implementation Planning'!D5="","",'Implementation Planning'!D5)</f>
        <v/>
      </c>
      <c r="E53" s="39">
        <f>IF('Implementation Planning'!E5="","",'Implementation Planning'!E5)</f>
        <v/>
      </c>
      <c r="F53" s="40">
        <f>IF('Implementation Planning'!F5="","",'Implementation Planning'!F5)</f>
        <v/>
      </c>
      <c r="G53" s="39">
        <f>IF('Implementation Planning'!G5="","",'Implementation Planning'!G5)</f>
        <v/>
      </c>
    </row>
    <row r="54">
      <c r="A54" s="41">
        <f>IF('Implementation Planning'!A6="","",'Implementation Planning'!A6)</f>
        <v/>
      </c>
      <c r="B54" s="41">
        <f>IF('Implementation Planning'!B6="","",'Implementation Planning'!B6)</f>
        <v/>
      </c>
      <c r="C54" s="41">
        <f>IF('Implementation Planning'!C6="","",'Implementation Planning'!C6)</f>
        <v/>
      </c>
      <c r="D54" s="41">
        <f>IF('Implementation Planning'!D6="","",'Implementation Planning'!D6)</f>
        <v/>
      </c>
      <c r="E54" s="41">
        <f>IF('Implementation Planning'!E6="","",'Implementation Planning'!E6)</f>
        <v/>
      </c>
      <c r="F54" s="40">
        <f>IF('Implementation Planning'!F6="","",'Implementation Planning'!F6)</f>
        <v/>
      </c>
      <c r="G54" s="41">
        <f>IF('Implementation Planning'!G6="","",'Implementation Planning'!G6)</f>
        <v/>
      </c>
    </row>
    <row r="55">
      <c r="A55" s="39">
        <f>IF('Implementation Planning'!A7="","",'Implementation Planning'!A7)</f>
        <v/>
      </c>
      <c r="B55" s="39">
        <f>IF('Implementation Planning'!B7="","",'Implementation Planning'!B7)</f>
        <v/>
      </c>
      <c r="C55" s="39">
        <f>IF('Implementation Planning'!C7="","",'Implementation Planning'!C7)</f>
        <v/>
      </c>
      <c r="D55" s="39">
        <f>IF('Implementation Planning'!D7="","",'Implementation Planning'!D7)</f>
        <v/>
      </c>
      <c r="E55" s="39">
        <f>IF('Implementation Planning'!E7="","",'Implementation Planning'!E7)</f>
        <v/>
      </c>
      <c r="F55" s="40">
        <f>IF('Implementation Planning'!F7="","",'Implementation Planning'!F7)</f>
        <v/>
      </c>
      <c r="G55" s="39">
        <f>IF('Implementation Planning'!G7="","",'Implementation Planning'!G7)</f>
        <v/>
      </c>
    </row>
    <row r="56">
      <c r="A56" s="41">
        <f>IF('Implementation Planning'!A8="","",'Implementation Planning'!A8)</f>
        <v/>
      </c>
      <c r="B56" s="41">
        <f>IF('Implementation Planning'!B8="","",'Implementation Planning'!B8)</f>
        <v/>
      </c>
      <c r="C56" s="41">
        <f>IF('Implementation Planning'!C8="","",'Implementation Planning'!C8)</f>
        <v/>
      </c>
      <c r="D56" s="41">
        <f>IF('Implementation Planning'!D8="","",'Implementation Planning'!D8)</f>
        <v/>
      </c>
      <c r="E56" s="41">
        <f>IF('Implementation Planning'!E8="","",'Implementation Planning'!E8)</f>
        <v/>
      </c>
      <c r="F56" s="40">
        <f>IF('Implementation Planning'!F8="","",'Implementation Planning'!F8)</f>
        <v/>
      </c>
      <c r="G56" s="41">
        <f>IF('Implementation Planning'!G8="","",'Implementation Planning'!G8)</f>
        <v/>
      </c>
    </row>
    <row r="57">
      <c r="A57" s="39">
        <f>IF('Implementation Planning'!A9="","",'Implementation Planning'!A9)</f>
        <v/>
      </c>
      <c r="B57" s="39">
        <f>IF('Implementation Planning'!B9="","",'Implementation Planning'!B9)</f>
        <v/>
      </c>
      <c r="C57" s="39">
        <f>IF('Implementation Planning'!C9="","",'Implementation Planning'!C9)</f>
        <v/>
      </c>
      <c r="D57" s="39">
        <f>IF('Implementation Planning'!D9="","",'Implementation Planning'!D9)</f>
        <v/>
      </c>
      <c r="E57" s="39">
        <f>IF('Implementation Planning'!E9="","",'Implementation Planning'!E9)</f>
        <v/>
      </c>
      <c r="F57" s="40">
        <f>IF('Implementation Planning'!F9="","",'Implementation Planning'!F9)</f>
        <v/>
      </c>
      <c r="G57" s="39">
        <f>IF('Implementation Planning'!G9="","",'Implementation Planning'!G9)</f>
        <v/>
      </c>
    </row>
    <row r="58">
      <c r="A58" s="41">
        <f>IF('Implementation Planning'!A10="","",'Implementation Planning'!A10)</f>
        <v/>
      </c>
      <c r="B58" s="41">
        <f>IF('Implementation Planning'!B10="","",'Implementation Planning'!B10)</f>
        <v/>
      </c>
      <c r="C58" s="41">
        <f>IF('Implementation Planning'!C10="","",'Implementation Planning'!C10)</f>
        <v/>
      </c>
      <c r="D58" s="41">
        <f>IF('Implementation Planning'!D10="","",'Implementation Planning'!D10)</f>
        <v/>
      </c>
      <c r="E58" s="41">
        <f>IF('Implementation Planning'!E10="","",'Implementation Planning'!E10)</f>
        <v/>
      </c>
      <c r="F58" s="40">
        <f>IF('Implementation Planning'!F10="","",'Implementation Planning'!F10)</f>
        <v/>
      </c>
      <c r="G58" s="41">
        <f>IF('Implementation Planning'!G10="","",'Implementation Planning'!G10)</f>
        <v/>
      </c>
    </row>
    <row r="59">
      <c r="A59" s="39">
        <f>IF('Implementation Planning'!A11="","",'Implementation Planning'!A11)</f>
        <v/>
      </c>
      <c r="B59" s="39">
        <f>IF('Implementation Planning'!B11="","",'Implementation Planning'!B11)</f>
        <v/>
      </c>
      <c r="C59" s="39">
        <f>IF('Implementation Planning'!C11="","",'Implementation Planning'!C11)</f>
        <v/>
      </c>
      <c r="D59" s="39">
        <f>IF('Implementation Planning'!D11="","",'Implementation Planning'!D11)</f>
        <v/>
      </c>
      <c r="E59" s="39">
        <f>IF('Implementation Planning'!E11="","",'Implementation Planning'!E11)</f>
        <v/>
      </c>
      <c r="F59" s="40">
        <f>IF('Implementation Planning'!F11="","",'Implementation Planning'!F11)</f>
        <v/>
      </c>
      <c r="G59" s="39">
        <f>IF('Implementation Planning'!G11="","",'Implementation Planning'!G11)</f>
        <v/>
      </c>
    </row>
    <row r="60">
      <c r="A60" s="41">
        <f>IF('Risk &amp; Constraints'!A2="","",'Risk &amp; Constraints'!A2)</f>
        <v/>
      </c>
      <c r="B60" s="41">
        <f>IF('Risk &amp; Constraints'!B2="","",'Risk &amp; Constraints'!B2)</f>
        <v/>
      </c>
      <c r="C60" s="41">
        <f>IF('Risk &amp; Constraints'!C2="","",'Risk &amp; Constraints'!C2)</f>
        <v/>
      </c>
      <c r="D60" s="41">
        <f>IF('Risk &amp; Constraints'!D2="","",'Risk &amp; Constraints'!D2)</f>
        <v/>
      </c>
      <c r="E60" s="41">
        <f>IF('Risk &amp; Constraints'!E2="","",'Risk &amp; Constraints'!E2)</f>
        <v/>
      </c>
      <c r="F60" s="40">
        <f>IF('Risk &amp; Constraints'!F2="","",'Risk &amp; Constraints'!F2)</f>
        <v/>
      </c>
      <c r="G60" s="41">
        <f>IF('Risk &amp; Constraints'!G2="","",'Risk &amp; Constraints'!G2)</f>
        <v/>
      </c>
    </row>
    <row r="61">
      <c r="A61" s="39">
        <f>IF('Risk &amp; Constraints'!A3="","",'Risk &amp; Constraints'!A3)</f>
        <v/>
      </c>
      <c r="B61" s="39">
        <f>IF('Risk &amp; Constraints'!B3="","",'Risk &amp; Constraints'!B3)</f>
        <v/>
      </c>
      <c r="C61" s="39">
        <f>IF('Risk &amp; Constraints'!C3="","",'Risk &amp; Constraints'!C3)</f>
        <v/>
      </c>
      <c r="D61" s="39">
        <f>IF('Risk &amp; Constraints'!D3="","",'Risk &amp; Constraints'!D3)</f>
        <v/>
      </c>
      <c r="E61" s="39">
        <f>IF('Risk &amp; Constraints'!E3="","",'Risk &amp; Constraints'!E3)</f>
        <v/>
      </c>
      <c r="F61" s="40">
        <f>IF('Risk &amp; Constraints'!F3="","",'Risk &amp; Constraints'!F3)</f>
        <v/>
      </c>
      <c r="G61" s="39">
        <f>IF('Risk &amp; Constraints'!G3="","",'Risk &amp; Constraints'!G3)</f>
        <v/>
      </c>
    </row>
    <row r="62">
      <c r="A62" s="41">
        <f>IF('Risk &amp; Constraints'!A4="","",'Risk &amp; Constraints'!A4)</f>
        <v/>
      </c>
      <c r="B62" s="41">
        <f>IF('Risk &amp; Constraints'!B4="","",'Risk &amp; Constraints'!B4)</f>
        <v/>
      </c>
      <c r="C62" s="41">
        <f>IF('Risk &amp; Constraints'!C4="","",'Risk &amp; Constraints'!C4)</f>
        <v/>
      </c>
      <c r="D62" s="41">
        <f>IF('Risk &amp; Constraints'!D4="","",'Risk &amp; Constraints'!D4)</f>
        <v/>
      </c>
      <c r="E62" s="41">
        <f>IF('Risk &amp; Constraints'!E4="","",'Risk &amp; Constraints'!E4)</f>
        <v/>
      </c>
      <c r="F62" s="40">
        <f>IF('Risk &amp; Constraints'!F4="","",'Risk &amp; Constraints'!F4)</f>
        <v/>
      </c>
      <c r="G62" s="41">
        <f>IF('Risk &amp; Constraints'!G4="","",'Risk &amp; Constraints'!G4)</f>
        <v/>
      </c>
    </row>
    <row r="63">
      <c r="A63" s="39">
        <f>IF('Risk &amp; Constraints'!A5="","",'Risk &amp; Constraints'!A5)</f>
        <v/>
      </c>
      <c r="B63" s="39">
        <f>IF('Risk &amp; Constraints'!B5="","",'Risk &amp; Constraints'!B5)</f>
        <v/>
      </c>
      <c r="C63" s="39">
        <f>IF('Risk &amp; Constraints'!C5="","",'Risk &amp; Constraints'!C5)</f>
        <v/>
      </c>
      <c r="D63" s="39">
        <f>IF('Risk &amp; Constraints'!D5="","",'Risk &amp; Constraints'!D5)</f>
        <v/>
      </c>
      <c r="E63" s="39">
        <f>IF('Risk &amp; Constraints'!E5="","",'Risk &amp; Constraints'!E5)</f>
        <v/>
      </c>
      <c r="F63" s="40">
        <f>IF('Risk &amp; Constraints'!F5="","",'Risk &amp; Constraints'!F5)</f>
        <v/>
      </c>
      <c r="G63" s="39">
        <f>IF('Risk &amp; Constraints'!G5="","",'Risk &amp; Constraints'!G5)</f>
        <v/>
      </c>
    </row>
    <row r="64">
      <c r="A64" s="41">
        <f>IF('Risk &amp; Constraints'!A6="","",'Risk &amp; Constraints'!A6)</f>
        <v/>
      </c>
      <c r="B64" s="41">
        <f>IF('Risk &amp; Constraints'!B6="","",'Risk &amp; Constraints'!B6)</f>
        <v/>
      </c>
      <c r="C64" s="41">
        <f>IF('Risk &amp; Constraints'!C6="","",'Risk &amp; Constraints'!C6)</f>
        <v/>
      </c>
      <c r="D64" s="41">
        <f>IF('Risk &amp; Constraints'!D6="","",'Risk &amp; Constraints'!D6)</f>
        <v/>
      </c>
      <c r="E64" s="41">
        <f>IF('Risk &amp; Constraints'!E6="","",'Risk &amp; Constraints'!E6)</f>
        <v/>
      </c>
      <c r="F64" s="40">
        <f>IF('Risk &amp; Constraints'!F6="","",'Risk &amp; Constraints'!F6)</f>
        <v/>
      </c>
      <c r="G64" s="41">
        <f>IF('Risk &amp; Constraints'!G6="","",'Risk &amp; Constraints'!G6)</f>
        <v/>
      </c>
    </row>
    <row r="65">
      <c r="A65" s="39">
        <f>IF('Risk &amp; Constraints'!A7="","",'Risk &amp; Constraints'!A7)</f>
        <v/>
      </c>
      <c r="B65" s="39">
        <f>IF('Risk &amp; Constraints'!B7="","",'Risk &amp; Constraints'!B7)</f>
        <v/>
      </c>
      <c r="C65" s="39">
        <f>IF('Risk &amp; Constraints'!C7="","",'Risk &amp; Constraints'!C7)</f>
        <v/>
      </c>
      <c r="D65" s="39">
        <f>IF('Risk &amp; Constraints'!D7="","",'Risk &amp; Constraints'!D7)</f>
        <v/>
      </c>
      <c r="E65" s="39">
        <f>IF('Risk &amp; Constraints'!E7="","",'Risk &amp; Constraints'!E7)</f>
        <v/>
      </c>
      <c r="F65" s="40">
        <f>IF('Risk &amp; Constraints'!F7="","",'Risk &amp; Constraints'!F7)</f>
        <v/>
      </c>
      <c r="G65" s="39">
        <f>IF('Risk &amp; Constraints'!G7="","",'Risk &amp; Constraints'!G7)</f>
        <v/>
      </c>
    </row>
    <row r="66">
      <c r="A66" s="41">
        <f>IF('Risk &amp; Constraints'!A8="","",'Risk &amp; Constraints'!A8)</f>
        <v/>
      </c>
      <c r="B66" s="41">
        <f>IF('Risk &amp; Constraints'!B8="","",'Risk &amp; Constraints'!B8)</f>
        <v/>
      </c>
      <c r="C66" s="41">
        <f>IF('Risk &amp; Constraints'!C8="","",'Risk &amp; Constraints'!C8)</f>
        <v/>
      </c>
      <c r="D66" s="41">
        <f>IF('Risk &amp; Constraints'!D8="","",'Risk &amp; Constraints'!D8)</f>
        <v/>
      </c>
      <c r="E66" s="41">
        <f>IF('Risk &amp; Constraints'!E8="","",'Risk &amp; Constraints'!E8)</f>
        <v/>
      </c>
      <c r="F66" s="40">
        <f>IF('Risk &amp; Constraints'!F8="","",'Risk &amp; Constraints'!F8)</f>
        <v/>
      </c>
      <c r="G66" s="41">
        <f>IF('Risk &amp; Constraints'!G8="","",'Risk &amp; Constraints'!G8)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BUS-001</t>
        </is>
      </c>
      <c r="B2" s="41" t="inlineStr">
        <is>
          <t>Business Requirements</t>
        </is>
      </c>
      <c r="C2" s="41" t="inlineStr">
        <is>
          <t>Project Information</t>
        </is>
      </c>
      <c r="D2" s="41" t="inlineStr">
        <is>
          <t>What is the name of your HyperFlex HCI project?</t>
        </is>
      </c>
      <c r="E2" s="41" t="inlineStr">
        <is>
          <t>Provide internal project reference name</t>
        </is>
      </c>
      <c r="F2" s="40" t="n"/>
      <c r="G2" s="41" t="inlineStr">
        <is>
          <t>Internal project reference for tracking</t>
        </is>
      </c>
    </row>
    <row r="3">
      <c r="A3" s="39" t="inlineStr">
        <is>
          <t>BUS-002</t>
        </is>
      </c>
      <c r="B3" s="39" t="inlineStr">
        <is>
          <t>Business Requirements</t>
        </is>
      </c>
      <c r="C3" s="39" t="inlineStr">
        <is>
          <t>Project Information</t>
        </is>
      </c>
      <c r="D3" s="39" t="inlineStr">
        <is>
          <t>Who is the primary stakeholder for this infrastructure modernization?</t>
        </is>
      </c>
      <c r="E3" s="39" t="inlineStr">
        <is>
          <t>Name, role, and decision-making authority</t>
        </is>
      </c>
      <c r="F3" s="40" t="n"/>
      <c r="G3" s="39" t="inlineStr">
        <is>
          <t>Main point of contact and decision authority</t>
        </is>
      </c>
    </row>
    <row r="4">
      <c r="A4" s="41" t="inlineStr">
        <is>
          <t>BUS-003</t>
        </is>
      </c>
      <c r="B4" s="41" t="inlineStr">
        <is>
          <t>Business Requirements</t>
        </is>
      </c>
      <c r="C4" s="41" t="inlineStr">
        <is>
          <t>Business Drivers</t>
        </is>
      </c>
      <c r="D4" s="41" t="inlineStr">
        <is>
          <t>What challenges are driving the move to hyperconverged infrastructure?</t>
        </is>
      </c>
      <c r="E4" s="41" t="inlineStr">
        <is>
          <t>Common challenges: Aging hardware, High storage costs, Complex management, Slow VM provisioning, Data center space constraints, High operational costs</t>
        </is>
      </c>
      <c r="F4" s="40" t="n"/>
      <c r="G4" s="41" t="inlineStr">
        <is>
          <t>Primary business driver for HCI investment</t>
        </is>
      </c>
    </row>
    <row r="5">
      <c r="A5" s="39" t="inlineStr">
        <is>
          <t>BUS-004</t>
        </is>
      </c>
      <c r="B5" s="39" t="inlineStr">
        <is>
          <t>Business Requirements</t>
        </is>
      </c>
      <c r="C5" s="39" t="inlineStr">
        <is>
          <t>Current State</t>
        </is>
      </c>
      <c r="D5" s="39" t="inlineStr">
        <is>
          <t>What is your current compute and storage infrastructure?</t>
        </is>
      </c>
      <c r="E5" s="39" t="inlineStr">
        <is>
          <t>Describe: server models, SAN/NAS storage, virtualization platform, total capacity, pain points</t>
        </is>
      </c>
      <c r="F5" s="40" t="n"/>
      <c r="G5" s="39" t="inlineStr">
        <is>
          <t>Current state baseline assessment</t>
        </is>
      </c>
    </row>
    <row r="6">
      <c r="A6" s="41" t="inlineStr">
        <is>
          <t>BUS-005</t>
        </is>
      </c>
      <c r="B6" s="41" t="inlineStr">
        <is>
          <t>Business Requirements</t>
        </is>
      </c>
      <c r="C6" s="41" t="inlineStr">
        <is>
          <t>Objectives</t>
        </is>
      </c>
      <c r="D6" s="41" t="inlineStr">
        <is>
          <t>What are your primary goals for HCI implementation?</t>
        </is>
      </c>
      <c r="E6" s="41" t="inlineStr">
        <is>
          <t>Common goals: Simplify operations, Reduce TCO, Faster VM deployment, Hybrid cloud readiness, Consolidate vendors, Improve performance</t>
        </is>
      </c>
      <c r="F6" s="40" t="n"/>
      <c r="G6" s="41" t="inlineStr">
        <is>
          <t>Business objectives and expected outcomes</t>
        </is>
      </c>
    </row>
    <row r="7">
      <c r="A7" s="39" t="inlineStr">
        <is>
          <t>BUS-006</t>
        </is>
      </c>
      <c r="B7" s="39" t="inlineStr">
        <is>
          <t>Business Requirements</t>
        </is>
      </c>
      <c r="C7" s="39" t="inlineStr">
        <is>
          <t>Success Criteria</t>
        </is>
      </c>
      <c r="D7" s="39" t="inlineStr">
        <is>
          <t>How will you measure HCI success?</t>
        </is>
      </c>
      <c r="E7" s="39" t="inlineStr">
        <is>
          <t>Define KPIs: TCO reduction %, VM provisioning time, operational efficiency, performance improvement, space savings</t>
        </is>
      </c>
      <c r="F7" s="40" t="n"/>
      <c r="G7" s="39" t="inlineStr">
        <is>
          <t>Success metrics for project evaluation</t>
        </is>
      </c>
    </row>
    <row r="8">
      <c r="A8" s="41" t="inlineStr">
        <is>
          <t>BUS-007</t>
        </is>
      </c>
      <c r="B8" s="41" t="inlineStr">
        <is>
          <t>Business Requirements</t>
        </is>
      </c>
      <c r="C8" s="41" t="inlineStr">
        <is>
          <t>Timeline</t>
        </is>
      </c>
      <c r="D8" s="41" t="inlineStr">
        <is>
          <t>What is your expected timeline for HCI deployment?</t>
        </is>
      </c>
      <c r="E8" s="41" t="inlineStr">
        <is>
          <t>Typical ranges: 0-3 months, 3-6 months, 6-12 months, 12+ months</t>
        </is>
      </c>
      <c r="F8" s="40" t="n"/>
      <c r="G8" s="41" t="inlineStr">
        <is>
          <t>Project timeline expectations and constraints</t>
        </is>
      </c>
    </row>
    <row r="9">
      <c r="A9" s="39" t="inlineStr">
        <is>
          <t>BUS-008</t>
        </is>
      </c>
      <c r="B9" s="39" t="inlineStr">
        <is>
          <t>Business Requirements</t>
        </is>
      </c>
      <c r="C9" s="39" t="inlineStr">
        <is>
          <t>Budget</t>
        </is>
      </c>
      <c r="D9" s="39" t="inlineStr">
        <is>
          <t>What is your approved budget range for this HCI solution?</t>
        </is>
      </c>
      <c r="E9" s="39" t="inlineStr">
        <is>
          <t>Common ranges: $250K-500K, $500K-1M, $1M-2M, $2M+. Include hardware, software, services</t>
        </is>
      </c>
      <c r="F9" s="40" t="n"/>
      <c r="G9" s="39" t="inlineStr">
        <is>
          <t>Budget constraints for solution sizing</t>
        </is>
      </c>
    </row>
    <row r="10">
      <c r="A10" s="41" t="inlineStr">
        <is>
          <t>BUS-009</t>
        </is>
      </c>
      <c r="B10" s="41" t="inlineStr">
        <is>
          <t>Business Requirements</t>
        </is>
      </c>
      <c r="C10" s="41" t="inlineStr">
        <is>
          <t>Future Vision</t>
        </is>
      </c>
      <c r="D10" s="41" t="inlineStr">
        <is>
          <t>What is your long-term vision for infrastructure modernization?</t>
        </is>
      </c>
      <c r="E10" s="41" t="inlineStr">
        <is>
          <t>Consider: hybrid cloud adoption, container platforms, multi-cloud strategy, edge computing</t>
        </is>
      </c>
      <c r="F10" s="40" t="n"/>
      <c r="G10" s="41" t="inlineStr">
        <is>
          <t>Future roadmap and scalability planning</t>
        </is>
      </c>
    </row>
    <row r="11">
      <c r="A11" s="39" t="inlineStr">
        <is>
          <t>BUS-010</t>
        </is>
      </c>
      <c r="B11" s="39" t="inlineStr">
        <is>
          <t>Business Requirements</t>
        </is>
      </c>
      <c r="C11" s="39" t="inlineStr">
        <is>
          <t>Growth Projections</t>
        </is>
      </c>
      <c r="D11" s="39" t="inlineStr">
        <is>
          <t>How do you expect VM count and storage to grow over 3 years?</t>
        </is>
      </c>
      <c r="E11" s="39" t="inlineStr">
        <is>
          <t>Provide current counts and projected annual growth rates</t>
        </is>
      </c>
      <c r="F11" s="40" t="n"/>
      <c r="G11" s="39" t="inlineStr">
        <is>
          <t>Scalability requirements and capacity planning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TECH-001</t>
        </is>
      </c>
      <c r="B2" s="41" t="inlineStr">
        <is>
          <t>Technical Requirements</t>
        </is>
      </c>
      <c r="C2" s="41" t="inlineStr">
        <is>
          <t>Compute Requirements</t>
        </is>
      </c>
      <c r="D2" s="41" t="inlineStr">
        <is>
          <t>How many VMs do you currently run?</t>
        </is>
      </c>
      <c r="E2" s="41" t="inlineStr">
        <is>
          <t>Typical ranges: 50-100, 100-200, 200-400, 400-800, 800+</t>
        </is>
      </c>
      <c r="F2" s="40" t="n"/>
      <c r="G2" s="41" t="inlineStr">
        <is>
          <t>VM count drives cluster sizing</t>
        </is>
      </c>
    </row>
    <row r="3">
      <c r="A3" s="39" t="inlineStr">
        <is>
          <t>TECH-002</t>
        </is>
      </c>
      <c r="B3" s="39" t="inlineStr">
        <is>
          <t>Technical Requirements</t>
        </is>
      </c>
      <c r="C3" s="39" t="inlineStr">
        <is>
          <t>Compute Growth</t>
        </is>
      </c>
      <c r="D3" s="39" t="inlineStr">
        <is>
          <t>What is your expected VM growth over 3 years?</t>
        </is>
      </c>
      <c r="E3" s="39" t="inlineStr">
        <is>
          <t>Specify: current VM count, projected annual growth rate (%)</t>
        </is>
      </c>
      <c r="F3" s="40" t="n"/>
      <c r="G3" s="39" t="inlineStr">
        <is>
          <t>Expansion requirements and headroom planning</t>
        </is>
      </c>
    </row>
    <row r="4">
      <c r="A4" s="41" t="inlineStr">
        <is>
          <t>TECH-003</t>
        </is>
      </c>
      <c r="B4" s="41" t="inlineStr">
        <is>
          <t>Technical Requirements</t>
        </is>
      </c>
      <c r="C4" s="41" t="inlineStr">
        <is>
          <t>VM Profiles</t>
        </is>
      </c>
      <c r="D4" s="41" t="inlineStr">
        <is>
          <t>What are your typical VM resource profiles?</t>
        </is>
      </c>
      <c r="E4" s="41" t="inlineStr">
        <is>
          <t>Profiles: Small (2 vCPU 8GB), Medium (4 vCPU 16GB), Large (8 vCPU 32GB), Database (16+ vCPU 64+ GB)</t>
        </is>
      </c>
      <c r="F4" s="40" t="n"/>
      <c r="G4" s="41" t="inlineStr">
        <is>
          <t>Workload sizing and resource planning</t>
        </is>
      </c>
    </row>
    <row r="5">
      <c r="A5" s="39" t="inlineStr">
        <is>
          <t>TECH-004</t>
        </is>
      </c>
      <c r="B5" s="39" t="inlineStr">
        <is>
          <t>Technical Requirements</t>
        </is>
      </c>
      <c r="C5" s="39" t="inlineStr">
        <is>
          <t>Performance Tier</t>
        </is>
      </c>
      <c r="D5" s="39" t="inlineStr">
        <is>
          <t>What are your performance requirements?</t>
        </is>
      </c>
      <c r="E5" s="39" t="inlineStr">
        <is>
          <t>Performance: Standard (5K IOPS), High (15K IOPS), Extreme (50K+ IOPS all-flash NVMe)</t>
        </is>
      </c>
      <c r="F5" s="40" t="n"/>
      <c r="G5" s="39" t="inlineStr">
        <is>
          <t>Storage tier selection and cost optimization</t>
        </is>
      </c>
    </row>
    <row r="6">
      <c r="A6" s="41" t="inlineStr">
        <is>
          <t>TECH-005</t>
        </is>
      </c>
      <c r="B6" s="41" t="inlineStr">
        <is>
          <t>Technical Requirements</t>
        </is>
      </c>
      <c r="C6" s="41" t="inlineStr">
        <is>
          <t>Storage Capacity</t>
        </is>
      </c>
      <c r="D6" s="41" t="inlineStr">
        <is>
          <t>What is your current storage capacity requirement?</t>
        </is>
      </c>
      <c r="E6" s="41" t="inlineStr">
        <is>
          <t>Specify: total capacity (TB), usable capacity, growth projection</t>
        </is>
      </c>
      <c r="F6" s="40" t="n"/>
      <c r="G6" s="41" t="inlineStr">
        <is>
          <t>Storage sizing before deduplication/compression</t>
        </is>
      </c>
    </row>
    <row r="7">
      <c r="A7" s="39" t="inlineStr">
        <is>
          <t>TECH-006</t>
        </is>
      </c>
      <c r="B7" s="39" t="inlineStr">
        <is>
          <t>Technical Requirements</t>
        </is>
      </c>
      <c r="C7" s="39" t="inlineStr">
        <is>
          <t>Storage Growth</t>
        </is>
      </c>
      <c r="D7" s="39" t="inlineStr">
        <is>
          <t>What is your expected storage growth over 3 years?</t>
        </is>
      </c>
      <c r="E7" s="39" t="inlineStr">
        <is>
          <t>Specify: current capacity (TB), projected annual growth rate (%)</t>
        </is>
      </c>
      <c r="F7" s="40" t="n"/>
      <c r="G7" s="39" t="inlineStr">
        <is>
          <t>Expansion planning and capacity headroom</t>
        </is>
      </c>
    </row>
    <row r="8">
      <c r="A8" s="41" t="inlineStr">
        <is>
          <t>TECH-007</t>
        </is>
      </c>
      <c r="B8" s="41" t="inlineStr">
        <is>
          <t>Technical Requirements</t>
        </is>
      </c>
      <c r="C8" s="41" t="inlineStr">
        <is>
          <t>Deduplication Ratio</t>
        </is>
      </c>
      <c r="D8" s="41" t="inlineStr">
        <is>
          <t>What data deduplication ratio do you expect?</t>
        </is>
      </c>
      <c r="E8" s="41" t="inlineStr">
        <is>
          <t>Typical ratios: 1.5:1 (databases), 2:1 (VDI), 3:1 (file servers), 4:1 (backups)</t>
        </is>
      </c>
      <c r="F8" s="40" t="n"/>
      <c r="G8" s="41" t="inlineStr">
        <is>
          <t>Usable capacity calculation after dedup/compression</t>
        </is>
      </c>
    </row>
    <row r="9">
      <c r="A9" s="39" t="inlineStr">
        <is>
          <t>TECH-008</t>
        </is>
      </c>
      <c r="B9" s="39" t="inlineStr">
        <is>
          <t>Technical Requirements</t>
        </is>
      </c>
      <c r="C9" s="39" t="inlineStr">
        <is>
          <t>Workload Types</t>
        </is>
      </c>
      <c r="D9" s="39" t="inlineStr">
        <is>
          <t>What types of workloads will run on HCI?</t>
        </is>
      </c>
      <c r="E9" s="39" t="inlineStr">
        <is>
          <t>Workload types: Business applications, Databases (SQL, Oracle), VDI (virtual desktops), File servers, Dev/test, Containers</t>
        </is>
      </c>
      <c r="F9" s="40" t="n"/>
      <c r="G9" s="39" t="inlineStr">
        <is>
          <t>Workload characterization and requirements</t>
        </is>
      </c>
    </row>
    <row r="10">
      <c r="A10" s="41" t="inlineStr">
        <is>
          <t>TECH-009</t>
        </is>
      </c>
      <c r="B10" s="41" t="inlineStr">
        <is>
          <t>Technical Requirements</t>
        </is>
      </c>
      <c r="C10" s="41" t="inlineStr">
        <is>
          <t>Database Workloads</t>
        </is>
      </c>
      <c r="D10" s="41" t="inlineStr">
        <is>
          <t>Do you run database workloads on VMs?</t>
        </is>
      </c>
      <c r="E10" s="41" t="inlineStr">
        <is>
          <t>Database types: Microsoft SQL, Oracle, PostgreSQL, MySQL, SAP HANA, Other</t>
        </is>
      </c>
      <c r="F10" s="40" t="n"/>
      <c r="G10" s="41" t="inlineStr">
        <is>
          <t>Database sizing and performance requirements</t>
        </is>
      </c>
    </row>
    <row r="11">
      <c r="A11" s="39" t="inlineStr">
        <is>
          <t>TECH-010</t>
        </is>
      </c>
      <c r="B11" s="39" t="inlineStr">
        <is>
          <t>Technical Requirements</t>
        </is>
      </c>
      <c r="C11" s="39" t="inlineStr">
        <is>
          <t>VDI Requirements</t>
        </is>
      </c>
      <c r="D11" s="39" t="inlineStr">
        <is>
          <t>Do you plan to run VDI on HCI?</t>
        </is>
      </c>
      <c r="E11" s="39" t="inlineStr">
        <is>
          <t>VDI platforms: VMware Horizon, Citrix Virtual Apps and Desktops, Not planned</t>
        </is>
      </c>
      <c r="F11" s="40" t="n"/>
      <c r="G11" s="39" t="inlineStr">
        <is>
          <t>VDI user count and profile sizing</t>
        </is>
      </c>
    </row>
    <row r="12">
      <c r="A12" s="41" t="inlineStr">
        <is>
          <t>TECH-011</t>
        </is>
      </c>
      <c r="B12" s="41" t="inlineStr">
        <is>
          <t>Technical Requirements</t>
        </is>
      </c>
      <c r="C12" s="41" t="inlineStr">
        <is>
          <t>Virtualization Platform</t>
        </is>
      </c>
      <c r="D12" s="41" t="inlineStr">
        <is>
          <t>What virtualization platform do you use?</t>
        </is>
      </c>
      <c r="E12" s="41" t="inlineStr">
        <is>
          <t>Platforms: VMware vSphere, Microsoft Hyper-V, Not decided</t>
        </is>
      </c>
      <c r="F12" s="40" t="n"/>
      <c r="G12" s="41" t="inlineStr">
        <is>
          <t>Hypervisor compatibility and licensing</t>
        </is>
      </c>
    </row>
    <row r="13">
      <c r="A13" s="39" t="inlineStr">
        <is>
          <t>TECH-012</t>
        </is>
      </c>
      <c r="B13" s="39" t="inlineStr">
        <is>
          <t>Technical Requirements</t>
        </is>
      </c>
      <c r="C13" s="39" t="inlineStr">
        <is>
          <t>VMware Licensing</t>
        </is>
      </c>
      <c r="D13" s="39" t="inlineStr">
        <is>
          <t>What VMware licensing do you currently have?</t>
        </is>
      </c>
      <c r="E13" s="39" t="inlineStr">
        <is>
          <t>Licensing: vSphere Standard, Enterprise, Enterprise Plus, vSAN, ELA (Enterprise License Agreement)</t>
        </is>
      </c>
      <c r="F13" s="40" t="n"/>
      <c r="G13" s="39" t="inlineStr">
        <is>
          <t>License portability and cost optimization</t>
        </is>
      </c>
    </row>
    <row r="14">
      <c r="A14" s="41" t="inlineStr">
        <is>
          <t>TECH-013</t>
        </is>
      </c>
      <c r="B14" s="41" t="inlineStr">
        <is>
          <t>Technical Requirements</t>
        </is>
      </c>
      <c r="C14" s="41" t="inlineStr">
        <is>
          <t>Network Connectivity</t>
        </is>
      </c>
      <c r="D14" s="41" t="inlineStr">
        <is>
          <t>What network speeds are available in your data center?</t>
        </is>
      </c>
      <c r="E14" s="41" t="inlineStr">
        <is>
          <t>Network speeds: 10 GbE, 25 GbE, 40 GbE, 100 GbE</t>
        </is>
      </c>
      <c r="F14" s="40" t="n"/>
      <c r="G14" s="41" t="inlineStr">
        <is>
          <t>Fabric Interconnect and switch requirements</t>
        </is>
      </c>
    </row>
    <row r="15">
      <c r="A15" s="39" t="inlineStr">
        <is>
          <t>TECH-014</t>
        </is>
      </c>
      <c r="B15" s="39" t="inlineStr">
        <is>
          <t>Technical Requirements</t>
        </is>
      </c>
      <c r="C15" s="39" t="inlineStr">
        <is>
          <t>Network Design</t>
        </is>
      </c>
      <c r="D15" s="39" t="inlineStr">
        <is>
          <t>What is your data center network architecture?</t>
        </is>
      </c>
      <c r="E15" s="39" t="inlineStr">
        <is>
          <t>Architecture: Spine-leaf, Traditional 3-tier, Collapsed core, ToR switches, Other</t>
        </is>
      </c>
      <c r="F15" s="40" t="n"/>
      <c r="G15" s="39" t="inlineStr">
        <is>
          <t>Network integration and design requirements</t>
        </is>
      </c>
    </row>
    <row r="16">
      <c r="A16" s="41" t="inlineStr">
        <is>
          <t>TECH-015</t>
        </is>
      </c>
      <c r="B16" s="41" t="inlineStr">
        <is>
          <t>Technical Requirements</t>
        </is>
      </c>
      <c r="C16" s="41" t="inlineStr">
        <is>
          <t>Cluster Size</t>
        </is>
      </c>
      <c r="D16" s="41" t="inlineStr">
        <is>
          <t>What cluster size do you prefer?</t>
        </is>
      </c>
      <c r="E16" s="41" t="inlineStr">
        <is>
          <t>Cluster sizes: 3-node (minimum), 4-node (balanced), 6-node (large), 8+ node (very large)</t>
        </is>
      </c>
      <c r="F16" s="40" t="n"/>
      <c r="G16" s="41" t="inlineStr">
        <is>
          <t>Cluster sizing for capacity and redundancy</t>
        </is>
      </c>
    </row>
    <row r="17">
      <c r="A17" s="39" t="inlineStr">
        <is>
          <t>TECH-016</t>
        </is>
      </c>
      <c r="B17" s="39" t="inlineStr">
        <is>
          <t>Technical Requirements</t>
        </is>
      </c>
      <c r="C17" s="39" t="inlineStr">
        <is>
          <t>High Availability</t>
        </is>
      </c>
      <c r="D17" s="39" t="inlineStr">
        <is>
          <t>What HA and fault tolerance requirements do you have?</t>
        </is>
      </c>
      <c r="E17" s="39" t="inlineStr">
        <is>
          <t>HA requirements: N+1 redundancy, N+2 redundancy, Geographic redundancy, Site-level failover</t>
        </is>
      </c>
      <c r="F17" s="40" t="n"/>
      <c r="G17" s="39" t="inlineStr">
        <is>
          <t>Resilience and availability design</t>
        </is>
      </c>
    </row>
    <row r="18">
      <c r="A18" s="41" t="inlineStr">
        <is>
          <t>TECH-017</t>
        </is>
      </c>
      <c r="B18" s="41" t="inlineStr">
        <is>
          <t>Technical Requirements</t>
        </is>
      </c>
      <c r="C18" s="41" t="inlineStr">
        <is>
          <t>Disaster Recovery</t>
        </is>
      </c>
      <c r="D18" s="41" t="inlineStr">
        <is>
          <t>What disaster recovery requirements apply?</t>
        </is>
      </c>
      <c r="E18" s="41" t="inlineStr">
        <is>
          <t>DR requirements: Backup only, Async replication, Sync replication, Active-active sites, RPO/RTO targets</t>
        </is>
      </c>
      <c r="F18" s="40" t="n"/>
      <c r="G18" s="41" t="inlineStr">
        <is>
          <t>DR strategy and replication needs</t>
        </is>
      </c>
    </row>
    <row r="19">
      <c r="A19" s="39" t="inlineStr">
        <is>
          <t>TECH-018</t>
        </is>
      </c>
      <c r="B19" s="39" t="inlineStr">
        <is>
          <t>Technical Requirements</t>
        </is>
      </c>
      <c r="C19" s="39" t="inlineStr">
        <is>
          <t>Backup Integration</t>
        </is>
      </c>
      <c r="D19" s="39" t="inlineStr">
        <is>
          <t>What backup solution do you use?</t>
        </is>
      </c>
      <c r="E19" s="39" t="inlineStr">
        <is>
          <t>Backup platforms: Veeam, Commvault, Rubrik, Cohesity, Dell EMC Data Domain, Other</t>
        </is>
      </c>
      <c r="F19" s="40" t="n"/>
      <c r="G19" s="39" t="inlineStr">
        <is>
          <t>Backup integration and compatibility</t>
        </is>
      </c>
    </row>
    <row r="20">
      <c r="A20" s="41" t="inlineStr">
        <is>
          <t>TECH-019</t>
        </is>
      </c>
      <c r="B20" s="41" t="inlineStr">
        <is>
          <t>Technical Requirements</t>
        </is>
      </c>
      <c r="C20" s="41" t="inlineStr">
        <is>
          <t>Management Tools</t>
        </is>
      </c>
      <c r="D20" s="41" t="inlineStr">
        <is>
          <t>What infrastructure management tools do you currently use?</t>
        </is>
      </c>
      <c r="E20" s="41" t="inlineStr">
        <is>
          <t>Tools: vCenter, Cisco UCS Manager, SAN management consoles, Monitoring platforms, Other</t>
        </is>
      </c>
      <c r="F20" s="40" t="n"/>
      <c r="G20" s="41" t="inlineStr">
        <is>
          <t>Management ecosystem and integration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SEC-001</t>
        </is>
      </c>
      <c r="B2" s="41" t="inlineStr">
        <is>
          <t>Security &amp; Compliance</t>
        </is>
      </c>
      <c r="C2" s="41" t="inlineStr">
        <is>
          <t>Data Classification</t>
        </is>
      </c>
      <c r="D2" s="41" t="inlineStr">
        <is>
          <t>What is the highest data classification in your environment?</t>
        </is>
      </c>
      <c r="E2" s="41" t="inlineStr">
        <is>
          <t>Classification: Public, Internal, Confidential, Restricted/Regulated</t>
        </is>
      </c>
      <c r="F2" s="40" t="n"/>
      <c r="G2" s="41" t="inlineStr">
        <is>
          <t>Security controls and encryption requirements</t>
        </is>
      </c>
    </row>
    <row r="3">
      <c r="A3" s="39" t="inlineStr">
        <is>
          <t>SEC-002</t>
        </is>
      </c>
      <c r="B3" s="39" t="inlineStr">
        <is>
          <t>Security &amp; Compliance</t>
        </is>
      </c>
      <c r="C3" s="39" t="inlineStr">
        <is>
          <t>Compliance Standards</t>
        </is>
      </c>
      <c r="D3" s="39" t="inlineStr">
        <is>
          <t>What compliance standards must the infrastructure meet?</t>
        </is>
      </c>
      <c r="E3" s="39" t="inlineStr">
        <is>
          <t>Standards: SOC 2, ISO 27001, HIPAA, PCI DSS, FedRAMP, Industry-specific</t>
        </is>
      </c>
      <c r="F3" s="40" t="n"/>
      <c r="G3" s="39" t="inlineStr">
        <is>
          <t>Compliance controls and audit requirements</t>
        </is>
      </c>
    </row>
    <row r="4">
      <c r="A4" s="41" t="inlineStr">
        <is>
          <t>SEC-003</t>
        </is>
      </c>
      <c r="B4" s="41" t="inlineStr">
        <is>
          <t>Security &amp; Compliance</t>
        </is>
      </c>
      <c r="C4" s="41" t="inlineStr">
        <is>
          <t>Encryption</t>
        </is>
      </c>
      <c r="D4" s="41" t="inlineStr">
        <is>
          <t>What encryption requirements apply?</t>
        </is>
      </c>
      <c r="E4" s="41" t="inlineStr">
        <is>
          <t>Encryption: Data at rest (FIPS 140-2), Data in transit (TLS), Key management (KMS), Self-encrypting drives</t>
        </is>
      </c>
      <c r="F4" s="40" t="n"/>
      <c r="G4" s="41" t="inlineStr">
        <is>
          <t>Encryption architecture and key management</t>
        </is>
      </c>
    </row>
    <row r="5">
      <c r="A5" s="39" t="inlineStr">
        <is>
          <t>SEC-004</t>
        </is>
      </c>
      <c r="B5" s="39" t="inlineStr">
        <is>
          <t>Security &amp; Compliance</t>
        </is>
      </c>
      <c r="C5" s="39" t="inlineStr">
        <is>
          <t>Access Control</t>
        </is>
      </c>
      <c r="D5" s="39" t="inlineStr">
        <is>
          <t>What access control requirements apply to infrastructure management?</t>
        </is>
      </c>
      <c r="E5" s="39" t="inlineStr">
        <is>
          <t>Access control: RBAC, SSO (SAML/OIDC), MFA, Certificate-based auth, Privileged access management</t>
        </is>
      </c>
      <c r="F5" s="40" t="n"/>
      <c r="G5" s="39" t="inlineStr">
        <is>
          <t>Identity and access management requirements</t>
        </is>
      </c>
    </row>
    <row r="6">
      <c r="A6" s="41" t="inlineStr">
        <is>
          <t>SEC-005</t>
        </is>
      </c>
      <c r="B6" s="41" t="inlineStr">
        <is>
          <t>Security &amp; Compliance</t>
        </is>
      </c>
      <c r="C6" s="41" t="inlineStr">
        <is>
          <t>Network Security</t>
        </is>
      </c>
      <c r="D6" s="41" t="inlineStr">
        <is>
          <t>What network security controls are required?</t>
        </is>
      </c>
      <c r="E6" s="41" t="inlineStr">
        <is>
          <t>Controls: Network segmentation, VLANs, Firewall integration, IPS/IDS, Micro-segmentation</t>
        </is>
      </c>
      <c r="F6" s="40" t="n"/>
      <c r="G6" s="41" t="inlineStr">
        <is>
          <t>Security architecture and network isolation</t>
        </is>
      </c>
    </row>
    <row r="7">
      <c r="A7" s="39" t="inlineStr">
        <is>
          <t>SEC-006</t>
        </is>
      </c>
      <c r="B7" s="39" t="inlineStr">
        <is>
          <t>Security &amp; Compliance</t>
        </is>
      </c>
      <c r="C7" s="39" t="inlineStr">
        <is>
          <t>Audit Logging</t>
        </is>
      </c>
      <c r="D7" s="39" t="inlineStr">
        <is>
          <t>What audit and logging requirements apply?</t>
        </is>
      </c>
      <c r="E7" s="39" t="inlineStr">
        <is>
          <t>Requirements: Access logs, Change tracking, Compliance reporting, SIEM integration, Log retention periods</t>
        </is>
      </c>
      <c r="F7" s="40" t="n"/>
      <c r="G7" s="39" t="inlineStr">
        <is>
          <t>Audit trail and compliance reporting needs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OPS-001</t>
        </is>
      </c>
      <c r="B2" s="41" t="inlineStr">
        <is>
          <t>Operations &amp; Support</t>
        </is>
      </c>
      <c r="C2" s="41" t="inlineStr">
        <is>
          <t>Team Size</t>
        </is>
      </c>
      <c r="D2" s="41" t="inlineStr">
        <is>
          <t>How many infrastructure administrators support the environment?</t>
        </is>
      </c>
      <c r="E2" s="41" t="inlineStr">
        <is>
          <t>Specify: team size, roles (virtualization, storage, network), skill levels</t>
        </is>
      </c>
      <c r="F2" s="40" t="n"/>
      <c r="G2" s="41" t="inlineStr">
        <is>
          <t>Staffing and support model assessment</t>
        </is>
      </c>
    </row>
    <row r="3">
      <c r="A3" s="39" t="inlineStr">
        <is>
          <t>OPS-002</t>
        </is>
      </c>
      <c r="B3" s="39" t="inlineStr">
        <is>
          <t>Operations &amp; Support</t>
        </is>
      </c>
      <c r="C3" s="39" t="inlineStr">
        <is>
          <t>Expertise</t>
        </is>
      </c>
      <c r="D3" s="39" t="inlineStr">
        <is>
          <t>What is your team's Cisco UCS and VMware experience?</t>
        </is>
      </c>
      <c r="E3" s="39" t="inlineStr">
        <is>
          <t>Experience: Beginner, Intermediate, VCP certified, CCNP Data Center, Advanced/Expert</t>
        </is>
      </c>
      <c r="F3" s="40" t="n"/>
      <c r="G3" s="39" t="inlineStr">
        <is>
          <t>Training needs and enablement planning</t>
        </is>
      </c>
    </row>
    <row r="4">
      <c r="A4" s="41" t="inlineStr">
        <is>
          <t>OPS-003</t>
        </is>
      </c>
      <c r="B4" s="41" t="inlineStr">
        <is>
          <t>Operations &amp; Support</t>
        </is>
      </c>
      <c r="C4" s="41" t="inlineStr">
        <is>
          <t>Support Coverage</t>
        </is>
      </c>
      <c r="D4" s="41" t="inlineStr">
        <is>
          <t>What support coverage hours do you require?</t>
        </is>
      </c>
      <c r="E4" s="41" t="inlineStr">
        <is>
          <t>Coverage: Business hours (8x5), Extended (24x5), Full (24x7)</t>
        </is>
      </c>
      <c r="F4" s="40" t="n"/>
      <c r="G4" s="41" t="inlineStr">
        <is>
          <t>Support model and SLA requirements</t>
        </is>
      </c>
    </row>
    <row r="5">
      <c r="A5" s="39" t="inlineStr">
        <is>
          <t>OPS-004</t>
        </is>
      </c>
      <c r="B5" s="39" t="inlineStr">
        <is>
          <t>Operations &amp; Support</t>
        </is>
      </c>
      <c r="C5" s="39" t="inlineStr">
        <is>
          <t>Uptime Requirements</t>
        </is>
      </c>
      <c r="D5" s="39" t="inlineStr">
        <is>
          <t>What uptime SLA is required for infrastructure?</t>
        </is>
      </c>
      <c r="E5" s="39" t="inlineStr">
        <is>
          <t>SLA targets: 99%, 99.5%, 99.9%, 99.95%, 99.99%</t>
        </is>
      </c>
      <c r="F5" s="40" t="n"/>
      <c r="G5" s="39" t="inlineStr">
        <is>
          <t>High availability architecture requirements</t>
        </is>
      </c>
    </row>
    <row r="6">
      <c r="A6" s="41" t="inlineStr">
        <is>
          <t>OPS-005</t>
        </is>
      </c>
      <c r="B6" s="41" t="inlineStr">
        <is>
          <t>Operations &amp; Support</t>
        </is>
      </c>
      <c r="C6" s="41" t="inlineStr">
        <is>
          <t>Maintenance Windows</t>
        </is>
      </c>
      <c r="D6" s="41" t="inlineStr">
        <is>
          <t>What maintenance windows are available for upgrades?</t>
        </is>
      </c>
      <c r="E6" s="41" t="inlineStr">
        <is>
          <t>Windows: Weekly, Monthly, Quarterly, Emergency only</t>
        </is>
      </c>
      <c r="F6" s="40" t="n"/>
      <c r="G6" s="41" t="inlineStr">
        <is>
          <t>Change management and patching constraints</t>
        </is>
      </c>
    </row>
    <row r="7">
      <c r="A7" s="39" t="inlineStr">
        <is>
          <t>OPS-006</t>
        </is>
      </c>
      <c r="B7" s="39" t="inlineStr">
        <is>
          <t>Operations &amp; Support</t>
        </is>
      </c>
      <c r="C7" s="39" t="inlineStr">
        <is>
          <t>Monitoring Tools</t>
        </is>
      </c>
      <c r="D7" s="39" t="inlineStr">
        <is>
          <t>What infrastructure monitoring tools are in use?</t>
        </is>
      </c>
      <c r="E7" s="39" t="inlineStr">
        <is>
          <t>Tools: vRealize Operations, Cisco Intersight, SolarWinds, PRTG, Datadog, Prometheus, Other</t>
        </is>
      </c>
      <c r="F7" s="40" t="n"/>
      <c r="G7" s="39" t="inlineStr">
        <is>
          <t>Monitoring ecosystem and integration</t>
        </is>
      </c>
    </row>
    <row r="8">
      <c r="A8" s="41" t="inlineStr">
        <is>
          <t>OPS-007</t>
        </is>
      </c>
      <c r="B8" s="41" t="inlineStr">
        <is>
          <t>Operations &amp; Support</t>
        </is>
      </c>
      <c r="C8" s="41" t="inlineStr">
        <is>
          <t>Capacity Planning</t>
        </is>
      </c>
      <c r="D8" s="41" t="inlineStr">
        <is>
          <t>How is capacity planning currently performed?</t>
        </is>
      </c>
      <c r="E8" s="41" t="inlineStr">
        <is>
          <t>Methods: Manual tracking, Spreadsheets, vROps capacity management, RVTools reports, Ad-hoc</t>
        </is>
      </c>
      <c r="F8" s="40" t="n"/>
      <c r="G8" s="41" t="inlineStr">
        <is>
          <t>Capacity management maturity and tooling</t>
        </is>
      </c>
    </row>
    <row r="9">
      <c r="A9" s="39" t="inlineStr">
        <is>
          <t>OPS-008</t>
        </is>
      </c>
      <c r="B9" s="39" t="inlineStr">
        <is>
          <t>Operations &amp; Support</t>
        </is>
      </c>
      <c r="C9" s="39" t="inlineStr">
        <is>
          <t>Change Management</t>
        </is>
      </c>
      <c r="D9" s="39" t="inlineStr">
        <is>
          <t>What change management processes are in place?</t>
        </is>
      </c>
      <c r="E9" s="39" t="inlineStr">
        <is>
          <t>Processes: Change advisory board, ITIL workflows, ServiceNow integration, Approval gates, Ad-hoc</t>
        </is>
      </c>
      <c r="F9" s="40" t="n"/>
      <c r="G9" s="39" t="inlineStr">
        <is>
          <t>Change control and governance requirements</t>
        </is>
      </c>
    </row>
    <row r="10">
      <c r="A10" s="41" t="inlineStr">
        <is>
          <t>OPS-009</t>
        </is>
      </c>
      <c r="B10" s="41" t="inlineStr">
        <is>
          <t>Operations &amp; Support</t>
        </is>
      </c>
      <c r="C10" s="41" t="inlineStr">
        <is>
          <t>Documentation</t>
        </is>
      </c>
      <c r="D10" s="41" t="inlineStr">
        <is>
          <t>What infrastructure documentation standards apply?</t>
        </is>
      </c>
      <c r="E10" s="41" t="inlineStr">
        <is>
          <t>Documentation: Architecture diagrams, Runbooks, SOPs, Configuration standards, Asset inventory</t>
        </is>
      </c>
      <c r="F10" s="40" t="n"/>
      <c r="G10" s="41" t="inlineStr">
        <is>
          <t>Documentation scope and deliverables</t>
        </is>
      </c>
    </row>
    <row r="11">
      <c r="A11" s="39" t="inlineStr">
        <is>
          <t>OPS-010</t>
        </is>
      </c>
      <c r="B11" s="39" t="inlineStr">
        <is>
          <t>Operations &amp; Support</t>
        </is>
      </c>
      <c r="C11" s="39" t="inlineStr">
        <is>
          <t>Cloud Management</t>
        </is>
      </c>
      <c r="D11" s="39" t="inlineStr">
        <is>
          <t>Do you need unified on-prem and cloud management?</t>
        </is>
      </c>
      <c r="E11" s="39" t="inlineStr">
        <is>
          <t>Cloud platforms: AWS, Azure, Google Cloud, Multi-cloud, On-prem only</t>
        </is>
      </c>
      <c r="F11" s="40" t="n"/>
      <c r="G11" s="39" t="inlineStr">
        <is>
          <t>Hybrid cloud management with Intersight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IMPL-001</t>
        </is>
      </c>
      <c r="B2" s="41" t="inlineStr">
        <is>
          <t>Implementation Planning</t>
        </is>
      </c>
      <c r="C2" s="41" t="inlineStr">
        <is>
          <t>Resources</t>
        </is>
      </c>
      <c r="D2" s="41" t="inlineStr">
        <is>
          <t>Who will be the technical lead for this HCI project?</t>
        </is>
      </c>
      <c r="E2" s="41" t="inlineStr">
        <is>
          <t>Name, role, contact information</t>
        </is>
      </c>
      <c r="F2" s="40" t="n"/>
      <c r="G2" s="41" t="inlineStr">
        <is>
          <t>Technical ownership and project management</t>
        </is>
      </c>
    </row>
    <row r="3">
      <c r="A3" s="39" t="inlineStr">
        <is>
          <t>IMPL-002</t>
        </is>
      </c>
      <c r="B3" s="39" t="inlineStr">
        <is>
          <t>Implementation Planning</t>
        </is>
      </c>
      <c r="C3" s="39" t="inlineStr">
        <is>
          <t>Team Availability</t>
        </is>
      </c>
      <c r="D3" s="39" t="inlineStr">
        <is>
          <t>What internal resources are available for HCI implementation?</t>
        </is>
      </c>
      <c r="E3" s="39" t="inlineStr">
        <is>
          <t>List team members, roles, time commitment (hours per week)</t>
        </is>
      </c>
      <c r="F3" s="40" t="n"/>
      <c r="G3" s="39" t="inlineStr">
        <is>
          <t>Resource planning and project timeline feasibility</t>
        </is>
      </c>
    </row>
    <row r="4">
      <c r="A4" s="41" t="inlineStr">
        <is>
          <t>IMPL-003</t>
        </is>
      </c>
      <c r="B4" s="41" t="inlineStr">
        <is>
          <t>Implementation Planning</t>
        </is>
      </c>
      <c r="C4" s="41" t="inlineStr">
        <is>
          <t>Data Center Readiness</t>
        </is>
      </c>
      <c r="D4" s="41" t="inlineStr">
        <is>
          <t>Is your data center ready for HCI deployment?</t>
        </is>
      </c>
      <c r="E4" s="41" t="inlineStr">
        <is>
          <t>Readiness: Rack space available, Power capacity (30A per node), Cooling capacity, Network cabling</t>
        </is>
      </c>
      <c r="F4" s="40" t="n"/>
      <c r="G4" s="41" t="inlineStr">
        <is>
          <t>Physical infrastructure requirements</t>
        </is>
      </c>
    </row>
    <row r="5">
      <c r="A5" s="39" t="inlineStr">
        <is>
          <t>IMPL-004</t>
        </is>
      </c>
      <c r="B5" s="39" t="inlineStr">
        <is>
          <t>Implementation Planning</t>
        </is>
      </c>
      <c r="C5" s="39" t="inlineStr">
        <is>
          <t>Network Readiness</t>
        </is>
      </c>
      <c r="D5" s="39" t="inlineStr">
        <is>
          <t>Are network switches and cabling ready for HCI?</t>
        </is>
      </c>
      <c r="E5" s="39" t="inlineStr">
        <is>
          <t>Readiness: 25GbE switches, Fiber/DAC cabling, VLANs configured, IP addresses allocated</t>
        </is>
      </c>
      <c r="F5" s="40" t="n"/>
      <c r="G5" s="39" t="inlineStr">
        <is>
          <t>Network prerequisites and integration</t>
        </is>
      </c>
    </row>
    <row r="6">
      <c r="A6" s="41" t="inlineStr">
        <is>
          <t>IMPL-005</t>
        </is>
      </c>
      <c r="B6" s="41" t="inlineStr">
        <is>
          <t>Implementation Planning</t>
        </is>
      </c>
      <c r="C6" s="41" t="inlineStr">
        <is>
          <t>Migration Approach</t>
        </is>
      </c>
      <c r="D6" s="41" t="inlineStr">
        <is>
          <t>What is your preferred VM migration approach?</t>
        </is>
      </c>
      <c r="E6" s="41" t="inlineStr">
        <is>
          <t>Options: Phased migration, Big bang cutover, Parallel run, Storage vMotion, Cold migration</t>
        </is>
      </c>
      <c r="F6" s="40" t="n"/>
      <c r="G6" s="41" t="inlineStr">
        <is>
          <t>Migration strategy and risk mitigation</t>
        </is>
      </c>
    </row>
    <row r="7">
      <c r="A7" s="39" t="inlineStr">
        <is>
          <t>IMPL-006</t>
        </is>
      </c>
      <c r="B7" s="39" t="inlineStr">
        <is>
          <t>Implementation Planning</t>
        </is>
      </c>
      <c r="C7" s="39" t="inlineStr">
        <is>
          <t>Migration Scope</t>
        </is>
      </c>
      <c r="D7" s="39" t="inlineStr">
        <is>
          <t>How many VMs need migration from legacy infrastructure?</t>
        </is>
      </c>
      <c r="E7" s="39" t="inlineStr">
        <is>
          <t>Specify: total VMs, migration waves, dependencies, migration window constraints</t>
        </is>
      </c>
      <c r="F7" s="40" t="n"/>
      <c r="G7" s="39" t="inlineStr">
        <is>
          <t>Migration planning and scheduling</t>
        </is>
      </c>
    </row>
    <row r="8">
      <c r="A8" s="41" t="inlineStr">
        <is>
          <t>IMPL-007</t>
        </is>
      </c>
      <c r="B8" s="41" t="inlineStr">
        <is>
          <t>Implementation Planning</t>
        </is>
      </c>
      <c r="C8" s="41" t="inlineStr">
        <is>
          <t>Downtime Tolerance</t>
        </is>
      </c>
      <c r="D8" s="41" t="inlineStr">
        <is>
          <t>What downtime is acceptable during VM migration?</t>
        </is>
      </c>
      <c r="E8" s="41" t="inlineStr">
        <is>
          <t>Tolerance: Zero downtime (vMotion), Minimal (&lt;5 min), Planned windows, Business impact constraints</t>
        </is>
      </c>
      <c r="F8" s="40" t="n"/>
      <c r="G8" s="41" t="inlineStr">
        <is>
          <t>Migration methodology selection</t>
        </is>
      </c>
    </row>
    <row r="9">
      <c r="A9" s="39" t="inlineStr">
        <is>
          <t>IMPL-008</t>
        </is>
      </c>
      <c r="B9" s="39" t="inlineStr">
        <is>
          <t>Implementation Planning</t>
        </is>
      </c>
      <c r="C9" s="39" t="inlineStr">
        <is>
          <t>Testing Requirements</t>
        </is>
      </c>
      <c r="D9" s="39" t="inlineStr">
        <is>
          <t>What testing and validation is required before cutover?</t>
        </is>
      </c>
      <c r="E9" s="39" t="inlineStr">
        <is>
          <t>Testing: Performance benchmarks, Application validation, Failover testing, User acceptance testing</t>
        </is>
      </c>
      <c r="F9" s="40" t="n"/>
      <c r="G9" s="39" t="inlineStr">
        <is>
          <t>Testing and validation requirements</t>
        </is>
      </c>
    </row>
    <row r="10">
      <c r="A10" s="41" t="inlineStr">
        <is>
          <t>IMPL-009</t>
        </is>
      </c>
      <c r="B10" s="41" t="inlineStr">
        <is>
          <t>Implementation Planning</t>
        </is>
      </c>
      <c r="C10" s="41" t="inlineStr">
        <is>
          <t>Training Needs</t>
        </is>
      </c>
      <c r="D10" s="41" t="inlineStr">
        <is>
          <t>What training will be needed for infrastructure team?</t>
        </is>
      </c>
      <c r="E10" s="41" t="inlineStr">
        <is>
          <t>Training: HyperFlex admin, vSphere on HyperFlex, Intersight management, Troubleshooting, Best practices</t>
        </is>
      </c>
      <c r="F10" s="40" t="n"/>
      <c r="G10" s="41" t="inlineStr">
        <is>
          <t>Knowledge transfer scope and timeline</t>
        </is>
      </c>
    </row>
    <row r="11">
      <c r="A11" s="39" t="inlineStr">
        <is>
          <t>IMPL-010</t>
        </is>
      </c>
      <c r="B11" s="39" t="inlineStr">
        <is>
          <t>Implementation Planning</t>
        </is>
      </c>
      <c r="C11" s="39" t="inlineStr">
        <is>
          <t>Vendor Coordination</t>
        </is>
      </c>
      <c r="D11" s="39" t="inlineStr">
        <is>
          <t>What vendor coordination is required for HCI deployment?</t>
        </is>
      </c>
      <c r="E11" s="39" t="inlineStr">
        <is>
          <t>Coordination: VMware licensing, Backup vendor integration, Network team, Application owners, Other vendors</t>
        </is>
      </c>
      <c r="F11" s="40" t="n"/>
      <c r="G11" s="39" t="inlineStr">
        <is>
          <t>Stakeholder management and dependencies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RISK-001</t>
        </is>
      </c>
      <c r="B2" s="41" t="inlineStr">
        <is>
          <t>Risk &amp; Constraints</t>
        </is>
      </c>
      <c r="C2" s="41" t="inlineStr">
        <is>
          <t>Implementation Risks</t>
        </is>
      </c>
      <c r="D2" s="41" t="inlineStr">
        <is>
          <t>What are your main concerns about implementing HCI?</t>
        </is>
      </c>
      <c r="E2" s="41" t="inlineStr">
        <is>
          <t>Concerns: Migration complexity, Performance risk, Vendor lock-in, Team readiness, Budget constraints, Timeline pressure</t>
        </is>
      </c>
      <c r="F2" s="40" t="n"/>
      <c r="G2" s="41" t="inlineStr">
        <is>
          <t>Primary implementation concerns and risk factors</t>
        </is>
      </c>
    </row>
    <row r="3">
      <c r="A3" s="39" t="inlineStr">
        <is>
          <t>RISK-002</t>
        </is>
      </c>
      <c r="B3" s="39" t="inlineStr">
        <is>
          <t>Risk &amp; Constraints</t>
        </is>
      </c>
      <c r="C3" s="39" t="inlineStr">
        <is>
          <t>Migration Risks</t>
        </is>
      </c>
      <c r="D3" s="39" t="inlineStr">
        <is>
          <t>What are your concerns about VM migration?</t>
        </is>
      </c>
      <c r="E3" s="39" t="inlineStr">
        <is>
          <t>Risks: Application downtime, Data loss, Performance degradation, Migration failures, User impact</t>
        </is>
      </c>
      <c r="F3" s="40" t="n"/>
      <c r="G3" s="39" t="inlineStr">
        <is>
          <t>Migration risk mitigation strategies</t>
        </is>
      </c>
    </row>
    <row r="4">
      <c r="A4" s="41" t="inlineStr">
        <is>
          <t>RISK-003</t>
        </is>
      </c>
      <c r="B4" s="41" t="inlineStr">
        <is>
          <t>Risk &amp; Constraints</t>
        </is>
      </c>
      <c r="C4" s="41" t="inlineStr">
        <is>
          <t>Performance Risks</t>
        </is>
      </c>
      <c r="D4" s="41" t="inlineStr">
        <is>
          <t>What performance concerns do you have about HCI?</t>
        </is>
      </c>
      <c r="E4" s="41" t="inlineStr">
        <is>
          <t>Concerns: Database IOPS, Storage latency, Network throughput, Resource contention, Noisy neighbor</t>
        </is>
      </c>
      <c r="F4" s="40" t="n"/>
      <c r="G4" s="41" t="inlineStr">
        <is>
          <t>Performance validation and testing requirements</t>
        </is>
      </c>
    </row>
    <row r="5">
      <c r="A5" s="39" t="inlineStr">
        <is>
          <t>RISK-004</t>
        </is>
      </c>
      <c r="B5" s="39" t="inlineStr">
        <is>
          <t>Risk &amp; Constraints</t>
        </is>
      </c>
      <c r="C5" s="39" t="inlineStr">
        <is>
          <t>Vendor Lock-In</t>
        </is>
      </c>
      <c r="D5" s="39" t="inlineStr">
        <is>
          <t>Are you concerned about vendor lock-in with HCI?</t>
        </is>
      </c>
      <c r="E5" s="39" t="inlineStr">
        <is>
          <t>Concerns: Cisco/VMware dependency, Data migration difficulty, Licensing costs, Exit strategy</t>
        </is>
      </c>
      <c r="F5" s="40" t="n"/>
      <c r="G5" s="39" t="inlineStr">
        <is>
          <t>Vendor strategy and risk mitigation</t>
        </is>
      </c>
    </row>
    <row r="6">
      <c r="A6" s="41" t="inlineStr">
        <is>
          <t>RISK-005</t>
        </is>
      </c>
      <c r="B6" s="41" t="inlineStr">
        <is>
          <t>Risk &amp; Constraints</t>
        </is>
      </c>
      <c r="C6" s="41" t="inlineStr">
        <is>
          <t>Skill Gaps</t>
        </is>
      </c>
      <c r="D6" s="41" t="inlineStr">
        <is>
          <t>What skill gaps exist for supporting HCI?</t>
        </is>
      </c>
      <c r="E6" s="41" t="inlineStr">
        <is>
          <t>Skill gaps: HyperFlex administration, vSphere advanced features, Storage troubleshooting, Network fabric, Intersight management</t>
        </is>
      </c>
      <c r="F6" s="40" t="n"/>
      <c r="G6" s="41" t="inlineStr">
        <is>
          <t>Training and hiring requirements</t>
        </is>
      </c>
    </row>
    <row r="7">
      <c r="A7" s="39" t="inlineStr">
        <is>
          <t>RISK-006</t>
        </is>
      </c>
      <c r="B7" s="39" t="inlineStr">
        <is>
          <t>Risk &amp; Constraints</t>
        </is>
      </c>
      <c r="C7" s="39" t="inlineStr">
        <is>
          <t>Dependencies</t>
        </is>
      </c>
      <c r="D7" s="39" t="inlineStr">
        <is>
          <t>What external dependencies exist for this project?</t>
        </is>
      </c>
      <c r="E7" s="39" t="inlineStr">
        <is>
          <t>Dependencies: Budget approvals, Hardware lead times, Network upgrades, Power/cooling upgrades, Vendor availability</t>
        </is>
      </c>
      <c r="F7" s="40" t="n"/>
      <c r="G7" s="39" t="inlineStr">
        <is>
          <t>Project dependencies and critical path items</t>
        </is>
      </c>
    </row>
    <row r="8">
      <c r="A8" s="41" t="inlineStr">
        <is>
          <t>RISK-007</t>
        </is>
      </c>
      <c r="B8" s="41" t="inlineStr">
        <is>
          <t>Risk &amp; Constraints</t>
        </is>
      </c>
      <c r="C8" s="41" t="inlineStr">
        <is>
          <t>Constraints</t>
        </is>
      </c>
      <c r="D8" s="41" t="inlineStr">
        <is>
          <t>What constraints must the HCI solution work within?</t>
        </is>
      </c>
      <c r="E8" s="41" t="inlineStr">
        <is>
          <t>Constraints: Budget limits, Timeline, Rack space, Power capacity, Cooling capacity, Organizational policies</t>
        </is>
      </c>
      <c r="F8" s="40" t="n"/>
      <c r="G8" s="41" t="inlineStr">
        <is>
          <t>Solution design boundaries and constraints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2025-11-22T23:08:17Z</dcterms:modified>
  <cp:lastModifiedBy>Kishan Siram</cp:lastModifiedBy>
</cp:coreProperties>
</file>