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izing Guidelines" sheetId="2" state="visible" r:id="rId2"/>
    <sheet xmlns:r="http://schemas.openxmlformats.org/officeDocument/2006/relationships" name="Infrastructure Costs" sheetId="3" state="visible" r:id="rId3"/>
    <sheet xmlns:r="http://schemas.openxmlformats.org/officeDocument/2006/relationships" name="Credits" sheetId="4" state="visible" r:id="rId4"/>
    <sheet xmlns:r="http://schemas.openxmlformats.org/officeDocument/2006/relationships" name="3-Year Summary" sheetId="5" state="visible" r:id="rId5"/>
  </sheets>
  <definedNames>
    <definedName name="_xlnm._FilterDatabase" localSheetId="1" hidden="1">'Sizing Guidelines'!$A$2:$F$9</definedName>
    <definedName name="_xlnm._FilterDatabase" localSheetId="2" hidden="1">'Infrastructure Costs'!$A$2:$K$11</definedName>
    <definedName name="_xlnm._FilterDatabase" localSheetId="3" hidden="1">'Credits'!$A$2:$D$6</definedName>
    <definedName name="_xlnm._FilterDatabase" localSheetId="4" hidden="1">'3-Year Summary'!$A$2:$G$6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$#,##0.00"/>
  </numFmts>
  <fonts count="20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color rgb="FF5D6D7E"/>
      <sz val="11"/>
      <u val="single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5D6D7E"/>
      <sz val="14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color rgb="FF2C3E50"/>
      <sz val="11"/>
    </font>
    <font>
      <name val="Calibri"/>
      <b val="1"/>
      <color rgb="FF2C3E50"/>
      <sz val="11"/>
    </font>
    <font>
      <name val="Calibri"/>
      <b val="1"/>
      <color rgb="FFCC0000"/>
      <sz val="11"/>
    </font>
  </fonts>
  <fills count="11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5" fillId="5" borderId="2" applyAlignment="1" pivotButton="0" quotePrefix="0" xfId="0">
      <alignment horizontal="right" vertical="center" wrapText="1" indent="1"/>
    </xf>
    <xf numFmtId="0" fontId="6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9" fontId="11" fillId="8" borderId="4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2" fillId="4" borderId="2" applyAlignment="1" pivotButton="0" quotePrefix="0" xfId="0">
      <alignment horizontal="right" wrapText="1"/>
    </xf>
    <xf numFmtId="164" fontId="12" fillId="0" borderId="2" applyAlignment="1" pivotButton="0" quotePrefix="0" xfId="0">
      <alignment horizontal="right" wrapText="1"/>
    </xf>
    <xf numFmtId="164" fontId="12" fillId="4" borderId="2" applyAlignment="1" pivotButton="0" quotePrefix="0" xfId="0">
      <alignment horizontal="right" wrapText="1" indent="1"/>
    </xf>
    <xf numFmtId="164" fontId="12" fillId="0" borderId="2" applyAlignment="1" pivotButton="0" quotePrefix="0" xfId="0">
      <alignment horizontal="right" wrapText="1" indent="1"/>
    </xf>
    <xf numFmtId="164" fontId="14" fillId="5" borderId="2" applyAlignment="1" pivotButton="0" quotePrefix="0" xfId="0">
      <alignment horizontal="right" wrapText="1" indent="1"/>
    </xf>
    <xf numFmtId="0" fontId="12" fillId="4" borderId="2" applyAlignment="1" pivotButton="0" quotePrefix="0" xfId="0">
      <alignment horizontal="right" vertical="center" wrapText="1"/>
    </xf>
    <xf numFmtId="0" fontId="12" fillId="0" borderId="2" applyAlignment="1" pivotButton="0" quotePrefix="0" xfId="0">
      <alignment horizontal="right" vertical="center" wrapText="1"/>
    </xf>
    <xf numFmtId="0" fontId="5" fillId="5" borderId="2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left" vertical="center" wrapText="1" indent="1"/>
    </xf>
    <xf numFmtId="0" fontId="12" fillId="4" borderId="2" applyAlignment="1" pivotButton="0" quotePrefix="0" xfId="0">
      <alignment horizontal="left" vertical="center" wrapText="1" indent="1"/>
    </xf>
    <xf numFmtId="0" fontId="12" fillId="0" borderId="2" applyAlignment="1" pivotButton="0" quotePrefix="0" xfId="0">
      <alignment horizontal="left" vertical="center" wrapText="1" indent="1"/>
    </xf>
    <xf numFmtId="0" fontId="13" fillId="6" borderId="4" applyAlignment="1" pivotButton="0" quotePrefix="0" xfId="0">
      <alignment horizontal="left" vertical="center" wrapText="1" indent="1"/>
    </xf>
    <xf numFmtId="0" fontId="7" fillId="9" borderId="3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0" fontId="16" fillId="3" borderId="5" applyAlignment="1" pivotButton="0" quotePrefix="0" xfId="0">
      <alignment horizontal="center" vertical="center" wrapText="1"/>
    </xf>
    <xf numFmtId="0" fontId="15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5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18" fillId="4" borderId="5" applyAlignment="1" pivotButton="0" quotePrefix="0" xfId="0">
      <alignment horizontal="left" vertical="center" wrapText="1" indent="1"/>
    </xf>
    <xf numFmtId="0" fontId="17" fillId="4" borderId="5" applyAlignment="1" pivotButton="0" quotePrefix="0" xfId="0">
      <alignment horizontal="left" vertical="center" wrapText="1" indent="1"/>
    </xf>
    <xf numFmtId="3" fontId="17" fillId="4" borderId="5" applyAlignment="1" pivotButton="0" quotePrefix="0" xfId="0">
      <alignment horizontal="right" vertical="center" wrapText="1"/>
    </xf>
    <xf numFmtId="165" fontId="17" fillId="4" borderId="5" applyAlignment="1" pivotButton="0" quotePrefix="0" xfId="0">
      <alignment horizontal="right" vertical="center" wrapText="1"/>
    </xf>
    <xf numFmtId="0" fontId="18" fillId="10" borderId="5" applyAlignment="1" pivotButton="0" quotePrefix="0" xfId="0">
      <alignment horizontal="left" vertical="center" wrapText="1" indent="1"/>
    </xf>
    <xf numFmtId="0" fontId="17" fillId="10" borderId="5" applyAlignment="1" pivotButton="0" quotePrefix="0" xfId="0">
      <alignment horizontal="left" vertical="center" wrapText="1" indent="1"/>
    </xf>
    <xf numFmtId="3" fontId="17" fillId="10" borderId="5" applyAlignment="1" pivotButton="0" quotePrefix="0" xfId="0">
      <alignment horizontal="right" vertical="center" wrapText="1"/>
    </xf>
    <xf numFmtId="165" fontId="17" fillId="10" borderId="5" applyAlignment="1" pivotButton="0" quotePrefix="0" xfId="0">
      <alignment horizontal="right" vertical="center" wrapText="1"/>
    </xf>
    <xf numFmtId="0" fontId="19" fillId="5" borderId="5" applyAlignment="1" pivotButton="0" quotePrefix="0" xfId="0">
      <alignment horizontal="left" vertical="center"/>
    </xf>
    <xf numFmtId="0" fontId="19" fillId="5" borderId="5" applyAlignment="1" pivotButton="0" quotePrefix="0" xfId="0">
      <alignment horizontal="center" vertical="center"/>
    </xf>
    <xf numFmtId="165" fontId="19" fillId="5" borderId="5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238250" cy="3143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workbookViewId="0">
      <selection activeCell="E24" sqref="E24"/>
    </sheetView>
  </sheetViews>
  <sheetFormatPr baseColWidth="8" defaultRowHeight="14.5"/>
  <cols>
    <col width="3" customWidth="1" min="1" max="1"/>
    <col width="25" customWidth="1" min="2" max="2"/>
    <col width="40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16" t="inlineStr">
        <is>
          <t>[DOCUMENT TITLE]</t>
        </is>
      </c>
    </row>
    <row r="4" ht="25" customHeight="1">
      <c r="B4" s="15" t="inlineStr">
        <is>
          <t>Infrastructure Costs</t>
        </is>
      </c>
    </row>
    <row r="5" ht="30" customHeight="1">
      <c r="B5" t="inlineStr">
        <is>
          <t>Presales Document</t>
        </is>
      </c>
    </row>
    <row r="6" ht="18" customHeight="1">
      <c r="B6" s="2" t="inlineStr">
        <is>
          <t>Generated:</t>
        </is>
      </c>
      <c r="C6" s="3" t="inlineStr">
        <is>
          <t>November 16, 2025</t>
        </is>
      </c>
    </row>
    <row r="7" ht="18" customHeight="1">
      <c r="B7" s="2" t="inlineStr">
        <is>
          <t>Solution:</t>
        </is>
      </c>
      <c r="C7" s="3" t="inlineStr">
        <is>
          <t>November 24, 2025</t>
        </is>
      </c>
    </row>
    <row r="8" ht="18" customHeight="1">
      <c r="B8" s="2" t="inlineStr">
        <is>
          <t>Customer:</t>
        </is>
      </c>
      <c r="C8" s="3" t="inlineStr">
        <is>
          <t>Hybrid Infrastructure</t>
        </is>
      </c>
    </row>
    <row r="9" ht="18" customHeight="1">
      <c r="B9" s="2" t="inlineStr">
        <is>
          <t>Version:</t>
        </is>
      </c>
      <c r="C9" s="3" t="inlineStr">
        <is>
          <t>[Customer Name]</t>
        </is>
      </c>
    </row>
    <row r="10" ht="18" customHeight="1">
      <c r="B10" s="2" t="inlineStr">
        <is>
          <t>Status:</t>
        </is>
      </c>
      <c r="C10" s="4" t="inlineStr">
        <is>
          <t>Draft</t>
        </is>
      </c>
    </row>
    <row r="11" ht="40" customHeight="1"/>
    <row r="12" ht="30" customHeight="1">
      <c r="C12" s="5" t="inlineStr">
        <is>
          <t>eoframework.org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8" customWidth="1" min="3" max="3"/>
    <col width="28" customWidth="1" min="4" max="4"/>
    <col width="28" customWidth="1" min="5" max="5"/>
    <col width="51" customWidth="1" min="6" max="6"/>
  </cols>
  <sheetData>
    <row r="1" ht="32" customHeight="1">
      <c r="A1" s="35" t="inlineStr">
        <is>
          <t>Sizing Guidelines</t>
        </is>
      </c>
    </row>
    <row r="2" ht="32" customHeight="1">
      <c r="A2" s="36" t="inlineStr">
        <is>
          <t>Category</t>
        </is>
      </c>
      <c r="B2" s="36" t="inlineStr">
        <is>
          <t>Component</t>
        </is>
      </c>
      <c r="C2" s="36" t="inlineStr">
        <is>
          <t>Small</t>
        </is>
      </c>
      <c r="D2" s="36" t="inlineStr">
        <is>
          <t>Medium</t>
        </is>
      </c>
      <c r="E2" s="36" t="inlineStr">
        <is>
          <t>Large</t>
        </is>
      </c>
      <c r="F2" s="36" t="inlineStr">
        <is>
          <t>Notes</t>
        </is>
      </c>
    </row>
    <row r="3" ht="26" customHeight="1">
      <c r="A3" s="37" t="inlineStr">
        <is>
          <t>Compute Capacity</t>
        </is>
      </c>
      <c r="B3" s="38" t="inlineStr">
        <is>
          <t>VM Count</t>
        </is>
      </c>
      <c r="C3" s="39" t="inlineStr">
        <is>
          <t>50-100 VMs</t>
        </is>
      </c>
      <c r="D3" s="39" t="inlineStr">
        <is>
          <t>100-200 VMs</t>
        </is>
      </c>
      <c r="E3" s="39" t="inlineStr">
        <is>
          <t>200-400+ VMs</t>
        </is>
      </c>
      <c r="F3" s="38" t="inlineStr">
        <is>
          <t>Virtual machine capacity</t>
        </is>
      </c>
    </row>
    <row r="4" ht="26" customHeight="1">
      <c r="A4" s="40" t="inlineStr">
        <is>
          <t>Compute Capacity</t>
        </is>
      </c>
      <c r="B4" s="41" t="inlineStr">
        <is>
          <t>vCPU Count</t>
        </is>
      </c>
      <c r="C4" s="42" t="inlineStr">
        <is>
          <t>128 vCPUs</t>
        </is>
      </c>
      <c r="D4" s="42" t="inlineStr">
        <is>
          <t>256 vCPUs</t>
        </is>
      </c>
      <c r="E4" s="42" t="inlineStr">
        <is>
          <t>512+ vCPUs</t>
        </is>
      </c>
      <c r="F4" s="41" t="inlineStr">
        <is>
          <t>Total virtual CPUs available</t>
        </is>
      </c>
    </row>
    <row r="5" ht="26" customHeight="1">
      <c r="A5" s="37" t="inlineStr">
        <is>
          <t>Memory Capacity</t>
        </is>
      </c>
      <c r="B5" s="38" t="inlineStr">
        <is>
          <t>Total RAM</t>
        </is>
      </c>
      <c r="C5" s="39" t="inlineStr">
        <is>
          <t>1.5 TB</t>
        </is>
      </c>
      <c r="D5" s="39" t="inlineStr">
        <is>
          <t>3 TB</t>
        </is>
      </c>
      <c r="E5" s="39" t="inlineStr">
        <is>
          <t>6+ TB</t>
        </is>
      </c>
      <c r="F5" s="38" t="inlineStr">
        <is>
          <t>Total memory across cluster</t>
        </is>
      </c>
    </row>
    <row r="6" ht="26" customHeight="1">
      <c r="A6" s="40" t="inlineStr">
        <is>
          <t>Storage Capacity</t>
        </is>
      </c>
      <c r="B6" s="41" t="inlineStr">
        <is>
          <t>Usable Storage</t>
        </is>
      </c>
      <c r="C6" s="42" t="inlineStr">
        <is>
          <t>10 TB</t>
        </is>
      </c>
      <c r="D6" s="42" t="inlineStr">
        <is>
          <t>20 TB</t>
        </is>
      </c>
      <c r="E6" s="42" t="inlineStr">
        <is>
          <t>40+ TB</t>
        </is>
      </c>
      <c r="F6" s="41" t="inlineStr">
        <is>
          <t>Usable after RAID and dedup/compression</t>
        </is>
      </c>
    </row>
    <row r="7" ht="26" customHeight="1">
      <c r="A7" s="37" t="inlineStr">
        <is>
          <t>Cluster Size</t>
        </is>
      </c>
      <c r="B7" s="38" t="inlineStr">
        <is>
          <t>Node Count</t>
        </is>
      </c>
      <c r="C7" s="39" t="inlineStr">
        <is>
          <t>3 nodes</t>
        </is>
      </c>
      <c r="D7" s="39" t="inlineStr">
        <is>
          <t>4 nodes</t>
        </is>
      </c>
      <c r="E7" s="39" t="inlineStr">
        <is>
          <t>6-8+ nodes</t>
        </is>
      </c>
      <c r="F7" s="38" t="inlineStr">
        <is>
          <t>HyperFlex nodes for HA and capacity</t>
        </is>
      </c>
    </row>
    <row r="8" ht="26" customHeight="1">
      <c r="A8" s="40" t="inlineStr">
        <is>
          <t>Node Performance</t>
        </is>
      </c>
      <c r="B8" s="41" t="inlineStr">
        <is>
          <t>Storage Type</t>
        </is>
      </c>
      <c r="C8" s="42" t="inlineStr">
        <is>
          <t>Hybrid (HDD+SSD)</t>
        </is>
      </c>
      <c r="D8" s="42" t="inlineStr">
        <is>
          <t>All-Flash SSD</t>
        </is>
      </c>
      <c r="E8" s="42" t="inlineStr">
        <is>
          <t>All-Flash NVMe</t>
        </is>
      </c>
      <c r="F8" s="41" t="inlineStr">
        <is>
          <t>Performance tier and IOPS</t>
        </is>
      </c>
    </row>
    <row r="9" ht="26" customHeight="1">
      <c r="A9" s="37" t="inlineStr">
        <is>
          <t>Network Fabric</t>
        </is>
      </c>
      <c r="B9" s="38" t="inlineStr">
        <is>
          <t>Fabric Interconnect</t>
        </is>
      </c>
      <c r="C9" s="39" t="inlineStr">
        <is>
          <t>UCS 6324 (1G/10G)</t>
        </is>
      </c>
      <c r="D9" s="39" t="inlineStr">
        <is>
          <t>UCS 6454 (25G)</t>
        </is>
      </c>
      <c r="E9" s="39" t="inlineStr">
        <is>
          <t>UCS 6536 (100G)</t>
        </is>
      </c>
      <c r="F9" s="38" t="inlineStr">
        <is>
          <t>Unified network and SAN fabric</t>
        </is>
      </c>
    </row>
  </sheetData>
  <autoFilter ref="A2:F9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30" customWidth="1" min="2" max="2"/>
    <col width="50" customWidth="1" min="3" max="3"/>
    <col width="12" customWidth="1" min="4" max="4"/>
    <col width="15" customWidth="1" min="5" max="5"/>
    <col width="12" customWidth="1" min="6" max="6"/>
    <col width="15" customWidth="1" min="7" max="7"/>
    <col width="12" customWidth="1" min="8" max="8"/>
    <col width="12" customWidth="1" min="9" max="9"/>
    <col width="15" customWidth="1" min="10" max="10"/>
    <col width="30" customWidth="1" min="11" max="11"/>
  </cols>
  <sheetData>
    <row r="1" ht="32" customHeight="1">
      <c r="A1" s="35" t="inlineStr">
        <is>
          <t>Infrastructure Costs</t>
        </is>
      </c>
    </row>
    <row r="2" ht="32" customHeight="1">
      <c r="A2" s="36" t="inlineStr">
        <is>
          <t>Category</t>
        </is>
      </c>
      <c r="B2" s="36" t="inlineStr">
        <is>
          <t>Component</t>
        </is>
      </c>
      <c r="C2" s="36" t="inlineStr">
        <is>
          <t>Description</t>
        </is>
      </c>
      <c r="D2" s="36" t="inlineStr">
        <is>
          <t>Quantity</t>
        </is>
      </c>
      <c r="E2" s="36" t="inlineStr">
        <is>
          <t>Unit</t>
        </is>
      </c>
      <c r="F2" s="36" t="inlineStr">
        <is>
          <t>Unit Price</t>
        </is>
      </c>
      <c r="G2" s="36" t="inlineStr">
        <is>
          <t>Annual Cost</t>
        </is>
      </c>
      <c r="H2" s="36" t="inlineStr">
        <is>
          <t>Year 2</t>
        </is>
      </c>
      <c r="I2" s="36" t="inlineStr">
        <is>
          <t>Year 3</t>
        </is>
      </c>
      <c r="J2" s="36" t="inlineStr">
        <is>
          <t>3-Year Total</t>
        </is>
      </c>
      <c r="K2" s="36" t="inlineStr">
        <is>
          <t>Notes</t>
        </is>
      </c>
    </row>
    <row r="3" ht="26" customHeight="1">
      <c r="A3" s="43" t="inlineStr">
        <is>
          <t>Hardware</t>
        </is>
      </c>
      <c r="B3" s="44" t="inlineStr">
        <is>
          <t>HyperFlex HX240c M5 Node</t>
        </is>
      </c>
      <c r="C3" s="44" t="inlineStr">
        <is>
          <t>4-node cluster (2x Xeon Gold 768GB 7.68TB NVMe)</t>
        </is>
      </c>
      <c r="D3" s="45" t="n">
        <v>4</v>
      </c>
      <c r="E3" s="44" t="inlineStr">
        <is>
          <t>Nodes</t>
        </is>
      </c>
      <c r="F3" s="46" t="n">
        <v>52000</v>
      </c>
      <c r="G3" s="46" t="n">
        <v>208000</v>
      </c>
      <c r="H3" s="46" t="n">
        <v>0</v>
      </c>
      <c r="I3" s="46" t="n">
        <v>0</v>
      </c>
      <c r="J3" s="46" t="n">
        <v>208000</v>
      </c>
      <c r="K3" s="44" t="inlineStr">
        <is>
          <t>Compute and storage nodes</t>
        </is>
      </c>
    </row>
    <row r="4" ht="26" customHeight="1">
      <c r="A4" s="47" t="inlineStr">
        <is>
          <t>Hardware</t>
        </is>
      </c>
      <c r="B4" s="48" t="inlineStr">
        <is>
          <t>Cisco UCS 6454 Fabric Interconnect</t>
        </is>
      </c>
      <c r="C4" s="48" t="inlineStr">
        <is>
          <t>Redundant pair for unified network and SAN</t>
        </is>
      </c>
      <c r="D4" s="49" t="n">
        <v>2</v>
      </c>
      <c r="E4" s="48" t="inlineStr">
        <is>
          <t>Fabric Interconnects</t>
        </is>
      </c>
      <c r="F4" s="50" t="n">
        <v>28000</v>
      </c>
      <c r="G4" s="50" t="n">
        <v>56000</v>
      </c>
      <c r="H4" s="50" t="n">
        <v>0</v>
      </c>
      <c r="I4" s="50" t="n">
        <v>0</v>
      </c>
      <c r="J4" s="50" t="n">
        <v>56000</v>
      </c>
      <c r="K4" s="48" t="inlineStr">
        <is>
          <t>25GbE/100GbE fabric switches</t>
        </is>
      </c>
    </row>
    <row r="5" ht="26" customHeight="1">
      <c r="A5" s="43" t="inlineStr">
        <is>
          <t>Hardware</t>
        </is>
      </c>
      <c r="B5" s="44" t="inlineStr">
        <is>
          <t>Cisco Nexus 93180YC-EX</t>
        </is>
      </c>
      <c r="C5" s="44" t="inlineStr">
        <is>
          <t>25GbE ToR switches (redundant pair)</t>
        </is>
      </c>
      <c r="D5" s="45" t="n">
        <v>2</v>
      </c>
      <c r="E5" s="44" t="inlineStr">
        <is>
          <t>Switches</t>
        </is>
      </c>
      <c r="F5" s="46" t="n">
        <v>15000</v>
      </c>
      <c r="G5" s="46" t="n">
        <v>30000</v>
      </c>
      <c r="H5" s="46" t="n">
        <v>0</v>
      </c>
      <c r="I5" s="46" t="n">
        <v>0</v>
      </c>
      <c r="J5" s="46" t="n">
        <v>30000</v>
      </c>
      <c r="K5" s="44" t="inlineStr">
        <is>
          <t>Data center network connectivity</t>
        </is>
      </c>
    </row>
    <row r="6" ht="26" customHeight="1">
      <c r="A6" s="47" t="inlineStr">
        <is>
          <t>Software Licenses</t>
        </is>
      </c>
      <c r="B6" s="48" t="inlineStr">
        <is>
          <t>VMware vSphere Enterprise Plus</t>
        </is>
      </c>
      <c r="C6" s="48" t="inlineStr">
        <is>
          <t>Per-socket licensing (8 sockets total)</t>
        </is>
      </c>
      <c r="D6" s="49" t="n">
        <v>8</v>
      </c>
      <c r="E6" s="48" t="inlineStr">
        <is>
          <t>Sockets/Year</t>
        </is>
      </c>
      <c r="F6" s="50" t="n">
        <v>5750</v>
      </c>
      <c r="G6" s="50">
        <f>D6*F6</f>
        <v/>
      </c>
      <c r="H6" s="50">
        <f>G6</f>
        <v/>
      </c>
      <c r="I6" s="50">
        <f>G6</f>
        <v/>
      </c>
      <c r="J6" s="50">
        <f>G6+H6+I6</f>
        <v/>
      </c>
      <c r="K6" s="48" t="inlineStr">
        <is>
          <t>Hypervisor and vMotion licensing</t>
        </is>
      </c>
    </row>
    <row r="7" ht="26" customHeight="1">
      <c r="A7" s="43" t="inlineStr">
        <is>
          <t>Software Licenses</t>
        </is>
      </c>
      <c r="B7" s="44" t="inlineStr">
        <is>
          <t>HyperFlex Data Platform</t>
        </is>
      </c>
      <c r="C7" s="44" t="inlineStr">
        <is>
          <t>Storage software per node (4 nodes)</t>
        </is>
      </c>
      <c r="D7" s="45" t="n">
        <v>4</v>
      </c>
      <c r="E7" s="44" t="inlineStr">
        <is>
          <t>Nodes/Year</t>
        </is>
      </c>
      <c r="F7" s="46" t="n">
        <v>15000</v>
      </c>
      <c r="G7" s="46">
        <f>D7*F7</f>
        <v/>
      </c>
      <c r="H7" s="46">
        <f>G7</f>
        <v/>
      </c>
      <c r="I7" s="46">
        <f>G7</f>
        <v/>
      </c>
      <c r="J7" s="46">
        <f>G7+H7+I7</f>
        <v/>
      </c>
      <c r="K7" s="44" t="inlineStr">
        <is>
          <t>Distributed storage and data services</t>
        </is>
      </c>
    </row>
    <row r="8" ht="26" customHeight="1">
      <c r="A8" s="47" t="inlineStr">
        <is>
          <t>Software Licenses</t>
        </is>
      </c>
      <c r="B8" s="48" t="inlineStr">
        <is>
          <t>Cisco Intersight Advantage</t>
        </is>
      </c>
      <c r="C8" s="48" t="inlineStr">
        <is>
          <t>Cloud-based management per node</t>
        </is>
      </c>
      <c r="D8" s="49" t="n">
        <v>4</v>
      </c>
      <c r="E8" s="48" t="inlineStr">
        <is>
          <t>Nodes/Year</t>
        </is>
      </c>
      <c r="F8" s="50" t="n">
        <v>2000</v>
      </c>
      <c r="G8" s="50">
        <f>D8*F8</f>
        <v/>
      </c>
      <c r="H8" s="50">
        <f>G8</f>
        <v/>
      </c>
      <c r="I8" s="50">
        <f>G8</f>
        <v/>
      </c>
      <c r="J8" s="50">
        <f>G8+H8+I8</f>
        <v/>
      </c>
      <c r="K8" s="48" t="inlineStr">
        <is>
          <t>Unified infrastructure management</t>
        </is>
      </c>
    </row>
    <row r="9" ht="26" customHeight="1">
      <c r="A9" s="43" t="inlineStr">
        <is>
          <t>Support &amp; Maintenance</t>
        </is>
      </c>
      <c r="B9" s="44" t="inlineStr">
        <is>
          <t>Cisco SmartNet 24x7x4</t>
        </is>
      </c>
      <c r="C9" s="44" t="inlineStr">
        <is>
          <t>Hardware support for HX nodes and fabric</t>
        </is>
      </c>
      <c r="D9" s="45" t="n">
        <v>4</v>
      </c>
      <c r="E9" s="44" t="inlineStr">
        <is>
          <t>Nodes/Year</t>
        </is>
      </c>
      <c r="F9" s="46" t="n">
        <v>10000</v>
      </c>
      <c r="G9" s="46">
        <f>D9*F9</f>
        <v/>
      </c>
      <c r="H9" s="46">
        <f>G9</f>
        <v/>
      </c>
      <c r="I9" s="46">
        <f>G9</f>
        <v/>
      </c>
      <c r="J9" s="46">
        <f>G9+H9+I9</f>
        <v/>
      </c>
      <c r="K9" s="44" t="inlineStr">
        <is>
          <t>24x7 support with 4-hour replacement</t>
        </is>
      </c>
    </row>
    <row r="10" ht="26" customHeight="1">
      <c r="A10" s="47" t="inlineStr">
        <is>
          <t>Support &amp; Maintenance</t>
        </is>
      </c>
      <c r="B10" s="48" t="inlineStr">
        <is>
          <t>VMware Production Support</t>
        </is>
      </c>
      <c r="C10" s="48" t="inlineStr">
        <is>
          <t>VMware technical support</t>
        </is>
      </c>
      <c r="D10" s="49" t="n">
        <v>8</v>
      </c>
      <c r="E10" s="48" t="inlineStr">
        <is>
          <t>Sockets/Year</t>
        </is>
      </c>
      <c r="F10" s="50" t="n">
        <v>1500</v>
      </c>
      <c r="G10" s="50">
        <f>D10*F10</f>
        <v/>
      </c>
      <c r="H10" s="50">
        <f>G10</f>
        <v/>
      </c>
      <c r="I10" s="50">
        <f>G10</f>
        <v/>
      </c>
      <c r="J10" s="50">
        <f>G10+H10+I10</f>
        <v/>
      </c>
      <c r="K10" s="48" t="inlineStr">
        <is>
          <t>24x7 VMware support and updates</t>
        </is>
      </c>
    </row>
    <row r="11" ht="26" customHeight="1">
      <c r="A11" s="51" t="inlineStr">
        <is>
          <t>TOTAL</t>
        </is>
      </c>
      <c r="B11" s="52" t="n"/>
      <c r="C11" s="52" t="n"/>
      <c r="D11" s="52" t="n"/>
      <c r="E11" s="52" t="n"/>
      <c r="F11" s="52" t="n"/>
      <c r="G11" s="53">
        <f>SUM(G3:G10)</f>
        <v/>
      </c>
      <c r="H11" s="53">
        <f>SUM(H3:H10)</f>
        <v/>
      </c>
      <c r="I11" s="53">
        <f>SUM(I3:I10)</f>
        <v/>
      </c>
      <c r="J11" s="53">
        <f>SUM(J3:J10)</f>
        <v/>
      </c>
      <c r="K11" s="52" t="n"/>
    </row>
  </sheetData>
  <autoFilter ref="A2:K11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50" customWidth="1" min="4" max="4"/>
  </cols>
  <sheetData>
    <row r="1" ht="32" customHeight="1">
      <c r="A1" s="35" t="inlineStr">
        <is>
          <t>Credits</t>
        </is>
      </c>
    </row>
    <row r="2" ht="32" customHeight="1">
      <c r="A2" s="36" t="inlineStr">
        <is>
          <t>Category</t>
        </is>
      </c>
      <c r="B2" s="36" t="inlineStr">
        <is>
          <t>Credit Type</t>
        </is>
      </c>
      <c r="C2" s="36" t="inlineStr">
        <is>
          <t>Credit Amount</t>
        </is>
      </c>
      <c r="D2" s="36" t="inlineStr">
        <is>
          <t>Credit Comments</t>
        </is>
      </c>
    </row>
    <row r="3" ht="26" customHeight="1">
      <c r="A3" s="43" t="inlineStr">
        <is>
          <t>Hardware</t>
        </is>
      </c>
      <c r="B3" s="44" t="inlineStr">
        <is>
          <t>Trade-In Credit</t>
        </is>
      </c>
      <c r="C3" s="46" t="n">
        <v>-15000</v>
      </c>
      <c r="D3" s="44" t="inlineStr">
        <is>
          <t>Legacy server trade-in credit</t>
        </is>
      </c>
    </row>
    <row r="4" ht="26" customHeight="1">
      <c r="A4" s="47" t="inlineStr">
        <is>
          <t>Software Licenses</t>
        </is>
      </c>
      <c r="B4" s="48" t="inlineStr">
        <is>
          <t>VMware ELA Credit</t>
        </is>
      </c>
      <c r="C4" s="50" t="n">
        <v>-20000</v>
      </c>
      <c r="D4" s="48" t="inlineStr">
        <is>
          <t>Existing Enterprise License Agreement credit</t>
        </is>
      </c>
    </row>
    <row r="5" ht="26" customHeight="1">
      <c r="A5" s="43" t="inlineStr">
        <is>
          <t>Support &amp; Maintenance</t>
        </is>
      </c>
      <c r="B5" s="44" t="inlineStr">
        <is>
          <t>Renewal Credit</t>
        </is>
      </c>
      <c r="C5" s="46" t="n">
        <v>0</v>
      </c>
      <c r="D5" s="44" t="inlineStr">
        <is>
          <t>No support renewal credits</t>
        </is>
      </c>
    </row>
    <row r="6" ht="26" customHeight="1">
      <c r="A6" s="47" t="inlineStr">
        <is>
          <t>Professional Services</t>
        </is>
      </c>
      <c r="B6" s="48" t="inlineStr">
        <is>
          <t>Implementation Credit</t>
        </is>
      </c>
      <c r="C6" s="50" t="n">
        <v>0</v>
      </c>
      <c r="D6" s="48" t="inlineStr">
        <is>
          <t>No services credits available</t>
        </is>
      </c>
    </row>
  </sheetData>
  <autoFilter ref="A2:D6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2" customWidth="1" min="5" max="5"/>
    <col width="12" customWidth="1" min="6" max="6"/>
    <col width="15" customWidth="1" min="7" max="7"/>
  </cols>
  <sheetData>
    <row r="1" ht="32" customHeight="1">
      <c r="A1" s="35" t="inlineStr">
        <is>
          <t>3-Year Summary</t>
        </is>
      </c>
    </row>
    <row r="2" ht="32" customHeight="1">
      <c r="A2" s="36" t="inlineStr">
        <is>
          <t>Category</t>
        </is>
      </c>
      <c r="B2" s="36" t="inlineStr">
        <is>
          <t>Year 1 List</t>
        </is>
      </c>
      <c r="C2" s="36" t="inlineStr">
        <is>
          <t>Year 1 Credits</t>
        </is>
      </c>
      <c r="D2" s="36" t="inlineStr">
        <is>
          <t>Year 1 Net</t>
        </is>
      </c>
      <c r="E2" s="36" t="inlineStr">
        <is>
          <t>Year 2</t>
        </is>
      </c>
      <c r="F2" s="36" t="inlineStr">
        <is>
          <t>Year 3</t>
        </is>
      </c>
      <c r="G2" s="36" t="inlineStr">
        <is>
          <t>3-Year Total</t>
        </is>
      </c>
    </row>
    <row r="3" ht="26" customHeight="1">
      <c r="A3" s="43" t="inlineStr">
        <is>
          <t>Hardware</t>
        </is>
      </c>
      <c r="B3" s="46">
        <f>SUMIF('Infrastructure Costs'!$A:$A,A3,'Infrastructure Costs'!$G:$G)</f>
        <v/>
      </c>
      <c r="C3" s="46">
        <f>SUMIF(Credits!$A:$A,A3,Credits!$C:$C)</f>
        <v/>
      </c>
      <c r="D3" s="46">
        <f>B3+C3</f>
        <v/>
      </c>
      <c r="E3" s="46">
        <f>SUMIF('Infrastructure Costs'!$A:$A,A3,'Infrastructure Costs'!$H:$H)</f>
        <v/>
      </c>
      <c r="F3" s="46">
        <f>SUMIF('Infrastructure Costs'!$A:$A,A3,'Infrastructure Costs'!$I:$I)</f>
        <v/>
      </c>
      <c r="G3" s="46">
        <f>D3+E3+F3</f>
        <v/>
      </c>
    </row>
    <row r="4" ht="26" customHeight="1">
      <c r="A4" s="47" t="inlineStr">
        <is>
          <t>Software Licenses</t>
        </is>
      </c>
      <c r="B4" s="50">
        <f>SUMIF('Infrastructure Costs'!$A:$A,A4,'Infrastructure Costs'!$G:$G)</f>
        <v/>
      </c>
      <c r="C4" s="50">
        <f>SUMIF(Credits!$A:$A,A4,Credits!$C:$C)</f>
        <v/>
      </c>
      <c r="D4" s="50">
        <f>B4+C4</f>
        <v/>
      </c>
      <c r="E4" s="50">
        <f>SUMIF('Infrastructure Costs'!$A:$A,A4,'Infrastructure Costs'!$H:$H)</f>
        <v/>
      </c>
      <c r="F4" s="50">
        <f>SUMIF('Infrastructure Costs'!$A:$A,A4,'Infrastructure Costs'!$I:$I)</f>
        <v/>
      </c>
      <c r="G4" s="50">
        <f>D4+E4+F4</f>
        <v/>
      </c>
    </row>
    <row r="5" ht="26" customHeight="1">
      <c r="A5" s="43" t="inlineStr">
        <is>
          <t>Support &amp; Maintenance</t>
        </is>
      </c>
      <c r="B5" s="46">
        <f>SUMIF('Infrastructure Costs'!$A:$A,A5,'Infrastructure Costs'!$G:$G)</f>
        <v/>
      </c>
      <c r="C5" s="46">
        <f>SUMIF(Credits!$A:$A,A5,Credits!$C:$C)</f>
        <v/>
      </c>
      <c r="D5" s="46">
        <f>B5+C5</f>
        <v/>
      </c>
      <c r="E5" s="46">
        <f>SUMIF('Infrastructure Costs'!$A:$A,A5,'Infrastructure Costs'!$H:$H)</f>
        <v/>
      </c>
      <c r="F5" s="46">
        <f>SUMIF('Infrastructure Costs'!$A:$A,A5,'Infrastructure Costs'!$I:$I)</f>
        <v/>
      </c>
      <c r="G5" s="46">
        <f>D5+E5+F5</f>
        <v/>
      </c>
    </row>
    <row r="6" ht="26" customHeight="1">
      <c r="A6" s="51" t="inlineStr">
        <is>
          <t>TOTAL</t>
        </is>
      </c>
      <c r="B6" s="53">
        <f>SUM(B3:B5)</f>
        <v/>
      </c>
      <c r="C6" s="53">
        <f>SUM(C3:C5)</f>
        <v/>
      </c>
      <c r="D6" s="53">
        <f>SUM(D3:D5)</f>
        <v/>
      </c>
      <c r="E6" s="53">
        <f>SUM(E3:E5)</f>
        <v/>
      </c>
      <c r="F6" s="53">
        <f>SUM(F3:F5)</f>
        <v/>
      </c>
      <c r="G6" s="53">
        <f>SUM(G3:G5)</f>
        <v/>
      </c>
    </row>
  </sheetData>
  <autoFilter ref="A2:G6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2025-11-25T04:29:18Z</dcterms:modified>
  <cp:lastModifiedBy>Kishan Siram</cp:lastModifiedBy>
</cp:coreProperties>
</file>