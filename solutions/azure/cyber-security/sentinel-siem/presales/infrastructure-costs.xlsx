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Costs'!$A$2:$K$28</definedName>
    <definedName name="_xlnm._FilterDatabase" localSheetId="3" hidden="1">'Credits'!$A$2:$D$7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Sentinel Siem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Infrastructure</t>
        </is>
      </c>
      <c r="B3" s="38" t="inlineStr">
        <is>
          <t>Sentinel Data Ingestion</t>
        </is>
      </c>
      <c r="C3" s="39" t="inlineStr">
        <is>
          <t>100-300 GB/month</t>
        </is>
      </c>
      <c r="D3" s="39" t="inlineStr">
        <is>
          <t>300-1000 GB/month</t>
        </is>
      </c>
      <c r="E3" s="39" t="inlineStr">
        <is>
          <t>1+ TB/month</t>
        </is>
      </c>
      <c r="F3" s="38" t="inlineStr">
        <is>
          <t>Daily security log volume</t>
        </is>
      </c>
    </row>
    <row r="4" ht="26" customHeight="1">
      <c r="A4" s="40" t="inlineStr">
        <is>
          <t>Cloud Infrastructure</t>
        </is>
      </c>
      <c r="B4" s="41" t="inlineStr">
        <is>
          <t>Log Analytics Volume</t>
        </is>
      </c>
      <c r="C4" s="42" t="inlineStr">
        <is>
          <t>100-300 GB/month</t>
        </is>
      </c>
      <c r="D4" s="42" t="inlineStr">
        <is>
          <t>300-1000 GB/month</t>
        </is>
      </c>
      <c r="E4" s="42" t="inlineStr">
        <is>
          <t>1+ TB/month</t>
        </is>
      </c>
      <c r="F4" s="41" t="inlineStr">
        <is>
          <t>Total logging capacity</t>
        </is>
      </c>
    </row>
    <row r="5" ht="26" customHeight="1">
      <c r="A5" s="37" t="inlineStr">
        <is>
          <t>Cloud Infrastructure</t>
        </is>
      </c>
      <c r="B5" s="38" t="inlineStr">
        <is>
          <t>Defender for Cloud Servers</t>
        </is>
      </c>
      <c r="C5" s="39" t="inlineStr">
        <is>
          <t>50-100 servers</t>
        </is>
      </c>
      <c r="D5" s="39" t="inlineStr">
        <is>
          <t>100-500 servers</t>
        </is>
      </c>
      <c r="E5" s="39" t="inlineStr">
        <is>
          <t>500+ servers</t>
        </is>
      </c>
      <c r="F5" s="38" t="inlineStr">
        <is>
          <t>Protected server count</t>
        </is>
      </c>
    </row>
    <row r="6" ht="26" customHeight="1">
      <c r="A6" s="40" t="inlineStr">
        <is>
          <t>Cloud Infrastructure</t>
        </is>
      </c>
      <c r="B6" s="41" t="inlineStr">
        <is>
          <t>Automation Runbooks</t>
        </is>
      </c>
      <c r="C6" s="42" t="inlineStr">
        <is>
          <t>5-10 playbooks</t>
        </is>
      </c>
      <c r="D6" s="42" t="inlineStr">
        <is>
          <t>10-25 playbooks</t>
        </is>
      </c>
      <c r="E6" s="42" t="inlineStr">
        <is>
          <t>25+ playbooks</t>
        </is>
      </c>
      <c r="F6" s="41" t="inlineStr">
        <is>
          <t>SOAR automation complexity</t>
        </is>
      </c>
    </row>
    <row r="7" ht="26" customHeight="1">
      <c r="A7" s="37" t="inlineStr">
        <is>
          <t>Software Licenses</t>
        </is>
      </c>
      <c r="B7" s="38" t="inlineStr">
        <is>
          <t>Data Connector Count</t>
        </is>
      </c>
      <c r="C7" s="39" t="inlineStr">
        <is>
          <t>5-10 connectors</t>
        </is>
      </c>
      <c r="D7" s="39" t="inlineStr">
        <is>
          <t>10-25 connectors</t>
        </is>
      </c>
      <c r="E7" s="39" t="inlineStr">
        <is>
          <t>25+ connectors</t>
        </is>
      </c>
      <c r="F7" s="38" t="inlineStr">
        <is>
          <t>Integrated security sources</t>
        </is>
      </c>
    </row>
    <row r="8" ht="26" customHeight="1">
      <c r="A8" s="40" t="inlineStr">
        <is>
          <t>Software Licenses</t>
        </is>
      </c>
      <c r="B8" s="41" t="inlineStr">
        <is>
          <t>External SIEM Integrations</t>
        </is>
      </c>
      <c r="C8" s="42" t="inlineStr">
        <is>
          <t>0-2 systems</t>
        </is>
      </c>
      <c r="D8" s="42" t="inlineStr">
        <is>
          <t>2-5 systems</t>
        </is>
      </c>
      <c r="E8" s="42" t="inlineStr">
        <is>
          <t>5+ systems</t>
        </is>
      </c>
      <c r="F8" s="41" t="inlineStr">
        <is>
          <t>Third-party integrations</t>
        </is>
      </c>
    </row>
    <row r="9" ht="26" customHeight="1">
      <c r="A9" s="37" t="inlineStr">
        <is>
          <t>Support &amp; Maintenance</t>
        </is>
      </c>
      <c r="B9" s="38" t="inlineStr">
        <is>
          <t>SOC Team Size</t>
        </is>
      </c>
      <c r="C9" s="39" t="inlineStr">
        <is>
          <t>1-3 analysts</t>
        </is>
      </c>
      <c r="D9" s="39" t="inlineStr">
        <is>
          <t>3-8 analysts</t>
        </is>
      </c>
      <c r="E9" s="39" t="inlineStr">
        <is>
          <t>8+ analysts</t>
        </is>
      </c>
      <c r="F9" s="38" t="inlineStr">
        <is>
          <t>Security operations team</t>
        </is>
      </c>
    </row>
    <row r="10" ht="26" customHeight="1">
      <c r="A10" s="40" t="inlineStr">
        <is>
          <t>Support &amp; Maintenance</t>
        </is>
      </c>
      <c r="B10" s="41" t="inlineStr">
        <is>
          <t>Support Level</t>
        </is>
      </c>
      <c r="C10" s="42" t="inlineStr">
        <is>
          <t>Business hours</t>
        </is>
      </c>
      <c r="D10" s="42" t="inlineStr">
        <is>
          <t>24x5 support</t>
        </is>
      </c>
      <c r="E10" s="42" t="inlineStr">
        <is>
          <t>24x7 SOC</t>
        </is>
      </c>
      <c r="F10" s="41" t="inlineStr">
        <is>
          <t>Security operations coverage</t>
        </is>
      </c>
    </row>
    <row r="11" ht="26" customHeight="1">
      <c r="A11" s="37" t="inlineStr">
        <is>
          <t>Professional Services</t>
        </is>
      </c>
      <c r="B11" s="38" t="inlineStr">
        <is>
          <t>Implementation Hours</t>
        </is>
      </c>
      <c r="C11" s="39" t="inlineStr">
        <is>
          <t>400-600 hours</t>
        </is>
      </c>
      <c r="D11" s="39" t="inlineStr">
        <is>
          <t>600-900 hours</t>
        </is>
      </c>
      <c r="E11" s="39" t="inlineStr">
        <is>
          <t>1000+ hours</t>
        </is>
      </c>
      <c r="F11" s="38" t="inlineStr">
        <is>
          <t>Detection rules and playbooks complexity</t>
        </is>
      </c>
    </row>
    <row r="12" ht="26" customHeight="1">
      <c r="A12" s="40" t="inlineStr">
        <is>
          <t>Professional Services</t>
        </is>
      </c>
      <c r="B12" s="41" t="inlineStr">
        <is>
          <t>Custom Detection Rules</t>
        </is>
      </c>
      <c r="C12" s="42" t="inlineStr">
        <is>
          <t>20-50 rules</t>
        </is>
      </c>
      <c r="D12" s="42" t="inlineStr">
        <is>
          <t>50-100 rules</t>
        </is>
      </c>
      <c r="E12" s="42" t="inlineStr">
        <is>
          <t>100+ rules</t>
        </is>
      </c>
      <c r="F12" s="41" t="inlineStr">
        <is>
          <t>KQL analytics rules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Infrastructure</t>
        </is>
      </c>
      <c r="B3" s="44" t="inlineStr">
        <is>
          <t>Sentinel Data Ingestion</t>
        </is>
      </c>
      <c r="C3" s="44" t="inlineStr">
        <is>
          <t>Data ingestion and analysis</t>
        </is>
      </c>
      <c r="D3" s="45" t="n">
        <v>300</v>
      </c>
      <c r="E3" s="44" t="inlineStr">
        <is>
          <t>GB/Month</t>
        </is>
      </c>
      <c r="F3" s="46" t="n">
        <v>250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SIEM ingestion</t>
        </is>
      </c>
    </row>
    <row r="4" ht="26" customHeight="1">
      <c r="A4" s="47" t="inlineStr">
        <is>
          <t>Cloud Infrastructure</t>
        </is>
      </c>
      <c r="B4" s="48" t="inlineStr">
        <is>
          <t>Log Analytics Workspace</t>
        </is>
      </c>
      <c r="C4" s="48" t="inlineStr">
        <is>
          <t>Log storage and analytics</t>
        </is>
      </c>
      <c r="D4" s="49" t="n">
        <v>300</v>
      </c>
      <c r="E4" s="48" t="inlineStr">
        <is>
          <t>GB/Month</t>
        </is>
      </c>
      <c r="F4" s="50" t="n">
        <v>230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Centralized logging</t>
        </is>
      </c>
    </row>
    <row r="5" ht="26" customHeight="1">
      <c r="A5" s="43" t="inlineStr">
        <is>
          <t>Cloud Infrastructure</t>
        </is>
      </c>
      <c r="B5" s="44" t="inlineStr">
        <is>
          <t>Defender for Cloud</t>
        </is>
      </c>
      <c r="C5" s="44" t="inlineStr">
        <is>
          <t>Server protection</t>
        </is>
      </c>
      <c r="D5" s="45" t="n">
        <v>100</v>
      </c>
      <c r="E5" s="44" t="inlineStr">
        <is>
          <t>Servers/Month</t>
        </is>
      </c>
      <c r="F5" s="46" t="n">
        <v>7.08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Endpoint security</t>
        </is>
      </c>
    </row>
    <row r="6" ht="26" customHeight="1">
      <c r="A6" s="47" t="inlineStr">
        <is>
          <t>Cloud Infrastructure</t>
        </is>
      </c>
      <c r="B6" s="48" t="inlineStr">
        <is>
          <t>Automation Runbooks</t>
        </is>
      </c>
      <c r="C6" s="48" t="inlineStr">
        <is>
          <t>Logic Apps for SOAR automation</t>
        </is>
      </c>
      <c r="D6" s="49" t="n">
        <v>1</v>
      </c>
      <c r="E6" s="48" t="inlineStr">
        <is>
          <t>Service/Month</t>
        </is>
      </c>
      <c r="F6" s="50" t="n">
        <v>400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Incident response</t>
        </is>
      </c>
    </row>
    <row r="7" ht="26" customHeight="1">
      <c r="A7" s="43" t="inlineStr">
        <is>
          <t>Cloud Infrastructure</t>
        </is>
      </c>
      <c r="B7" s="44" t="inlineStr">
        <is>
          <t>Azure Monitor</t>
        </is>
      </c>
      <c r="C7" s="44" t="inlineStr">
        <is>
          <t>Application Insights and diagnostics</t>
        </is>
      </c>
      <c r="D7" s="45" t="n">
        <v>200</v>
      </c>
      <c r="E7" s="44" t="inlineStr">
        <is>
          <t>GB/Month</t>
        </is>
      </c>
      <c r="F7" s="46" t="n">
        <v>1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Additional monitoring</t>
        </is>
      </c>
    </row>
    <row r="8" ht="26" customHeight="1">
      <c r="A8" s="47" t="inlineStr">
        <is>
          <t>Cloud Infrastructure</t>
        </is>
      </c>
      <c r="B8" s="48" t="inlineStr">
        <is>
          <t>NSG Flow Logs</t>
        </is>
      </c>
      <c r="C8" s="48" t="inlineStr">
        <is>
          <t>Network Security Group flow logs</t>
        </is>
      </c>
      <c r="D8" s="49" t="n">
        <v>1</v>
      </c>
      <c r="E8" s="48" t="inlineStr">
        <is>
          <t>Service/Month</t>
        </is>
      </c>
      <c r="F8" s="50" t="n">
        <v>100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Network monitoring</t>
        </is>
      </c>
    </row>
    <row r="9" ht="26" customHeight="1">
      <c r="A9" s="43" t="inlineStr">
        <is>
          <t>Cloud Infrastructure</t>
        </is>
      </c>
      <c r="B9" s="44" t="inlineStr">
        <is>
          <t>Storage Account</t>
        </is>
      </c>
      <c r="C9" s="44" t="inlineStr">
        <is>
          <t>Long-term log archival</t>
        </is>
      </c>
      <c r="D9" s="45" t="n">
        <v>500</v>
      </c>
      <c r="E9" s="44" t="inlineStr">
        <is>
          <t>GB/Month</t>
        </is>
      </c>
      <c r="F9" s="46" t="n">
        <v>0.1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Compliance retention</t>
        </is>
      </c>
    </row>
    <row r="10" ht="26" customHeight="1">
      <c r="A10" s="47" t="inlineStr">
        <is>
          <t>Cloud Infrastructure</t>
        </is>
      </c>
      <c r="B10" s="48" t="inlineStr">
        <is>
          <t>Private Endpoint</t>
        </is>
      </c>
      <c r="C10" s="48" t="inlineStr">
        <is>
          <t>Secure connectivity to Log Analytics</t>
        </is>
      </c>
      <c r="D10" s="49" t="n">
        <v>1</v>
      </c>
      <c r="E10" s="48" t="inlineStr">
        <is>
          <t>Endpoint/Month</t>
        </is>
      </c>
      <c r="F10" s="50" t="n">
        <v>25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Network security</t>
        </is>
      </c>
    </row>
    <row r="11" ht="26" customHeight="1">
      <c r="A11" s="43" t="inlineStr">
        <is>
          <t>Cloud Infrastructure</t>
        </is>
      </c>
      <c r="B11" s="44" t="inlineStr">
        <is>
          <t>Key Vault</t>
        </is>
      </c>
      <c r="C11" s="44" t="inlineStr">
        <is>
          <t>Security credentials management</t>
        </is>
      </c>
      <c r="D11" s="45" t="n">
        <v>1</v>
      </c>
      <c r="E11" s="44" t="inlineStr">
        <is>
          <t>Service/Month</t>
        </is>
      </c>
      <c r="F11" s="46" t="n">
        <v>5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Secrets management</t>
        </is>
      </c>
    </row>
    <row r="12" ht="26" customHeight="1">
      <c r="A12" s="47" t="inlineStr">
        <is>
          <t>Cloud Infrastructure</t>
        </is>
      </c>
      <c r="B12" s="48" t="inlineStr">
        <is>
          <t>NAT Gateway</t>
        </is>
      </c>
      <c r="C12" s="48" t="inlineStr">
        <is>
          <t>Secure outbound connectivity</t>
        </is>
      </c>
      <c r="D12" s="49" t="n">
        <v>1</v>
      </c>
      <c r="E12" s="48" t="inlineStr">
        <is>
          <t>Gateway/Month</t>
        </is>
      </c>
      <c r="F12" s="50" t="n">
        <v>40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Network security</t>
        </is>
      </c>
    </row>
    <row r="13" ht="26" customHeight="1">
      <c r="A13" s="43" t="inlineStr">
        <is>
          <t>Software Licenses</t>
        </is>
      </c>
      <c r="B13" s="44" t="inlineStr">
        <is>
          <t>SOAR Playbooks</t>
        </is>
      </c>
      <c r="C13" s="44" t="inlineStr">
        <is>
          <t>Logic Apps automation licenses</t>
        </is>
      </c>
      <c r="D13" s="45" t="n">
        <v>1</v>
      </c>
      <c r="E13" s="44" t="inlineStr">
        <is>
          <t>Service/Month</t>
        </is>
      </c>
      <c r="F13" s="46" t="n">
        <v>200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Incident automation</t>
        </is>
      </c>
    </row>
    <row r="14" ht="26" customHeight="1">
      <c r="A14" s="47" t="inlineStr">
        <is>
          <t>Software Licenses</t>
        </is>
      </c>
      <c r="B14" s="48" t="inlineStr">
        <is>
          <t>Third-party Connectors</t>
        </is>
      </c>
      <c r="C14" s="48" t="inlineStr">
        <is>
          <t>External SIEM connector licenses</t>
        </is>
      </c>
      <c r="D14" s="49" t="n">
        <v>1</v>
      </c>
      <c r="E14" s="48" t="inlineStr">
        <is>
          <t>Service/Month</t>
        </is>
      </c>
      <c r="F14" s="50" t="n">
        <v>417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External integrations</t>
        </is>
      </c>
    </row>
    <row r="15" ht="26" customHeight="1">
      <c r="A15" s="43" t="inlineStr">
        <is>
          <t>Support &amp; Maintenance</t>
        </is>
      </c>
      <c r="B15" s="44" t="inlineStr">
        <is>
          <t>Managed Services</t>
        </is>
      </c>
      <c r="C15" s="44" t="inlineStr">
        <is>
          <t>Sentinel monitoring and support</t>
        </is>
      </c>
      <c r="D15" s="45" t="n">
        <v>1</v>
      </c>
      <c r="E15" s="44" t="inlineStr">
        <is>
          <t>Service/Month</t>
        </is>
      </c>
      <c r="F15" s="46" t="n">
        <v>1619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10% of cloud infrastructure</t>
        </is>
      </c>
    </row>
    <row r="16" ht="26" customHeight="1">
      <c r="A16" s="47" t="inlineStr">
        <is>
          <t>Professional Services</t>
        </is>
      </c>
      <c r="B16" s="48" t="inlineStr">
        <is>
          <t>Discovery Requirements</t>
        </is>
      </c>
      <c r="C16" s="48" t="inlineStr">
        <is>
          <t>Security assessment and requirements</t>
        </is>
      </c>
      <c r="D16" s="49" t="n">
        <v>60</v>
      </c>
      <c r="E16" s="48" t="inlineStr">
        <is>
          <t>Hours</t>
        </is>
      </c>
      <c r="F16" s="50" t="n">
        <v>225</v>
      </c>
      <c r="G16" s="50">
        <f>D16*F16</f>
        <v/>
      </c>
      <c r="H16" s="50">
        <f>0</f>
        <v/>
      </c>
      <c r="I16" s="50">
        <f>0</f>
        <v/>
      </c>
      <c r="J16" s="50">
        <f>G16</f>
        <v/>
      </c>
      <c r="K16" s="48" t="inlineStr">
        <is>
          <t>One-time assessment</t>
        </is>
      </c>
    </row>
    <row r="17" ht="26" customHeight="1">
      <c r="A17" s="43" t="inlineStr">
        <is>
          <t>Professional Services</t>
        </is>
      </c>
      <c r="B17" s="44" t="inlineStr">
        <is>
          <t>Architecture Design</t>
        </is>
      </c>
      <c r="C17" s="44" t="inlineStr">
        <is>
          <t>Sentinel architecture and design</t>
        </is>
      </c>
      <c r="D17" s="45" t="n">
        <v>80</v>
      </c>
      <c r="E17" s="44" t="inlineStr">
        <is>
          <t>Hours</t>
        </is>
      </c>
      <c r="F17" s="46" t="n">
        <v>225</v>
      </c>
      <c r="G17" s="46">
        <f>D17*F17</f>
        <v/>
      </c>
      <c r="H17" s="46">
        <f>0</f>
        <v/>
      </c>
      <c r="I17" s="46">
        <f>0</f>
        <v/>
      </c>
      <c r="J17" s="46">
        <f>G17</f>
        <v/>
      </c>
      <c r="K17" s="44" t="inlineStr">
        <is>
          <t>One-time design</t>
        </is>
      </c>
    </row>
    <row r="18" ht="26" customHeight="1">
      <c r="A18" s="47" t="inlineStr">
        <is>
          <t>Professional Services</t>
        </is>
      </c>
      <c r="B18" s="48" t="inlineStr">
        <is>
          <t>Infrastructure Deployment</t>
        </is>
      </c>
      <c r="C18" s="48" t="inlineStr">
        <is>
          <t>Azure Sentinel setup and Log Analytics</t>
        </is>
      </c>
      <c r="D18" s="49" t="n">
        <v>60</v>
      </c>
      <c r="E18" s="48" t="inlineStr">
        <is>
          <t>Hours</t>
        </is>
      </c>
      <c r="F18" s="50" t="n">
        <v>200</v>
      </c>
      <c r="G18" s="50">
        <f>D18*F18</f>
        <v/>
      </c>
      <c r="H18" s="50">
        <f>0</f>
        <v/>
      </c>
      <c r="I18" s="50">
        <f>0</f>
        <v/>
      </c>
      <c r="J18" s="50">
        <f>G18</f>
        <v/>
      </c>
      <c r="K18" s="48" t="inlineStr">
        <is>
          <t>One-time deployment</t>
        </is>
      </c>
    </row>
    <row r="19" ht="26" customHeight="1">
      <c r="A19" s="43" t="inlineStr">
        <is>
          <t>Professional Services</t>
        </is>
      </c>
      <c r="B19" s="44" t="inlineStr">
        <is>
          <t>Analytics Rules Configuration</t>
        </is>
      </c>
      <c r="C19" s="44" t="inlineStr">
        <is>
          <t>KQL queries and detection rules</t>
        </is>
      </c>
      <c r="D19" s="45" t="n">
        <v>80</v>
      </c>
      <c r="E19" s="44" t="inlineStr">
        <is>
          <t>Hours</t>
        </is>
      </c>
      <c r="F19" s="46" t="n">
        <v>225</v>
      </c>
      <c r="G19" s="46">
        <f>D19*F19</f>
        <v/>
      </c>
      <c r="H19" s="46">
        <f>0</f>
        <v/>
      </c>
      <c r="I19" s="46">
        <f>0</f>
        <v/>
      </c>
      <c r="J19" s="46">
        <f>G19</f>
        <v/>
      </c>
      <c r="K19" s="44" t="inlineStr">
        <is>
          <t>One-time rules creation</t>
        </is>
      </c>
    </row>
    <row r="20" ht="26" customHeight="1">
      <c r="A20" s="47" t="inlineStr">
        <is>
          <t>Professional Services</t>
        </is>
      </c>
      <c r="B20" s="48" t="inlineStr">
        <is>
          <t>SOAR Playbook Development</t>
        </is>
      </c>
      <c r="C20" s="48" t="inlineStr">
        <is>
          <t>Incident response automation playbooks</t>
        </is>
      </c>
      <c r="D20" s="49" t="n">
        <v>100</v>
      </c>
      <c r="E20" s="48" t="inlineStr">
        <is>
          <t>Hours</t>
        </is>
      </c>
      <c r="F20" s="50" t="n">
        <v>200</v>
      </c>
      <c r="G20" s="50">
        <f>D20*F20</f>
        <v/>
      </c>
      <c r="H20" s="50">
        <f>0</f>
        <v/>
      </c>
      <c r="I20" s="50">
        <f>0</f>
        <v/>
      </c>
      <c r="J20" s="50">
        <f>G20</f>
        <v/>
      </c>
      <c r="K20" s="48" t="inlineStr">
        <is>
          <t>One-time automation</t>
        </is>
      </c>
    </row>
    <row r="21" ht="26" customHeight="1">
      <c r="A21" s="43" t="inlineStr">
        <is>
          <t>Professional Services</t>
        </is>
      </c>
      <c r="B21" s="44" t="inlineStr">
        <is>
          <t>Data Connector Configuration</t>
        </is>
      </c>
      <c r="C21" s="44" t="inlineStr">
        <is>
          <t>Office 365 Azure AD Defender integration</t>
        </is>
      </c>
      <c r="D21" s="45" t="n">
        <v>40</v>
      </c>
      <c r="E21" s="44" t="inlineStr">
        <is>
          <t>Hours</t>
        </is>
      </c>
      <c r="F21" s="46" t="n">
        <v>200</v>
      </c>
      <c r="G21" s="46">
        <f>D21*F21</f>
        <v/>
      </c>
      <c r="H21" s="46">
        <f>0</f>
        <v/>
      </c>
      <c r="I21" s="46">
        <f>0</f>
        <v/>
      </c>
      <c r="J21" s="46">
        <f>G21</f>
        <v/>
      </c>
      <c r="K21" s="44" t="inlineStr">
        <is>
          <t>One-time integration</t>
        </is>
      </c>
    </row>
    <row r="22" ht="26" customHeight="1">
      <c r="A22" s="47" t="inlineStr">
        <is>
          <t>Professional Services</t>
        </is>
      </c>
      <c r="B22" s="48" t="inlineStr">
        <is>
          <t>Threat Hunting Analytics</t>
        </is>
      </c>
      <c r="C22" s="48" t="inlineStr">
        <is>
          <t>Custom detection models development</t>
        </is>
      </c>
      <c r="D22" s="49" t="n">
        <v>40</v>
      </c>
      <c r="E22" s="48" t="inlineStr">
        <is>
          <t>Hours</t>
        </is>
      </c>
      <c r="F22" s="50" t="n">
        <v>225</v>
      </c>
      <c r="G22" s="50">
        <f>D22*F22</f>
        <v/>
      </c>
      <c r="H22" s="50">
        <f>0</f>
        <v/>
      </c>
      <c r="I22" s="50">
        <f>0</f>
        <v/>
      </c>
      <c r="J22" s="50">
        <f>G22</f>
        <v/>
      </c>
      <c r="K22" s="48" t="inlineStr">
        <is>
          <t>One-time threat hunting</t>
        </is>
      </c>
    </row>
    <row r="23" ht="26" customHeight="1">
      <c r="A23" s="43" t="inlineStr">
        <is>
          <t>Professional Services</t>
        </is>
      </c>
      <c r="B23" s="44" t="inlineStr">
        <is>
          <t>Integration API Setup</t>
        </is>
      </c>
      <c r="C23" s="44" t="inlineStr">
        <is>
          <t>External SIEM and systems integration</t>
        </is>
      </c>
      <c r="D23" s="45" t="n">
        <v>30</v>
      </c>
      <c r="E23" s="44" t="inlineStr">
        <is>
          <t>Hours</t>
        </is>
      </c>
      <c r="F23" s="46" t="n">
        <v>175</v>
      </c>
      <c r="G23" s="46">
        <f>D23*F23</f>
        <v/>
      </c>
      <c r="H23" s="46">
        <f>0</f>
        <v/>
      </c>
      <c r="I23" s="46">
        <f>0</f>
        <v/>
      </c>
      <c r="J23" s="46">
        <f>G23</f>
        <v/>
      </c>
      <c r="K23" s="44" t="inlineStr">
        <is>
          <t>One-time API setup</t>
        </is>
      </c>
    </row>
    <row r="24" ht="26" customHeight="1">
      <c r="A24" s="47" t="inlineStr">
        <is>
          <t>Professional Services</t>
        </is>
      </c>
      <c r="B24" s="48" t="inlineStr">
        <is>
          <t>Testing Security Validation</t>
        </is>
      </c>
      <c r="C24" s="48" t="inlineStr">
        <is>
          <t>Functionality and threat testing</t>
        </is>
      </c>
      <c r="D24" s="49" t="n">
        <v>30</v>
      </c>
      <c r="E24" s="48" t="inlineStr">
        <is>
          <t>Hours</t>
        </is>
      </c>
      <c r="F24" s="50" t="n">
        <v>175</v>
      </c>
      <c r="G24" s="50">
        <f>D24*F24</f>
        <v/>
      </c>
      <c r="H24" s="50">
        <f>0</f>
        <v/>
      </c>
      <c r="I24" s="50">
        <f>0</f>
        <v/>
      </c>
      <c r="J24" s="50">
        <f>G24</f>
        <v/>
      </c>
      <c r="K24" s="48" t="inlineStr">
        <is>
          <t>One-time validation</t>
        </is>
      </c>
    </row>
    <row r="25" ht="26" customHeight="1">
      <c r="A25" s="43" t="inlineStr">
        <is>
          <t>Professional Services</t>
        </is>
      </c>
      <c r="B25" s="44" t="inlineStr">
        <is>
          <t>Training Knowledge Transfer</t>
        </is>
      </c>
      <c r="C25" s="44" t="inlineStr">
        <is>
          <t>SOC and security team training</t>
        </is>
      </c>
      <c r="D25" s="45" t="n">
        <v>57</v>
      </c>
      <c r="E25" s="44" t="inlineStr">
        <is>
          <t>Hours</t>
        </is>
      </c>
      <c r="F25" s="46" t="n">
        <v>175</v>
      </c>
      <c r="G25" s="46">
        <f>D25*F25</f>
        <v/>
      </c>
      <c r="H25" s="46">
        <f>0</f>
        <v/>
      </c>
      <c r="I25" s="46">
        <f>0</f>
        <v/>
      </c>
      <c r="J25" s="46">
        <f>G25</f>
        <v/>
      </c>
      <c r="K25" s="44" t="inlineStr">
        <is>
          <t>One-time training</t>
        </is>
      </c>
    </row>
    <row r="26" ht="26" customHeight="1">
      <c r="A26" s="47" t="inlineStr">
        <is>
          <t>Professional Services</t>
        </is>
      </c>
      <c r="B26" s="48" t="inlineStr">
        <is>
          <t>Project Management</t>
        </is>
      </c>
      <c r="C26" s="48" t="inlineStr">
        <is>
          <t>Coordination and stakeholder management</t>
        </is>
      </c>
      <c r="D26" s="49" t="n">
        <v>50</v>
      </c>
      <c r="E26" s="48" t="inlineStr">
        <is>
          <t>Hours</t>
        </is>
      </c>
      <c r="F26" s="50" t="n">
        <v>200</v>
      </c>
      <c r="G26" s="50">
        <f>D26*F26</f>
        <v/>
      </c>
      <c r="H26" s="50">
        <f>0</f>
        <v/>
      </c>
      <c r="I26" s="50">
        <f>0</f>
        <v/>
      </c>
      <c r="J26" s="50">
        <f>G26</f>
        <v/>
      </c>
      <c r="K26" s="48" t="inlineStr">
        <is>
          <t>One-time oversight</t>
        </is>
      </c>
    </row>
    <row r="27" ht="26" customHeight="1">
      <c r="A27" s="43" t="inlineStr">
        <is>
          <t>Professional Services</t>
        </is>
      </c>
      <c r="B27" s="44" t="inlineStr">
        <is>
          <t>Hypercare Support</t>
        </is>
      </c>
      <c r="C27" s="44" t="inlineStr">
        <is>
          <t>60 days post-launch operational support</t>
        </is>
      </c>
      <c r="D27" s="45" t="n">
        <v>46</v>
      </c>
      <c r="E27" s="44" t="inlineStr">
        <is>
          <t>Hours</t>
        </is>
      </c>
      <c r="F27" s="46" t="n">
        <v>175</v>
      </c>
      <c r="G27" s="46">
        <f>D27*F27</f>
        <v/>
      </c>
      <c r="H27" s="46">
        <f>0</f>
        <v/>
      </c>
      <c r="I27" s="46">
        <f>0</f>
        <v/>
      </c>
      <c r="J27" s="46">
        <f>G27</f>
        <v/>
      </c>
      <c r="K27" s="44" t="inlineStr">
        <is>
          <t>One-time hypercare</t>
        </is>
      </c>
    </row>
    <row r="28" ht="26" customHeight="1">
      <c r="A28" s="51" t="inlineStr">
        <is>
          <t>TOTAL</t>
        </is>
      </c>
      <c r="B28" s="52" t="n"/>
      <c r="C28" s="52" t="n"/>
      <c r="D28" s="52" t="n"/>
      <c r="E28" s="52" t="n"/>
      <c r="F28" s="52" t="n"/>
      <c r="G28" s="53">
        <f>SUM(G3:G27)</f>
        <v/>
      </c>
      <c r="H28" s="53">
        <f>SUM(H3:H27)</f>
        <v/>
      </c>
      <c r="I28" s="53">
        <f>SUM(I3:I27)</f>
        <v/>
      </c>
      <c r="J28" s="53">
        <f>SUM(J3:J27)</f>
        <v/>
      </c>
      <c r="K28" s="52" t="n"/>
    </row>
  </sheetData>
  <autoFilter ref="A2:K28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Infrastructure</t>
        </is>
      </c>
      <c r="B3" s="44" t="inlineStr">
        <is>
          <t>Azure Sentinel Credit</t>
        </is>
      </c>
      <c r="C3" s="46" t="n">
        <v>-9000</v>
      </c>
      <c r="D3" s="44" t="inlineStr">
        <is>
          <t>10% credit on Year 1 Sentinel data ingestion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Managed Services Credit</t>
        </is>
      </c>
      <c r="C5" s="46" t="n">
        <v>-12000</v>
      </c>
      <c r="D5" s="44" t="inlineStr">
        <is>
          <t>Partner managed services discount Year 1</t>
        </is>
      </c>
    </row>
    <row r="6" ht="26" customHeight="1">
      <c r="A6" s="47" t="inlineStr">
        <is>
          <t>Hardware/Equipment</t>
        </is>
      </c>
      <c r="B6" s="48" t="inlineStr">
        <is>
          <t>Equipment Credit</t>
        </is>
      </c>
      <c r="C6" s="50" t="n">
        <v>0</v>
      </c>
      <c r="D6" s="48" t="inlineStr">
        <is>
          <t>No hardware credits available</t>
        </is>
      </c>
    </row>
    <row r="7" ht="26" customHeight="1">
      <c r="A7" s="43" t="inlineStr">
        <is>
          <t>Professional Services</t>
        </is>
      </c>
      <c r="B7" s="44" t="inlineStr">
        <is>
          <t>Partner Credit</t>
        </is>
      </c>
      <c r="C7" s="46" t="n">
        <v>0</v>
      </c>
      <c r="D7" s="44" t="inlineStr">
        <is>
          <t>No professional services credits available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Infrastructure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2025-11-22T17:42:50Z</dcterms:modified>
  <cp:lastModifiedBy>Kishan Siram</cp:lastModifiedBy>
</cp:coreProperties>
</file>