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Cyber-Security - Sentinel Siem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Data Connectors</t>
        </is>
      </c>
      <c r="C3" s="39" t="inlineStr">
        <is>
          <t>10-15 connectors</t>
        </is>
      </c>
      <c r="D3" s="38" t="inlineStr">
        <is>
          <t>10-15 connectors</t>
        </is>
      </c>
      <c r="E3" s="38" t="inlineStr">
        <is>
          <t>Enhanced data connectors</t>
        </is>
      </c>
      <c r="F3" s="38" t="inlineStr">
        <is>
          <t>Enterprise-scale data connectors</t>
        </is>
      </c>
      <c r="G3" s="38" t="inlineStr">
        <is>
          <t>Sizing parameter for Data Connectors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Analytics Rules</t>
        </is>
      </c>
      <c r="C4" s="39" t="inlineStr">
        <is>
          <t>50 custom detection rules</t>
        </is>
      </c>
      <c r="D4" s="41" t="inlineStr">
        <is>
          <t>50 custom detection rules</t>
        </is>
      </c>
      <c r="E4" s="41" t="inlineStr">
        <is>
          <t>Enhanced analytics rules</t>
        </is>
      </c>
      <c r="F4" s="41" t="inlineStr">
        <is>
          <t>Enterprise-scale analytics rules</t>
        </is>
      </c>
      <c r="G4" s="41" t="inlineStr">
        <is>
          <t>Sizing parameter for Analytics Rules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Log Sources</t>
        </is>
      </c>
      <c r="C5" s="39" t="inlineStr">
        <is>
          <t>Azure AD Office365 Firewall Endpoints</t>
        </is>
      </c>
      <c r="D5" s="38" t="inlineStr">
        <is>
          <t>Azure AD Office365 Firewall Endpoints</t>
        </is>
      </c>
      <c r="E5" s="38" t="inlineStr">
        <is>
          <t>Enhanced log sources</t>
        </is>
      </c>
      <c r="F5" s="38" t="inlineStr">
        <is>
          <t>Enterprise-scale log sources</t>
        </is>
      </c>
      <c r="G5" s="38" t="inlineStr">
        <is>
          <t>Sizing parameter for Log Sources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SOAR Playbooks</t>
        </is>
      </c>
      <c r="C6" s="39" t="inlineStr">
        <is>
          <t>10 automated playbooks</t>
        </is>
      </c>
      <c r="D6" s="41" t="inlineStr">
        <is>
          <t>10 automated playbooks</t>
        </is>
      </c>
      <c r="E6" s="41" t="inlineStr">
        <is>
          <t>Enhanced soar playbooks</t>
        </is>
      </c>
      <c r="F6" s="41" t="inlineStr">
        <is>
          <t>Enterprise-scale soar playbooks</t>
        </is>
      </c>
      <c r="G6" s="41" t="inlineStr">
        <is>
          <t>Sizing parameter for SOAR Playbooks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SOC analysts</t>
        </is>
      </c>
      <c r="D7" s="38" t="inlineStr">
        <is>
          <t>10 SOC analysts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(analyst engineer admin)</t>
        </is>
      </c>
      <c r="D8" s="41" t="inlineStr">
        <is>
          <t>3 roles (analyst engineer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Daily Log Ingestion</t>
        </is>
      </c>
      <c r="C9" s="39" t="inlineStr">
        <is>
          <t>50 GB/day</t>
        </is>
      </c>
      <c r="D9" s="38" t="inlineStr">
        <is>
          <t>50 GB/day</t>
        </is>
      </c>
      <c r="E9" s="38" t="inlineStr">
        <is>
          <t>Enhanced daily log ingestion</t>
        </is>
      </c>
      <c r="F9" s="38" t="inlineStr">
        <is>
          <t>Enterprise-scale daily log ingestion</t>
        </is>
      </c>
      <c r="G9" s="38" t="inlineStr">
        <is>
          <t>Sizing parameter for Daily Log Ingestion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Retention Period</t>
        </is>
      </c>
      <c r="C10" s="39" t="inlineStr">
        <is>
          <t>90 days hot 2 years archive</t>
        </is>
      </c>
      <c r="D10" s="41" t="inlineStr">
        <is>
          <t>90 days hot 2 years archive</t>
        </is>
      </c>
      <c r="E10" s="41" t="inlineStr">
        <is>
          <t>Enhanced retention period</t>
        </is>
      </c>
      <c r="F10" s="41" t="inlineStr">
        <is>
          <t>Enterprise-scale retention period</t>
        </is>
      </c>
      <c r="G10" s="41" t="inlineStr">
        <is>
          <t>Sizing parameter for Retention Period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 (East US)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24/7 monitoring</t>
        </is>
      </c>
      <c r="D12" s="41" t="inlineStr">
        <is>
          <t>24/7 monitoring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Log Analytics + Sentinel workspace</t>
        </is>
      </c>
      <c r="D13" s="38" t="inlineStr">
        <is>
          <t>Log Analytics + Sentinel workspace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RBAC MFA audit logging</t>
        </is>
      </c>
      <c r="D14" s="41" t="inlineStr">
        <is>
          <t>RBAC MFA audit logging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NIST CSF</t>
        </is>
      </c>
      <c r="D15" s="38" t="inlineStr">
        <is>
          <t>SOC2 NIST CSF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Detection Response</t>
        </is>
      </c>
      <c r="C16" s="39" t="inlineStr">
        <is>
          <t>MTTR &lt;1 hour</t>
        </is>
      </c>
      <c r="D16" s="41" t="inlineStr">
        <is>
          <t>MTTR &lt;1 hour</t>
        </is>
      </c>
      <c r="E16" s="41" t="inlineStr">
        <is>
          <t>Enhanced detection response</t>
        </is>
      </c>
      <c r="F16" s="41" t="inlineStr">
        <is>
          <t>Enterprise-scale detection response</t>
        </is>
      </c>
      <c r="G16" s="41" t="inlineStr">
        <is>
          <t>Sizing parameter for Detection Response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Query Performance</t>
        </is>
      </c>
      <c r="C17" s="39" t="inlineStr">
        <is>
          <t>Standard KQL queries</t>
        </is>
      </c>
      <c r="D17" s="38" t="inlineStr">
        <is>
          <t>Standard KQL queries</t>
        </is>
      </c>
      <c r="E17" s="38" t="inlineStr">
        <is>
          <t>Enhanced query performance</t>
        </is>
      </c>
      <c r="F17" s="38" t="inlineStr">
        <is>
          <t>Enterprise-scale query performance</t>
        </is>
      </c>
      <c r="G17" s="38" t="inlineStr">
        <is>
          <t>Sizing parameter for Query Performance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Security Requirements Gathering</t>
        </is>
      </c>
      <c r="C3" s="47" t="inlineStr">
        <is>
          <t>Conduct security stakeholder interviews and threat modeling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Security Assessment</t>
        </is>
      </c>
      <c r="C4" s="53" t="inlineStr">
        <is>
          <t>Analyze existing security tools logs and incident response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Security Assessment</t>
        </is>
      </c>
      <c r="C5" s="47" t="inlineStr">
        <is>
          <t>Evaluate Azure security services (Sentinel Defender Security Center)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regulatory requirements and security frameworks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SIEM Architecture Design</t>
        </is>
      </c>
      <c r="C7" s="47" t="inlineStr">
        <is>
          <t>Design Azure Sentinel architecture and data connectors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Security Playbook Design</t>
        </is>
      </c>
      <c r="C8" s="53" t="inlineStr">
        <is>
          <t>Design incident response playbooks and automation workflows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Security Governance</t>
        </is>
      </c>
      <c r="C9" s="47" t="inlineStr">
        <is>
          <t>Design security policies roles and access controls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security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Azure Sentinel Deployment</t>
        </is>
      </c>
      <c r="C11" s="47" t="inlineStr">
        <is>
          <t>Deploy and configure Azure Sentinel workspace and connectors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Log Analytics Configuration</t>
        </is>
      </c>
      <c r="C12" s="53" t="inlineStr">
        <is>
          <t>Configure log collection parsing normalization and enrichment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Security Rules and Detection</t>
        </is>
      </c>
      <c r="C13" s="47" t="inlineStr">
        <is>
          <t>Build detection rules alerts and threat hunting queries</t>
        </is>
      </c>
      <c r="D13" s="47" t="inlineStr">
        <is>
          <t>EO Engineer</t>
        </is>
      </c>
      <c r="E13" s="48" t="n">
        <v>80</v>
      </c>
      <c r="F13" s="49">
        <f>'Estimate Settings'!$C$26</f>
        <v/>
      </c>
      <c r="G13" s="50">
        <f>$E13*$F13</f>
        <v/>
      </c>
      <c r="H13" s="51" t="n">
        <v>170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Incident Response Automation</t>
        </is>
      </c>
      <c r="C14" s="53" t="inlineStr">
        <is>
          <t>Build automated response playbooks and SOAR workflows</t>
        </is>
      </c>
      <c r="D14" s="53" t="inlineStr">
        <is>
          <t>EO Engineer</t>
        </is>
      </c>
      <c r="E14" s="54" t="n">
        <v>48</v>
      </c>
      <c r="F14" s="55">
        <f>'Estimate Settings'!$C$26</f>
        <v/>
      </c>
      <c r="G14" s="56">
        <f>$E14*$F14</f>
        <v/>
      </c>
      <c r="H14" s="57" t="n">
        <v>165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Security Dashboard and Reporting</t>
        </is>
      </c>
      <c r="C15" s="47" t="inlineStr">
        <is>
          <t>Create SOC dashboards executive reporting and metrics</t>
        </is>
      </c>
      <c r="D15" s="47" t="inlineStr">
        <is>
          <t>EO Engineer</t>
        </is>
      </c>
      <c r="E15" s="48" t="n">
        <v>40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Development</t>
        </is>
      </c>
      <c r="B16" s="53" t="inlineStr">
        <is>
          <t>Integration Development</t>
        </is>
      </c>
      <c r="C16" s="53" t="inlineStr">
        <is>
          <t>Build integrations with existing security tools and ITSM</t>
        </is>
      </c>
      <c r="D16" s="53" t="inlineStr">
        <is>
          <t>EO Engineer</t>
        </is>
      </c>
      <c r="E16" s="54" t="n">
        <v>32</v>
      </c>
      <c r="F16" s="55">
        <f>'Estimate Settings'!$C$26</f>
        <v/>
      </c>
      <c r="G16" s="56">
        <f>$E16*$F16</f>
        <v/>
      </c>
      <c r="H16" s="57" t="n">
        <v>155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Unit Testing</t>
        </is>
      </c>
      <c r="C17" s="47" t="inlineStr">
        <is>
          <t>Develop automated tests for all solution components</t>
        </is>
      </c>
      <c r="D17" s="47" t="inlineStr">
        <is>
          <t>EO Engineer</t>
        </is>
      </c>
      <c r="E17" s="48" t="n">
        <v>32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Integration Testing</t>
        </is>
      </c>
      <c r="C18" s="53" t="inlineStr">
        <is>
          <t>Test system integrations data flows and external dependencies</t>
        </is>
      </c>
      <c r="D18" s="53" t="inlineStr">
        <is>
          <t>EO Engineer</t>
        </is>
      </c>
      <c r="E18" s="54" t="n">
        <v>40</v>
      </c>
      <c r="F18" s="55">
        <f>'Estimate Settings'!$C$27</f>
        <v/>
      </c>
      <c r="G18" s="56">
        <f>$E18*$F18</f>
        <v/>
      </c>
      <c r="H18" s="57" t="n">
        <v>120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Performance Testing</t>
        </is>
      </c>
      <c r="C19" s="47" t="inlineStr">
        <is>
          <t>Conduct load performance and scalability testing</t>
        </is>
      </c>
      <c r="D19" s="47" t="inlineStr">
        <is>
          <t>EO Engineer</t>
        </is>
      </c>
      <c r="E19" s="48" t="n">
        <v>24</v>
      </c>
      <c r="F19" s="49">
        <f>'Estimate Settings'!$C$27</f>
        <v/>
      </c>
      <c r="G19" s="50">
        <f>$E19*$F19</f>
        <v/>
      </c>
      <c r="H19" s="51" t="n">
        <v>140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Security Testing</t>
        </is>
      </c>
      <c r="C20" s="53" t="inlineStr">
        <is>
          <t>Perform security assessments penetration testing and compliance validation</t>
        </is>
      </c>
      <c r="D20" s="53" t="inlineStr">
        <is>
          <t>EO Engineer</t>
        </is>
      </c>
      <c r="E20" s="54" t="n">
        <v>16</v>
      </c>
      <c r="F20" s="55">
        <f>'Estimate Settings'!$C$27</f>
        <v/>
      </c>
      <c r="G20" s="56">
        <f>$E20*$F20</f>
        <v/>
      </c>
      <c r="H20" s="57" t="n">
        <v>175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Testing</t>
        </is>
      </c>
      <c r="B21" s="47" t="inlineStr">
        <is>
          <t>User Acceptance Testing</t>
        </is>
      </c>
      <c r="C21" s="47" t="inlineStr">
        <is>
          <t>Coordinate UAT with business users and stakeholders</t>
        </is>
      </c>
      <c r="D21" s="47" t="inlineStr">
        <is>
          <t>EO Engineer</t>
        </is>
      </c>
      <c r="E21" s="48" t="n">
        <v>32</v>
      </c>
      <c r="F21" s="49">
        <f>'Estimate Settings'!$C$27</f>
        <v/>
      </c>
      <c r="G21" s="50">
        <f>$E21*$F21</f>
        <v/>
      </c>
      <c r="H21" s="51" t="n">
        <v>150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Production Deployment</t>
        </is>
      </c>
      <c r="C22" s="53" t="inlineStr">
        <is>
          <t>Deploy solution to production environment with monitoring</t>
        </is>
      </c>
      <c r="D22" s="53" t="inlineStr">
        <is>
          <t>EO Engineer</t>
        </is>
      </c>
      <c r="E22" s="54" t="n">
        <v>24</v>
      </c>
      <c r="F22" s="55">
        <f>'Estimate Settings'!$C$28</f>
        <v/>
      </c>
      <c r="G22" s="56">
        <f>$E22*$F22</f>
        <v/>
      </c>
      <c r="H22" s="57" t="n">
        <v>160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Deployment</t>
        </is>
      </c>
      <c r="B23" s="47" t="inlineStr">
        <is>
          <t>Go-Live Support</t>
        </is>
      </c>
      <c r="C23" s="47" t="inlineStr">
        <is>
          <t>Provide comprehensive support during initial production rollout</t>
        </is>
      </c>
      <c r="D23" s="47" t="inlineStr">
        <is>
          <t>EO Engineer</t>
        </is>
      </c>
      <c r="E23" s="48" t="n">
        <v>48</v>
      </c>
      <c r="F23" s="49">
        <f>'Estimate Settings'!$C$28</f>
        <v/>
      </c>
      <c r="G23" s="50">
        <f>$E23*$F23</f>
        <v/>
      </c>
      <c r="H23" s="51" t="n">
        <v>110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Administrator Training</t>
        </is>
      </c>
      <c r="C24" s="53" t="inlineStr">
        <is>
          <t>Train system administrators and technical support teams</t>
        </is>
      </c>
      <c r="D24" s="53" t="inlineStr">
        <is>
          <t>EO Engineer</t>
        </is>
      </c>
      <c r="E24" s="54" t="n">
        <v>16</v>
      </c>
      <c r="F24" s="55">
        <f>'Estimate Settings'!$C$29</f>
        <v/>
      </c>
      <c r="G24" s="56">
        <f>$E24*$F24</f>
        <v/>
      </c>
      <c r="H24" s="57" t="n">
        <v>130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End User Training</t>
        </is>
      </c>
      <c r="C25" s="47" t="inlineStr">
        <is>
          <t>Train business users on solution functionality and workflows</t>
        </is>
      </c>
      <c r="D25" s="47" t="inlineStr">
        <is>
          <t>EO Engineer</t>
        </is>
      </c>
      <c r="E25" s="48" t="n">
        <v>24</v>
      </c>
      <c r="F25" s="49">
        <f>'Estimate Settings'!$C$29</f>
        <v/>
      </c>
      <c r="G25" s="50">
        <f>$E25*$F25</f>
        <v/>
      </c>
      <c r="H25" s="51" t="n">
        <v>120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Training</t>
        </is>
      </c>
      <c r="B26" s="53" t="inlineStr">
        <is>
          <t>Documentation</t>
        </is>
      </c>
      <c r="C26" s="53" t="inlineStr">
        <is>
          <t>Create comprehensive technical and user documentation</t>
        </is>
      </c>
      <c r="D26" s="53" t="inlineStr">
        <is>
          <t>EO Engineer</t>
        </is>
      </c>
      <c r="E26" s="54" t="n">
        <v>32</v>
      </c>
      <c r="F26" s="55">
        <f>'Estimate Settings'!$C$29</f>
        <v/>
      </c>
      <c r="G26" s="56">
        <f>$E26*$F26</f>
        <v/>
      </c>
      <c r="H26" s="57" t="n">
        <v>110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Knowledge Transfer</t>
        </is>
      </c>
      <c r="C27" s="47" t="inlineStr">
        <is>
          <t>Transfer solution ownership to operations and support teams</t>
        </is>
      </c>
      <c r="D27" s="47" t="inlineStr">
        <is>
          <t>EO Engineer</t>
        </is>
      </c>
      <c r="E27" s="48" t="n">
        <v>16</v>
      </c>
      <c r="F27" s="49">
        <f>'Estimate Settings'!$C$30</f>
        <v/>
      </c>
      <c r="G27" s="50">
        <f>$E27*$F27</f>
        <v/>
      </c>
      <c r="H27" s="51" t="n">
        <v>140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Closeout</t>
        </is>
      </c>
      <c r="B28" s="53" t="inlineStr">
        <is>
          <t>Performance Baseline</t>
        </is>
      </c>
      <c r="C28" s="53" t="inlineStr">
        <is>
          <t>Establish performance metrics monitoring baselines and SLAs</t>
        </is>
      </c>
      <c r="D28" s="53" t="inlineStr">
        <is>
          <t>EO Engineer</t>
        </is>
      </c>
      <c r="E28" s="54" t="n">
        <v>8</v>
      </c>
      <c r="F28" s="55">
        <f>'Estimate Settings'!$C$30</f>
        <v/>
      </c>
      <c r="G28" s="56">
        <f>$E28*$F28</f>
        <v/>
      </c>
      <c r="H28" s="57" t="n">
        <v>130</v>
      </c>
      <c r="I28" s="56">
        <f>TEXT($G28*$H28</f>
        <v/>
      </c>
      <c r="J28" s="53" t="inlineStr">
        <is>
          <t>$#</t>
        </is>
      </c>
      <c r="K28" s="53" t="inlineStr">
        <is>
          <t>##0"")</t>
        </is>
      </c>
    </row>
    <row r="29" ht="26" customHeight="1">
      <c r="A29" s="46" t="inlineStr">
        <is>
          <t>Management</t>
        </is>
      </c>
      <c r="B29" s="47" t="inlineStr">
        <is>
          <t>Technical Leadership</t>
        </is>
      </c>
      <c r="C29" s="47" t="inlineStr">
        <is>
          <t>Quarterback technical oversight and architecture review</t>
        </is>
      </c>
      <c r="D29" s="47" t="inlineStr">
        <is>
          <t>EO Quarterback</t>
        </is>
      </c>
      <c r="E29" s="50">
        <f>ROUND(SUM(E2:E27)*0.25,='Estimate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2" t="inlineStr">
        <is>
          <t>Management</t>
        </is>
      </c>
      <c r="B30" s="53" t="inlineStr">
        <is>
          <t>Project Management</t>
        </is>
      </c>
      <c r="C30" s="53" t="inlineStr">
        <is>
          <t>Project coordination and management activities</t>
        </is>
      </c>
      <c r="D30" s="53" t="inlineStr">
        <is>
          <t>EO Project Manager</t>
        </is>
      </c>
      <c r="E30" s="56">
        <f>ROUND(SUM(E2:E27)*0.20,='Estimate Settings'!$C$31,=$E60*$F60,0)</f>
        <v/>
      </c>
      <c r="F30" s="55">
        <f>TEXT($G30*$H30</f>
        <v/>
      </c>
      <c r="G30" s="56" t="inlineStr">
        <is>
          <t>$#</t>
        </is>
      </c>
      <c r="H30" s="56" t="inlineStr">
        <is>
          <t>##0"")</t>
        </is>
      </c>
      <c r="I30" s="56">
        <f>TEXT(E30*F30,##0")</f>
        <v/>
      </c>
      <c r="J30" s="53" t="inlineStr"/>
      <c r="K30" s="53" t="inlineStr"/>
    </row>
    <row r="31" ht="26" customHeight="1">
      <c r="A31" s="58" t="inlineStr"/>
      <c r="B31" s="58" t="inlineStr"/>
      <c r="C31" s="58" t="inlineStr"/>
      <c r="D31" s="58" t="inlineStr"/>
      <c r="E31" s="58" t="inlineStr"/>
      <c r="F31" s="59" t="inlineStr">
        <is>
          <t>TOTAL HOURS</t>
        </is>
      </c>
      <c r="G31" s="59">
        <f>SUM($G$33:$G$60)</f>
        <v/>
      </c>
      <c r="H31" s="59" t="inlineStr">
        <is>
          <t>TOTAL COST</t>
        </is>
      </c>
      <c r="I31" s="59">
        <f>TEXT(SUMPRODUCT($G$33:$G$60</f>
        <v/>
      </c>
      <c r="J31" s="58" t="inlineStr">
        <is>
          <t>$H$33:$H$60)</t>
        </is>
      </c>
      <c r="K31" s="58" t="inlineStr">
        <is>
          <t>$#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0</v>
      </c>
      <c r="C3" s="38" t="inlineStr">
        <is>
          <t>No partner credits available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SUMPRODUCT($G$40:$G$67,$H$40:$H$67)</f>
        <v/>
      </c>
      <c r="C5" s="64" t="inlineStr">
        <is>
          <t>Total Cost</t>
        </is>
      </c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2025-11-22T22:40:00Z</dcterms:modified>
  <cp:lastModifiedBy>Kishan Siram</cp:lastModifiedBy>
</cp:coreProperties>
</file>