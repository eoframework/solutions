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Assumptions'!$A$2:$H$19</definedName>
    <definedName name="_xlnm._FilterDatabase" localSheetId="2" hidden="1">'Estimate Settings'!$A$2:$E$12</definedName>
    <definedName name="_xlnm._FilterDatabase" localSheetId="3" hidden="1">'LOE'!$A$2:$K$31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AZURE - Cyber-Security - Sentinel Siem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Data Connectors</t>
        </is>
      </c>
      <c r="C3" s="39" t="inlineStr">
        <is>
          <t>10-15 connectors</t>
        </is>
      </c>
      <c r="D3" s="38" t="inlineStr">
        <is>
          <t>10-15 connectors</t>
        </is>
      </c>
      <c r="E3" s="38" t="inlineStr">
        <is>
          <t>Enhanced data connectors</t>
        </is>
      </c>
      <c r="F3" s="38" t="inlineStr">
        <is>
          <t>Enterprise-scale data connectors</t>
        </is>
      </c>
      <c r="G3" s="38" t="inlineStr">
        <is>
          <t>Sizing parameter for Data Connectors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Analytics Rules</t>
        </is>
      </c>
      <c r="C4" s="39" t="inlineStr">
        <is>
          <t>50 custom detection rules</t>
        </is>
      </c>
      <c r="D4" s="41" t="inlineStr">
        <is>
          <t>50 custom detection rules</t>
        </is>
      </c>
      <c r="E4" s="41" t="inlineStr">
        <is>
          <t>Enhanced analytics rules</t>
        </is>
      </c>
      <c r="F4" s="41" t="inlineStr">
        <is>
          <t>Enterprise-scale analytics rules</t>
        </is>
      </c>
      <c r="G4" s="41" t="inlineStr">
        <is>
          <t>Sizing parameter for Analytics Rules</t>
        </is>
      </c>
      <c r="H4" s="41" t="inlineStr"/>
    </row>
    <row r="5" ht="26" customHeight="1">
      <c r="A5" s="37" t="inlineStr">
        <is>
          <t>Integration</t>
        </is>
      </c>
      <c r="B5" s="38" t="inlineStr">
        <is>
          <t>Log Sources</t>
        </is>
      </c>
      <c r="C5" s="39" t="inlineStr">
        <is>
          <t>Azure AD Office365 Firewall Endpoints</t>
        </is>
      </c>
      <c r="D5" s="38" t="inlineStr">
        <is>
          <t>Azure AD Office365 Firewall Endpoints</t>
        </is>
      </c>
      <c r="E5" s="38" t="inlineStr">
        <is>
          <t>Enhanced log sources</t>
        </is>
      </c>
      <c r="F5" s="38" t="inlineStr">
        <is>
          <t>Enterprise-scale log sources</t>
        </is>
      </c>
      <c r="G5" s="38" t="inlineStr">
        <is>
          <t>Sizing parameter for Log Sources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SOAR Playbooks</t>
        </is>
      </c>
      <c r="C6" s="39" t="inlineStr">
        <is>
          <t>10 automated playbooks</t>
        </is>
      </c>
      <c r="D6" s="41" t="inlineStr">
        <is>
          <t>10 automated playbooks</t>
        </is>
      </c>
      <c r="E6" s="41" t="inlineStr">
        <is>
          <t>Enhanced soar playbooks</t>
        </is>
      </c>
      <c r="F6" s="41" t="inlineStr">
        <is>
          <t>Enterprise-scale soar playbooks</t>
        </is>
      </c>
      <c r="G6" s="41" t="inlineStr">
        <is>
          <t>Sizing parameter for SOAR Playbooks</t>
        </is>
      </c>
      <c r="H6" s="41" t="inlineStr"/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10 SOC analysts</t>
        </is>
      </c>
      <c r="D7" s="38" t="inlineStr">
        <is>
          <t>10 SOC analysts</t>
        </is>
      </c>
      <c r="E7" s="38" t="inlineStr">
        <is>
          <t>Enhanced total users</t>
        </is>
      </c>
      <c r="F7" s="38" t="inlineStr">
        <is>
          <t>Enterprise-scale total users</t>
        </is>
      </c>
      <c r="G7" s="38" t="inlineStr">
        <is>
          <t>Sizing parameter for Total Users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3 roles (analyst engineer admin)</t>
        </is>
      </c>
      <c r="D8" s="41" t="inlineStr">
        <is>
          <t>3 roles (analyst engineer admin)</t>
        </is>
      </c>
      <c r="E8" s="41" t="inlineStr">
        <is>
          <t>Enhanced user roles</t>
        </is>
      </c>
      <c r="F8" s="41" t="inlineStr">
        <is>
          <t>Enterprise-scale user roles</t>
        </is>
      </c>
      <c r="G8" s="41" t="inlineStr">
        <is>
          <t>Sizing parameter for User Roles</t>
        </is>
      </c>
      <c r="H8" s="41" t="inlineStr"/>
    </row>
    <row r="9" ht="26" customHeight="1">
      <c r="A9" s="37" t="inlineStr">
        <is>
          <t>Data Volume</t>
        </is>
      </c>
      <c r="B9" s="38" t="inlineStr">
        <is>
          <t>Daily Log Ingestion</t>
        </is>
      </c>
      <c r="C9" s="39" t="inlineStr">
        <is>
          <t>50 GB/day</t>
        </is>
      </c>
      <c r="D9" s="38" t="inlineStr">
        <is>
          <t>50 GB/day</t>
        </is>
      </c>
      <c r="E9" s="38" t="inlineStr">
        <is>
          <t>Enhanced daily log ingestion</t>
        </is>
      </c>
      <c r="F9" s="38" t="inlineStr">
        <is>
          <t>Enterprise-scale daily log ingestion</t>
        </is>
      </c>
      <c r="G9" s="38" t="inlineStr">
        <is>
          <t>Sizing parameter for Daily Log Ingestion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Retention Period</t>
        </is>
      </c>
      <c r="C10" s="39" t="inlineStr">
        <is>
          <t>90 days hot 2 years archive</t>
        </is>
      </c>
      <c r="D10" s="41" t="inlineStr">
        <is>
          <t>90 days hot 2 years archive</t>
        </is>
      </c>
      <c r="E10" s="41" t="inlineStr">
        <is>
          <t>Enhanced retention period</t>
        </is>
      </c>
      <c r="F10" s="41" t="inlineStr">
        <is>
          <t>Enterprise-scale retention period</t>
        </is>
      </c>
      <c r="G10" s="41" t="inlineStr">
        <is>
          <t>Sizing parameter for Retention Period</t>
        </is>
      </c>
      <c r="H10" s="41" t="inlineStr"/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Azure region (East US)</t>
        </is>
      </c>
      <c r="D11" s="38" t="inlineStr">
        <is>
          <t>Single Azure region (East US)</t>
        </is>
      </c>
      <c r="E11" s="38" t="inlineStr">
        <is>
          <t>Enhanced deployment regions</t>
        </is>
      </c>
      <c r="F11" s="38" t="inlineStr">
        <is>
          <t>Enterprise-scale deployment regions</t>
        </is>
      </c>
      <c r="G11" s="38" t="inlineStr">
        <is>
          <t>Sizing parameter for Deployment Regions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24/7 monitoring</t>
        </is>
      </c>
      <c r="D12" s="41" t="inlineStr">
        <is>
          <t>24/7 monitoring</t>
        </is>
      </c>
      <c r="E12" s="41" t="inlineStr">
        <is>
          <t>Enhanced availability requirements</t>
        </is>
      </c>
      <c r="F12" s="41" t="inlineStr">
        <is>
          <t>Enterprise-scale availability requirements</t>
        </is>
      </c>
      <c r="G12" s="41" t="inlineStr">
        <is>
          <t>Sizing parameter for Availability Requirements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Log Analytics + Sentinel workspace</t>
        </is>
      </c>
      <c r="D13" s="38" t="inlineStr">
        <is>
          <t>Log Analytics + Sentinel workspace</t>
        </is>
      </c>
      <c r="E13" s="38" t="inlineStr">
        <is>
          <t>Enhanced infrastructure complexity</t>
        </is>
      </c>
      <c r="F13" s="38" t="inlineStr">
        <is>
          <t>Enterprise-scale infrastructure complexity</t>
        </is>
      </c>
      <c r="G13" s="38" t="inlineStr">
        <is>
          <t>Sizing parameter for Infrastructure Complexity</t>
        </is>
      </c>
      <c r="H13" s="38" t="inlineStr"/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RBAC MFA audit logging</t>
        </is>
      </c>
      <c r="D14" s="41" t="inlineStr">
        <is>
          <t>RBAC MFA audit logging</t>
        </is>
      </c>
      <c r="E14" s="41" t="inlineStr">
        <is>
          <t>Enhanced security requirements</t>
        </is>
      </c>
      <c r="F14" s="41" t="inlineStr">
        <is>
          <t>Enterprise-scale security requirements</t>
        </is>
      </c>
      <c r="G14" s="41" t="inlineStr">
        <is>
          <t>Sizing parameter for Security Requirements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SOC2 NIST CSF</t>
        </is>
      </c>
      <c r="D15" s="38" t="inlineStr">
        <is>
          <t>SOC2 NIST CSF</t>
        </is>
      </c>
      <c r="E15" s="38" t="inlineStr">
        <is>
          <t>Enhanced compliance frameworks</t>
        </is>
      </c>
      <c r="F15" s="38" t="inlineStr">
        <is>
          <t>Enterprise-scale compliance frameworks</t>
        </is>
      </c>
      <c r="G15" s="38" t="inlineStr">
        <is>
          <t>Sizing parameter for Compliance Frameworks</t>
        </is>
      </c>
      <c r="H15" s="38" t="inlineStr"/>
    </row>
    <row r="16" ht="26" customHeight="1">
      <c r="A16" s="40" t="inlineStr">
        <is>
          <t>Performance</t>
        </is>
      </c>
      <c r="B16" s="41" t="inlineStr">
        <is>
          <t>Detection Response</t>
        </is>
      </c>
      <c r="C16" s="39" t="inlineStr">
        <is>
          <t>MTTR &lt;1 hour</t>
        </is>
      </c>
      <c r="D16" s="41" t="inlineStr">
        <is>
          <t>MTTR &lt;1 hour</t>
        </is>
      </c>
      <c r="E16" s="41" t="inlineStr">
        <is>
          <t>Enhanced detection response</t>
        </is>
      </c>
      <c r="F16" s="41" t="inlineStr">
        <is>
          <t>Enterprise-scale detection response</t>
        </is>
      </c>
      <c r="G16" s="41" t="inlineStr">
        <is>
          <t>Sizing parameter for Detection Response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Query Performance</t>
        </is>
      </c>
      <c r="C17" s="39" t="inlineStr">
        <is>
          <t>Standard KQL queries</t>
        </is>
      </c>
      <c r="D17" s="38" t="inlineStr">
        <is>
          <t>Standard KQL queries</t>
        </is>
      </c>
      <c r="E17" s="38" t="inlineStr">
        <is>
          <t>Enhanced query performance</t>
        </is>
      </c>
      <c r="F17" s="38" t="inlineStr">
        <is>
          <t>Enterprise-scale query performance</t>
        </is>
      </c>
      <c r="G17" s="38" t="inlineStr">
        <is>
          <t>Sizing parameter for Query Performance</t>
        </is>
      </c>
      <c r="H17" s="38" t="inlineStr"/>
    </row>
    <row r="18" ht="26" customHeight="1">
      <c r="A18" s="40" t="inlineStr">
        <is>
          <t>Environment</t>
        </is>
      </c>
      <c r="B18" s="41" t="inlineStr">
        <is>
          <t>Deployment Environments</t>
        </is>
      </c>
      <c r="C18" s="39" t="inlineStr">
        <is>
          <t>2 environments (dev prod)</t>
        </is>
      </c>
      <c r="D18" s="41" t="inlineStr">
        <is>
          <t>2 environments (dev prod)</t>
        </is>
      </c>
      <c r="E18" s="41" t="inlineStr">
        <is>
          <t>Enhanced deployment environments</t>
        </is>
      </c>
      <c r="F18" s="41" t="inlineStr">
        <is>
          <t>Enterprise-scale deployment environments</t>
        </is>
      </c>
      <c r="G18" s="41" t="inlineStr">
        <is>
          <t>Sizing parameter for Deployment Environments</t>
        </is>
      </c>
      <c r="H18" s="41" t="inlineStr"/>
    </row>
    <row r="19" ht="26" customHeight="1">
      <c r="A19" s="37" t="inlineStr"/>
      <c r="B19" s="38" t="inlineStr"/>
      <c r="C19" s="39" t="inlineStr"/>
      <c r="D19" s="38" t="inlineStr"/>
      <c r="E19" s="38" t="inlineStr"/>
      <c r="F19" s="38" t="inlineStr"/>
      <c r="G19" s="38" t="inlineStr"/>
      <c r="H19" s="38" t="inlineStr"/>
    </row>
  </sheetData>
  <autoFilter ref="A2:H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 - EO Sales Engineer Updates Multipliers Based on Customer Scope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Technical Leadership overhead</t>
        </is>
      </c>
      <c r="E11" s="38" t="inlineStr"/>
    </row>
    <row r="12" ht="26" customHeight="1">
      <c r="A12" s="40" t="inlineStr"/>
      <c r="B12" s="41" t="inlineStr"/>
      <c r="C12" s="44" t="inlineStr"/>
      <c r="D12" s="41" t="inlineStr"/>
      <c r="E12" s="41" t="inlineStr"/>
    </row>
    <row r="14" ht="20" customHeight="1">
      <c r="A14" s="45" t="inlineStr">
        <is>
          <t>EO Sales Engineer Updates Multipliers Based on Customer Scope</t>
        </is>
      </c>
    </row>
  </sheetData>
  <autoFilter ref="A2:E12"/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6" t="inlineStr">
        <is>
          <t>Discovery</t>
        </is>
      </c>
      <c r="B3" s="47" t="inlineStr">
        <is>
          <t>Security Requirements Gathering</t>
        </is>
      </c>
      <c r="C3" s="47" t="inlineStr">
        <is>
          <t>Conduct security stakeholder interviews and threat modeling</t>
        </is>
      </c>
      <c r="D3" s="47" t="inlineStr">
        <is>
          <t>EO Engineer</t>
        </is>
      </c>
      <c r="E3" s="48" t="n">
        <v>40</v>
      </c>
      <c r="F3" s="49">
        <f>'Estimate Settings'!$C$24</f>
        <v/>
      </c>
      <c r="G3" s="50">
        <f>$E3*$F3</f>
        <v/>
      </c>
      <c r="H3" s="51" t="n">
        <v>150</v>
      </c>
      <c r="I3" s="50">
        <f>TEXT($G3*$H3</f>
        <v/>
      </c>
      <c r="J3" s="47" t="inlineStr">
        <is>
          <t>$#</t>
        </is>
      </c>
      <c r="K3" s="47" t="inlineStr">
        <is>
          <t>##0"")</t>
        </is>
      </c>
    </row>
    <row r="4" ht="26" customHeight="1">
      <c r="A4" s="52" t="inlineStr">
        <is>
          <t>Discovery</t>
        </is>
      </c>
      <c r="B4" s="53" t="inlineStr">
        <is>
          <t>Current Security Assessment</t>
        </is>
      </c>
      <c r="C4" s="53" t="inlineStr">
        <is>
          <t>Analyze existing security tools logs and incident response</t>
        </is>
      </c>
      <c r="D4" s="53" t="inlineStr">
        <is>
          <t>EO Engineer</t>
        </is>
      </c>
      <c r="E4" s="54" t="n">
        <v>32</v>
      </c>
      <c r="F4" s="55">
        <f>'Estimate Settings'!$C$24</f>
        <v/>
      </c>
      <c r="G4" s="56">
        <f>$E4*$F4</f>
        <v/>
      </c>
      <c r="H4" s="57" t="n">
        <v>200</v>
      </c>
      <c r="I4" s="56">
        <f>TEXT($G4*$H4</f>
        <v/>
      </c>
      <c r="J4" s="53" t="inlineStr">
        <is>
          <t>$#</t>
        </is>
      </c>
      <c r="K4" s="53" t="inlineStr">
        <is>
          <t>##0"")</t>
        </is>
      </c>
    </row>
    <row r="5" ht="26" customHeight="1">
      <c r="A5" s="46" t="inlineStr">
        <is>
          <t>Discovery</t>
        </is>
      </c>
      <c r="B5" s="47" t="inlineStr">
        <is>
          <t>Azure Security Assessment</t>
        </is>
      </c>
      <c r="C5" s="47" t="inlineStr">
        <is>
          <t>Evaluate Azure security services (Sentinel Defender Security Center)</t>
        </is>
      </c>
      <c r="D5" s="47" t="inlineStr">
        <is>
          <t>EO Engineer</t>
        </is>
      </c>
      <c r="E5" s="48" t="n">
        <v>24</v>
      </c>
      <c r="F5" s="49">
        <f>'Estimate Settings'!$C$24</f>
        <v/>
      </c>
      <c r="G5" s="50">
        <f>$E5*$F5</f>
        <v/>
      </c>
      <c r="H5" s="51" t="n">
        <v>200</v>
      </c>
      <c r="I5" s="50">
        <f>TEXT($G5*$H5</f>
        <v/>
      </c>
      <c r="J5" s="47" t="inlineStr">
        <is>
          <t>$#</t>
        </is>
      </c>
      <c r="K5" s="47" t="inlineStr">
        <is>
          <t>##0"")</t>
        </is>
      </c>
    </row>
    <row r="6" ht="26" customHeight="1">
      <c r="A6" s="52" t="inlineStr">
        <is>
          <t>Discovery</t>
        </is>
      </c>
      <c r="B6" s="53" t="inlineStr">
        <is>
          <t>Compliance Review</t>
        </is>
      </c>
      <c r="C6" s="53" t="inlineStr">
        <is>
          <t>Assess regulatory requirements and security frameworks</t>
        </is>
      </c>
      <c r="D6" s="53" t="inlineStr">
        <is>
          <t>EO Engineer</t>
        </is>
      </c>
      <c r="E6" s="54" t="n">
        <v>16</v>
      </c>
      <c r="F6" s="55">
        <f>'Estimate Settings'!$C$24</f>
        <v/>
      </c>
      <c r="G6" s="56">
        <f>$E6*$F6</f>
        <v/>
      </c>
      <c r="H6" s="57" t="n">
        <v>175</v>
      </c>
      <c r="I6" s="56">
        <f>TEXT($G6*$H6</f>
        <v/>
      </c>
      <c r="J6" s="53" t="inlineStr">
        <is>
          <t>$#</t>
        </is>
      </c>
      <c r="K6" s="53" t="inlineStr">
        <is>
          <t>##0"")</t>
        </is>
      </c>
    </row>
    <row r="7" ht="26" customHeight="1">
      <c r="A7" s="46" t="inlineStr">
        <is>
          <t>Planning</t>
        </is>
      </c>
      <c r="B7" s="47" t="inlineStr">
        <is>
          <t>SIEM Architecture Design</t>
        </is>
      </c>
      <c r="C7" s="47" t="inlineStr">
        <is>
          <t>Design Azure Sentinel architecture and data connectors</t>
        </is>
      </c>
      <c r="D7" s="47" t="inlineStr">
        <is>
          <t>EO Engineer</t>
        </is>
      </c>
      <c r="E7" s="48" t="n">
        <v>48</v>
      </c>
      <c r="F7" s="49">
        <f>'Estimate Settings'!$C$25</f>
        <v/>
      </c>
      <c r="G7" s="50">
        <f>$E7*$F7</f>
        <v/>
      </c>
      <c r="H7" s="51" t="n">
        <v>200</v>
      </c>
      <c r="I7" s="50">
        <f>TEXT($G7*$H7</f>
        <v/>
      </c>
      <c r="J7" s="47" t="inlineStr">
        <is>
          <t>$#</t>
        </is>
      </c>
      <c r="K7" s="47" t="inlineStr">
        <is>
          <t>##0"")</t>
        </is>
      </c>
    </row>
    <row r="8" ht="26" customHeight="1">
      <c r="A8" s="52" t="inlineStr">
        <is>
          <t>Planning</t>
        </is>
      </c>
      <c r="B8" s="53" t="inlineStr">
        <is>
          <t>Security Playbook Design</t>
        </is>
      </c>
      <c r="C8" s="53" t="inlineStr">
        <is>
          <t>Design incident response playbooks and automation workflows</t>
        </is>
      </c>
      <c r="D8" s="53" t="inlineStr">
        <is>
          <t>EO Engineer</t>
        </is>
      </c>
      <c r="E8" s="54" t="n">
        <v>32</v>
      </c>
      <c r="F8" s="55">
        <f>'Estimate Settings'!$C$25</f>
        <v/>
      </c>
      <c r="G8" s="56">
        <f>$E8*$F8</f>
        <v/>
      </c>
      <c r="H8" s="57" t="n">
        <v>180</v>
      </c>
      <c r="I8" s="56">
        <f>TEXT($G8*$H8</f>
        <v/>
      </c>
      <c r="J8" s="53" t="inlineStr">
        <is>
          <t>$#</t>
        </is>
      </c>
      <c r="K8" s="53" t="inlineStr">
        <is>
          <t>##0"")</t>
        </is>
      </c>
    </row>
    <row r="9" ht="26" customHeight="1">
      <c r="A9" s="46" t="inlineStr">
        <is>
          <t>Planning</t>
        </is>
      </c>
      <c r="B9" s="47" t="inlineStr">
        <is>
          <t>Security Governance</t>
        </is>
      </c>
      <c r="C9" s="47" t="inlineStr">
        <is>
          <t>Design security policies roles and access controls</t>
        </is>
      </c>
      <c r="D9" s="47" t="inlineStr">
        <is>
          <t>EO Engineer</t>
        </is>
      </c>
      <c r="E9" s="48" t="n">
        <v>24</v>
      </c>
      <c r="F9" s="49">
        <f>'Estimate Settings'!$C$25</f>
        <v/>
      </c>
      <c r="G9" s="50">
        <f>$E9*$F9</f>
        <v/>
      </c>
      <c r="H9" s="51" t="n">
        <v>175</v>
      </c>
      <c r="I9" s="50">
        <f>TEXT($G9*$H9</f>
        <v/>
      </c>
      <c r="J9" s="47" t="inlineStr">
        <is>
          <t>$#</t>
        </is>
      </c>
      <c r="K9" s="47" t="inlineStr">
        <is>
          <t>##0"")</t>
        </is>
      </c>
    </row>
    <row r="10" ht="26" customHeight="1">
      <c r="A10" s="52" t="inlineStr">
        <is>
          <t>Planning</t>
        </is>
      </c>
      <c r="B10" s="53" t="inlineStr">
        <is>
          <t>Project Planning</t>
        </is>
      </c>
      <c r="C10" s="53" t="inlineStr">
        <is>
          <t>Develop security implementation timeline and resource allocation</t>
        </is>
      </c>
      <c r="D10" s="53" t="inlineStr">
        <is>
          <t>EO Engineer</t>
        </is>
      </c>
      <c r="E10" s="54" t="n">
        <v>24</v>
      </c>
      <c r="F10" s="55">
        <f>'Estimate Settings'!$C$25</f>
        <v/>
      </c>
      <c r="G10" s="56">
        <f>$E10*$F10</f>
        <v/>
      </c>
      <c r="H10" s="57" t="n">
        <v>140</v>
      </c>
      <c r="I10" s="56">
        <f>TEXT($G10*$H10</f>
        <v/>
      </c>
      <c r="J10" s="53" t="inlineStr">
        <is>
          <t>$#</t>
        </is>
      </c>
      <c r="K10" s="53" t="inlineStr">
        <is>
          <t>##0"")</t>
        </is>
      </c>
    </row>
    <row r="11" ht="26" customHeight="1">
      <c r="A11" s="46" t="inlineStr">
        <is>
          <t>Development</t>
        </is>
      </c>
      <c r="B11" s="47" t="inlineStr">
        <is>
          <t>Azure Sentinel Deployment</t>
        </is>
      </c>
      <c r="C11" s="47" t="inlineStr">
        <is>
          <t>Deploy and configure Azure Sentinel workspace and connectors</t>
        </is>
      </c>
      <c r="D11" s="47" t="inlineStr">
        <is>
          <t>EO Engineer</t>
        </is>
      </c>
      <c r="E11" s="48" t="n">
        <v>40</v>
      </c>
      <c r="F11" s="49">
        <f>'Estimate Settings'!$C$26</f>
        <v/>
      </c>
      <c r="G11" s="50">
        <f>$E11*$F11</f>
        <v/>
      </c>
      <c r="H11" s="51" t="n">
        <v>160</v>
      </c>
      <c r="I11" s="50">
        <f>TEXT($G11*$H11</f>
        <v/>
      </c>
      <c r="J11" s="47" t="inlineStr">
        <is>
          <t>$#</t>
        </is>
      </c>
      <c r="K11" s="47" t="inlineStr">
        <is>
          <t>##0"")</t>
        </is>
      </c>
    </row>
    <row r="12" ht="26" customHeight="1">
      <c r="A12" s="52" t="inlineStr">
        <is>
          <t>Development</t>
        </is>
      </c>
      <c r="B12" s="53" t="inlineStr">
        <is>
          <t>Log Analytics Configuration</t>
        </is>
      </c>
      <c r="C12" s="53" t="inlineStr">
        <is>
          <t>Configure log collection parsing normalization and enrichment</t>
        </is>
      </c>
      <c r="D12" s="53" t="inlineStr">
        <is>
          <t>EO Engineer</t>
        </is>
      </c>
      <c r="E12" s="54" t="n">
        <v>60</v>
      </c>
      <c r="F12" s="55">
        <f>'Estimate Settings'!$C$26</f>
        <v/>
      </c>
      <c r="G12" s="56">
        <f>$E12*$F12</f>
        <v/>
      </c>
      <c r="H12" s="57" t="n">
        <v>145</v>
      </c>
      <c r="I12" s="56">
        <f>TEXT($G12*$H12</f>
        <v/>
      </c>
      <c r="J12" s="53" t="inlineStr">
        <is>
          <t>$#</t>
        </is>
      </c>
      <c r="K12" s="53" t="inlineStr">
        <is>
          <t>##0"")</t>
        </is>
      </c>
    </row>
    <row r="13" ht="26" customHeight="1">
      <c r="A13" s="46" t="inlineStr">
        <is>
          <t>Development</t>
        </is>
      </c>
      <c r="B13" s="47" t="inlineStr">
        <is>
          <t>Security Rules and Detection</t>
        </is>
      </c>
      <c r="C13" s="47" t="inlineStr">
        <is>
          <t>Build detection rules alerts and threat hunting queries</t>
        </is>
      </c>
      <c r="D13" s="47" t="inlineStr">
        <is>
          <t>EO Engineer</t>
        </is>
      </c>
      <c r="E13" s="48" t="n">
        <v>80</v>
      </c>
      <c r="F13" s="49">
        <f>'Estimate Settings'!$C$26</f>
        <v/>
      </c>
      <c r="G13" s="50">
        <f>$E13*$F13</f>
        <v/>
      </c>
      <c r="H13" s="51" t="n">
        <v>170</v>
      </c>
      <c r="I13" s="50">
        <f>TEXT($G13*$H13</f>
        <v/>
      </c>
      <c r="J13" s="47" t="inlineStr">
        <is>
          <t>$#</t>
        </is>
      </c>
      <c r="K13" s="47" t="inlineStr">
        <is>
          <t>##0"")</t>
        </is>
      </c>
    </row>
    <row r="14" ht="26" customHeight="1">
      <c r="A14" s="52" t="inlineStr">
        <is>
          <t>Development</t>
        </is>
      </c>
      <c r="B14" s="53" t="inlineStr">
        <is>
          <t>Incident Response Automation</t>
        </is>
      </c>
      <c r="C14" s="53" t="inlineStr">
        <is>
          <t>Build automated response playbooks and SOAR workflows</t>
        </is>
      </c>
      <c r="D14" s="53" t="inlineStr">
        <is>
          <t>EO Engineer</t>
        </is>
      </c>
      <c r="E14" s="54" t="n">
        <v>48</v>
      </c>
      <c r="F14" s="55">
        <f>'Estimate Settings'!$C$26</f>
        <v/>
      </c>
      <c r="G14" s="56">
        <f>$E14*$F14</f>
        <v/>
      </c>
      <c r="H14" s="57" t="n">
        <v>165</v>
      </c>
      <c r="I14" s="56">
        <f>TEXT($G14*$H14</f>
        <v/>
      </c>
      <c r="J14" s="53" t="inlineStr">
        <is>
          <t>$#</t>
        </is>
      </c>
      <c r="K14" s="53" t="inlineStr">
        <is>
          <t>##0"")</t>
        </is>
      </c>
    </row>
    <row r="15" ht="26" customHeight="1">
      <c r="A15" s="46" t="inlineStr">
        <is>
          <t>Development</t>
        </is>
      </c>
      <c r="B15" s="47" t="inlineStr">
        <is>
          <t>Security Dashboard and Reporting</t>
        </is>
      </c>
      <c r="C15" s="47" t="inlineStr">
        <is>
          <t>Create SOC dashboards executive reporting and metrics</t>
        </is>
      </c>
      <c r="D15" s="47" t="inlineStr">
        <is>
          <t>EO Engineer</t>
        </is>
      </c>
      <c r="E15" s="48" t="n">
        <v>40</v>
      </c>
      <c r="F15" s="49">
        <f>'Estimate Settings'!$C$26</f>
        <v/>
      </c>
      <c r="G15" s="50">
        <f>$E15*$F15</f>
        <v/>
      </c>
      <c r="H15" s="51" t="n">
        <v>130</v>
      </c>
      <c r="I15" s="50">
        <f>TEXT($G15*$H15</f>
        <v/>
      </c>
      <c r="J15" s="47" t="inlineStr">
        <is>
          <t>$#</t>
        </is>
      </c>
      <c r="K15" s="47" t="inlineStr">
        <is>
          <t>##0"")</t>
        </is>
      </c>
    </row>
    <row r="16" ht="26" customHeight="1">
      <c r="A16" s="52" t="inlineStr">
        <is>
          <t>Development</t>
        </is>
      </c>
      <c r="B16" s="53" t="inlineStr">
        <is>
          <t>Integration Development</t>
        </is>
      </c>
      <c r="C16" s="53" t="inlineStr">
        <is>
          <t>Build integrations with existing security tools and ITSM</t>
        </is>
      </c>
      <c r="D16" s="53" t="inlineStr">
        <is>
          <t>EO Engineer</t>
        </is>
      </c>
      <c r="E16" s="54" t="n">
        <v>32</v>
      </c>
      <c r="F16" s="55">
        <f>'Estimate Settings'!$C$26</f>
        <v/>
      </c>
      <c r="G16" s="56">
        <f>$E16*$F16</f>
        <v/>
      </c>
      <c r="H16" s="57" t="n">
        <v>155</v>
      </c>
      <c r="I16" s="56">
        <f>TEXT($G16*$H16</f>
        <v/>
      </c>
      <c r="J16" s="53" t="inlineStr">
        <is>
          <t>$#</t>
        </is>
      </c>
      <c r="K16" s="53" t="inlineStr">
        <is>
          <t>##0"")</t>
        </is>
      </c>
    </row>
    <row r="17" ht="26" customHeight="1">
      <c r="A17" s="46" t="inlineStr">
        <is>
          <t>Testing</t>
        </is>
      </c>
      <c r="B17" s="47" t="inlineStr">
        <is>
          <t>Unit Testing</t>
        </is>
      </c>
      <c r="C17" s="47" t="inlineStr">
        <is>
          <t>Develop automated tests for all solution components</t>
        </is>
      </c>
      <c r="D17" s="47" t="inlineStr">
        <is>
          <t>EO Engineer</t>
        </is>
      </c>
      <c r="E17" s="48" t="n">
        <v>32</v>
      </c>
      <c r="F17" s="49">
        <f>'Estimate Settings'!$C$27</f>
        <v/>
      </c>
      <c r="G17" s="50">
        <f>$E17*$F17</f>
        <v/>
      </c>
      <c r="H17" s="51" t="n">
        <v>120</v>
      </c>
      <c r="I17" s="50">
        <f>TEXT($G17*$H17</f>
        <v/>
      </c>
      <c r="J17" s="47" t="inlineStr">
        <is>
          <t>$#</t>
        </is>
      </c>
      <c r="K17" s="47" t="inlineStr">
        <is>
          <t>##0"")</t>
        </is>
      </c>
    </row>
    <row r="18" ht="26" customHeight="1">
      <c r="A18" s="52" t="inlineStr">
        <is>
          <t>Testing</t>
        </is>
      </c>
      <c r="B18" s="53" t="inlineStr">
        <is>
          <t>Integration Testing</t>
        </is>
      </c>
      <c r="C18" s="53" t="inlineStr">
        <is>
          <t>Test system integrations data flows and external dependencies</t>
        </is>
      </c>
      <c r="D18" s="53" t="inlineStr">
        <is>
          <t>EO Engineer</t>
        </is>
      </c>
      <c r="E18" s="54" t="n">
        <v>40</v>
      </c>
      <c r="F18" s="55">
        <f>'Estimate Settings'!$C$27</f>
        <v/>
      </c>
      <c r="G18" s="56">
        <f>$E18*$F18</f>
        <v/>
      </c>
      <c r="H18" s="57" t="n">
        <v>120</v>
      </c>
      <c r="I18" s="56">
        <f>TEXT($G18*$H18</f>
        <v/>
      </c>
      <c r="J18" s="53" t="inlineStr">
        <is>
          <t>$#</t>
        </is>
      </c>
      <c r="K18" s="53" t="inlineStr">
        <is>
          <t>##0"")</t>
        </is>
      </c>
    </row>
    <row r="19" ht="26" customHeight="1">
      <c r="A19" s="46" t="inlineStr">
        <is>
          <t>Testing</t>
        </is>
      </c>
      <c r="B19" s="47" t="inlineStr">
        <is>
          <t>Performance Testing</t>
        </is>
      </c>
      <c r="C19" s="47" t="inlineStr">
        <is>
          <t>Conduct load performance and scalability testing</t>
        </is>
      </c>
      <c r="D19" s="47" t="inlineStr">
        <is>
          <t>EO Engineer</t>
        </is>
      </c>
      <c r="E19" s="48" t="n">
        <v>24</v>
      </c>
      <c r="F19" s="49">
        <f>'Estimate Settings'!$C$27</f>
        <v/>
      </c>
      <c r="G19" s="50">
        <f>$E19*$F19</f>
        <v/>
      </c>
      <c r="H19" s="51" t="n">
        <v>140</v>
      </c>
      <c r="I19" s="50">
        <f>TEXT($G19*$H19</f>
        <v/>
      </c>
      <c r="J19" s="47" t="inlineStr">
        <is>
          <t>$#</t>
        </is>
      </c>
      <c r="K19" s="47" t="inlineStr">
        <is>
          <t>##0"")</t>
        </is>
      </c>
    </row>
    <row r="20" ht="26" customHeight="1">
      <c r="A20" s="52" t="inlineStr">
        <is>
          <t>Testing</t>
        </is>
      </c>
      <c r="B20" s="53" t="inlineStr">
        <is>
          <t>Security Testing</t>
        </is>
      </c>
      <c r="C20" s="53" t="inlineStr">
        <is>
          <t>Perform security assessments penetration testing and compliance validation</t>
        </is>
      </c>
      <c r="D20" s="53" t="inlineStr">
        <is>
          <t>EO Engineer</t>
        </is>
      </c>
      <c r="E20" s="54" t="n">
        <v>16</v>
      </c>
      <c r="F20" s="55">
        <f>'Estimate Settings'!$C$27</f>
        <v/>
      </c>
      <c r="G20" s="56">
        <f>$E20*$F20</f>
        <v/>
      </c>
      <c r="H20" s="57" t="n">
        <v>175</v>
      </c>
      <c r="I20" s="56">
        <f>TEXT($G20*$H20</f>
        <v/>
      </c>
      <c r="J20" s="53" t="inlineStr">
        <is>
          <t>$#</t>
        </is>
      </c>
      <c r="K20" s="53" t="inlineStr">
        <is>
          <t>##0"")</t>
        </is>
      </c>
    </row>
    <row r="21" ht="26" customHeight="1">
      <c r="A21" s="46" t="inlineStr">
        <is>
          <t>Testing</t>
        </is>
      </c>
      <c r="B21" s="47" t="inlineStr">
        <is>
          <t>User Acceptance Testing</t>
        </is>
      </c>
      <c r="C21" s="47" t="inlineStr">
        <is>
          <t>Coordinate UAT with business users and stakeholders</t>
        </is>
      </c>
      <c r="D21" s="47" t="inlineStr">
        <is>
          <t>EO Engineer</t>
        </is>
      </c>
      <c r="E21" s="48" t="n">
        <v>32</v>
      </c>
      <c r="F21" s="49">
        <f>'Estimate Settings'!$C$27</f>
        <v/>
      </c>
      <c r="G21" s="50">
        <f>$E21*$F21</f>
        <v/>
      </c>
      <c r="H21" s="51" t="n">
        <v>150</v>
      </c>
      <c r="I21" s="50">
        <f>TEXT($G21*$H21</f>
        <v/>
      </c>
      <c r="J21" s="47" t="inlineStr">
        <is>
          <t>$#</t>
        </is>
      </c>
      <c r="K21" s="47" t="inlineStr">
        <is>
          <t>##0"")</t>
        </is>
      </c>
    </row>
    <row r="22" ht="26" customHeight="1">
      <c r="A22" s="52" t="inlineStr">
        <is>
          <t>Deployment</t>
        </is>
      </c>
      <c r="B22" s="53" t="inlineStr">
        <is>
          <t>Production Deployment</t>
        </is>
      </c>
      <c r="C22" s="53" t="inlineStr">
        <is>
          <t>Deploy solution to production environment with monitoring</t>
        </is>
      </c>
      <c r="D22" s="53" t="inlineStr">
        <is>
          <t>EO Engineer</t>
        </is>
      </c>
      <c r="E22" s="54" t="n">
        <v>24</v>
      </c>
      <c r="F22" s="55">
        <f>'Estimate Settings'!$C$28</f>
        <v/>
      </c>
      <c r="G22" s="56">
        <f>$E22*$F22</f>
        <v/>
      </c>
      <c r="H22" s="57" t="n">
        <v>160</v>
      </c>
      <c r="I22" s="56">
        <f>TEXT($G22*$H22</f>
        <v/>
      </c>
      <c r="J22" s="53" t="inlineStr">
        <is>
          <t>$#</t>
        </is>
      </c>
      <c r="K22" s="53" t="inlineStr">
        <is>
          <t>##0"")</t>
        </is>
      </c>
    </row>
    <row r="23" ht="26" customHeight="1">
      <c r="A23" s="46" t="inlineStr">
        <is>
          <t>Deployment</t>
        </is>
      </c>
      <c r="B23" s="47" t="inlineStr">
        <is>
          <t>Go-Live Support</t>
        </is>
      </c>
      <c r="C23" s="47" t="inlineStr">
        <is>
          <t>Provide comprehensive support during initial production rollout</t>
        </is>
      </c>
      <c r="D23" s="47" t="inlineStr">
        <is>
          <t>EO Engineer</t>
        </is>
      </c>
      <c r="E23" s="48" t="n">
        <v>48</v>
      </c>
      <c r="F23" s="49">
        <f>'Estimate Settings'!$C$28</f>
        <v/>
      </c>
      <c r="G23" s="50">
        <f>$E23*$F23</f>
        <v/>
      </c>
      <c r="H23" s="51" t="n">
        <v>110</v>
      </c>
      <c r="I23" s="50">
        <f>TEXT($G23*$H23</f>
        <v/>
      </c>
      <c r="J23" s="47" t="inlineStr">
        <is>
          <t>$#</t>
        </is>
      </c>
      <c r="K23" s="47" t="inlineStr">
        <is>
          <t>##0"")</t>
        </is>
      </c>
    </row>
    <row r="24" ht="26" customHeight="1">
      <c r="A24" s="52" t="inlineStr">
        <is>
          <t>Training</t>
        </is>
      </c>
      <c r="B24" s="53" t="inlineStr">
        <is>
          <t>Administrator Training</t>
        </is>
      </c>
      <c r="C24" s="53" t="inlineStr">
        <is>
          <t>Train system administrators and technical support teams</t>
        </is>
      </c>
      <c r="D24" s="53" t="inlineStr">
        <is>
          <t>EO Engineer</t>
        </is>
      </c>
      <c r="E24" s="54" t="n">
        <v>16</v>
      </c>
      <c r="F24" s="55">
        <f>'Estimate Settings'!$C$29</f>
        <v/>
      </c>
      <c r="G24" s="56">
        <f>$E24*$F24</f>
        <v/>
      </c>
      <c r="H24" s="57" t="n">
        <v>130</v>
      </c>
      <c r="I24" s="56">
        <f>TEXT($G24*$H24</f>
        <v/>
      </c>
      <c r="J24" s="53" t="inlineStr">
        <is>
          <t>$#</t>
        </is>
      </c>
      <c r="K24" s="53" t="inlineStr">
        <is>
          <t>##0"")</t>
        </is>
      </c>
    </row>
    <row r="25" ht="26" customHeight="1">
      <c r="A25" s="46" t="inlineStr">
        <is>
          <t>Training</t>
        </is>
      </c>
      <c r="B25" s="47" t="inlineStr">
        <is>
          <t>End User Training</t>
        </is>
      </c>
      <c r="C25" s="47" t="inlineStr">
        <is>
          <t>Train business users on solution functionality and workflows</t>
        </is>
      </c>
      <c r="D25" s="47" t="inlineStr">
        <is>
          <t>EO Engineer</t>
        </is>
      </c>
      <c r="E25" s="48" t="n">
        <v>24</v>
      </c>
      <c r="F25" s="49">
        <f>'Estimate Settings'!$C$29</f>
        <v/>
      </c>
      <c r="G25" s="50">
        <f>$E25*$F25</f>
        <v/>
      </c>
      <c r="H25" s="51" t="n">
        <v>120</v>
      </c>
      <c r="I25" s="50">
        <f>TEXT($G25*$H25</f>
        <v/>
      </c>
      <c r="J25" s="47" t="inlineStr">
        <is>
          <t>$#</t>
        </is>
      </c>
      <c r="K25" s="47" t="inlineStr">
        <is>
          <t>##0"")</t>
        </is>
      </c>
    </row>
    <row r="26" ht="26" customHeight="1">
      <c r="A26" s="52" t="inlineStr">
        <is>
          <t>Training</t>
        </is>
      </c>
      <c r="B26" s="53" t="inlineStr">
        <is>
          <t>Documentation</t>
        </is>
      </c>
      <c r="C26" s="53" t="inlineStr">
        <is>
          <t>Create comprehensive technical and user documentation</t>
        </is>
      </c>
      <c r="D26" s="53" t="inlineStr">
        <is>
          <t>EO Engineer</t>
        </is>
      </c>
      <c r="E26" s="54" t="n">
        <v>32</v>
      </c>
      <c r="F26" s="55">
        <f>'Estimate Settings'!$C$29</f>
        <v/>
      </c>
      <c r="G26" s="56">
        <f>$E26*$F26</f>
        <v/>
      </c>
      <c r="H26" s="57" t="n">
        <v>110</v>
      </c>
      <c r="I26" s="56">
        <f>TEXT($G26*$H26</f>
        <v/>
      </c>
      <c r="J26" s="53" t="inlineStr">
        <is>
          <t>$#</t>
        </is>
      </c>
      <c r="K26" s="53" t="inlineStr">
        <is>
          <t>##0"")</t>
        </is>
      </c>
    </row>
    <row r="27" ht="26" customHeight="1">
      <c r="A27" s="46" t="inlineStr">
        <is>
          <t>Closeout</t>
        </is>
      </c>
      <c r="B27" s="47" t="inlineStr">
        <is>
          <t>Knowledge Transfer</t>
        </is>
      </c>
      <c r="C27" s="47" t="inlineStr">
        <is>
          <t>Transfer solution ownership to operations and support teams</t>
        </is>
      </c>
      <c r="D27" s="47" t="inlineStr">
        <is>
          <t>EO Engineer</t>
        </is>
      </c>
      <c r="E27" s="48" t="n">
        <v>16</v>
      </c>
      <c r="F27" s="49">
        <f>'Estimate Settings'!$C$30</f>
        <v/>
      </c>
      <c r="G27" s="50">
        <f>$E27*$F27</f>
        <v/>
      </c>
      <c r="H27" s="51" t="n">
        <v>140</v>
      </c>
      <c r="I27" s="50">
        <f>TEXT($G27*$H27</f>
        <v/>
      </c>
      <c r="J27" s="47" t="inlineStr">
        <is>
          <t>$#</t>
        </is>
      </c>
      <c r="K27" s="47" t="inlineStr">
        <is>
          <t>##0"")</t>
        </is>
      </c>
    </row>
    <row r="28" ht="26" customHeight="1">
      <c r="A28" s="52" t="inlineStr">
        <is>
          <t>Closeout</t>
        </is>
      </c>
      <c r="B28" s="53" t="inlineStr">
        <is>
          <t>Performance Baseline</t>
        </is>
      </c>
      <c r="C28" s="53" t="inlineStr">
        <is>
          <t>Establish performance metrics monitoring baselines and SLAs</t>
        </is>
      </c>
      <c r="D28" s="53" t="inlineStr">
        <is>
          <t>EO Engineer</t>
        </is>
      </c>
      <c r="E28" s="54" t="n">
        <v>8</v>
      </c>
      <c r="F28" s="55">
        <f>'Estimate Settings'!$C$30</f>
        <v/>
      </c>
      <c r="G28" s="56">
        <f>$E28*$F28</f>
        <v/>
      </c>
      <c r="H28" s="57" t="n">
        <v>130</v>
      </c>
      <c r="I28" s="56">
        <f>TEXT($G28*$H28</f>
        <v/>
      </c>
      <c r="J28" s="53" t="inlineStr">
        <is>
          <t>$#</t>
        </is>
      </c>
      <c r="K28" s="53" t="inlineStr">
        <is>
          <t>##0"")</t>
        </is>
      </c>
    </row>
    <row r="29" ht="26" customHeight="1">
      <c r="A29" s="46" t="inlineStr">
        <is>
          <t>Management</t>
        </is>
      </c>
      <c r="B29" s="47" t="inlineStr">
        <is>
          <t>Technical Leadership</t>
        </is>
      </c>
      <c r="C29" s="47" t="inlineStr">
        <is>
          <t>Quarterback technical oversight and architecture review</t>
        </is>
      </c>
      <c r="D29" s="47" t="inlineStr">
        <is>
          <t>EO Quarterback</t>
        </is>
      </c>
      <c r="E29" s="50">
        <f>ROUND(SUM(E2:E27)*0.25,='Estimate Settings'!$C$31,=$E59*$F59,0)</f>
        <v/>
      </c>
      <c r="F29" s="49">
        <f>TEXT($G29*$H29</f>
        <v/>
      </c>
      <c r="G29" s="50" t="inlineStr">
        <is>
          <t>$#</t>
        </is>
      </c>
      <c r="H29" s="50" t="inlineStr">
        <is>
          <t>##0"")</t>
        </is>
      </c>
      <c r="I29" s="50">
        <f>TEXT(E29*F29,##0")</f>
        <v/>
      </c>
      <c r="J29" s="47" t="inlineStr"/>
      <c r="K29" s="47" t="inlineStr"/>
    </row>
    <row r="30" ht="26" customHeight="1">
      <c r="A30" s="52" t="inlineStr">
        <is>
          <t>Management</t>
        </is>
      </c>
      <c r="B30" s="53" t="inlineStr">
        <is>
          <t>Project Management</t>
        </is>
      </c>
      <c r="C30" s="53" t="inlineStr">
        <is>
          <t>Project coordination and management activities</t>
        </is>
      </c>
      <c r="D30" s="53" t="inlineStr">
        <is>
          <t>EO Project Manager</t>
        </is>
      </c>
      <c r="E30" s="56">
        <f>ROUND(SUM(E2:E27)*0.20,='Estimate Settings'!$C$31,=$E60*$F60,0)</f>
        <v/>
      </c>
      <c r="F30" s="55">
        <f>TEXT($G30*$H30</f>
        <v/>
      </c>
      <c r="G30" s="56" t="inlineStr">
        <is>
          <t>$#</t>
        </is>
      </c>
      <c r="H30" s="56" t="inlineStr">
        <is>
          <t>##0"")</t>
        </is>
      </c>
      <c r="I30" s="56">
        <f>TEXT(E30*F30,##0")</f>
        <v/>
      </c>
      <c r="J30" s="53" t="inlineStr"/>
      <c r="K30" s="53" t="inlineStr"/>
    </row>
    <row r="31" ht="26" customHeight="1">
      <c r="A31" s="58" t="inlineStr"/>
      <c r="B31" s="58" t="inlineStr"/>
      <c r="C31" s="58" t="inlineStr"/>
      <c r="D31" s="58" t="inlineStr"/>
      <c r="E31" s="58" t="inlineStr"/>
      <c r="F31" s="59" t="inlineStr">
        <is>
          <t>TOTAL HOURS</t>
        </is>
      </c>
      <c r="G31" s="59">
        <f>SUM($G$33:$G$60)</f>
        <v/>
      </c>
      <c r="H31" s="59" t="inlineStr">
        <is>
          <t>TOTAL COST</t>
        </is>
      </c>
      <c r="I31" s="59">
        <f>TEXT(SUMPRODUCT($G$33:$G$60</f>
        <v/>
      </c>
      <c r="J31" s="58" t="inlineStr">
        <is>
          <t>$H$33:$H$60)</t>
        </is>
      </c>
      <c r="K31" s="58" t="inlineStr">
        <is>
          <t>$#</t>
        </is>
      </c>
    </row>
  </sheetData>
  <autoFilter ref="A2:K3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Microsoft Partner Services Credit</t>
        </is>
      </c>
      <c r="B3" s="60" t="n">
        <v>0</v>
      </c>
      <c r="C3" s="38" t="inlineStr">
        <is>
          <t>No partner credits available</t>
        </is>
      </c>
    </row>
    <row r="4" ht="26" customHeight="1">
      <c r="A4" s="40" t="inlineStr">
        <is>
          <t>Implementation Discount</t>
        </is>
      </c>
      <c r="B4" s="61" t="n">
        <v>0</v>
      </c>
      <c r="C4" s="41" t="inlineStr">
        <is>
          <t>No implementation discount applicable</t>
        </is>
      </c>
    </row>
    <row r="5" ht="26" customHeight="1">
      <c r="A5" s="62" t="inlineStr">
        <is>
          <t>TOTAL</t>
        </is>
      </c>
      <c r="B5" s="63">
        <f>SUMPRODUCT($G$40:$G$67,$H$40:$H$67)</f>
        <v/>
      </c>
      <c r="C5" s="64" t="inlineStr">
        <is>
          <t>Total Cost</t>
        </is>
      </c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2025-11-25T04:29:01Z</dcterms:modified>
  <cp:lastModifiedBy>Kishan Siram</cp:lastModifiedBy>
</cp:coreProperties>
</file>