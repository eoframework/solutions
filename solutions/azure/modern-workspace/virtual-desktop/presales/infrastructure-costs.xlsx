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zing Guidelines" sheetId="2" state="visible" r:id="rId2"/>
    <sheet xmlns:r="http://schemas.openxmlformats.org/officeDocument/2006/relationships" name="Infrastructure Costs" sheetId="3" state="visible" r:id="rId3"/>
    <sheet xmlns:r="http://schemas.openxmlformats.org/officeDocument/2006/relationships" name="Credits" sheetId="4" state="visible" r:id="rId4"/>
    <sheet xmlns:r="http://schemas.openxmlformats.org/officeDocument/2006/relationships" name="3-Year Summary" sheetId="5" state="visible" r:id="rId5"/>
  </sheets>
  <definedNames>
    <definedName name="_xlnm._FilterDatabase" localSheetId="1" hidden="1">'Sizing Guidelines'!$A$2:$F$12</definedName>
    <definedName name="_xlnm._FilterDatabase" localSheetId="2" hidden="1">'Infrastructure Costs'!$A$2:$K$8</definedName>
    <definedName name="_xlnm._FilterDatabase" localSheetId="3" hidden="1">'Credits'!$A$2:$D$7</definedName>
    <definedName name="_xlnm._FilterDatabase" localSheetId="4" hidden="1">'3-Year Summary'!$A$2:$G$6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$#,##0.0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5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right" vertical="center" wrapText="1"/>
    </xf>
    <xf numFmtId="0" fontId="18" fillId="10" borderId="5" applyAlignment="1" pivotButton="0" quotePrefix="0" xfId="0">
      <alignment horizontal="left" vertical="center" wrapText="1" indent="1"/>
    </xf>
    <xf numFmtId="0" fontId="17" fillId="10" borderId="5" applyAlignment="1" pivotButton="0" quotePrefix="0" xfId="0">
      <alignment horizontal="left" vertical="center" wrapText="1" indent="1"/>
    </xf>
    <xf numFmtId="3" fontId="17" fillId="10" borderId="5" applyAlignment="1" pivotButton="0" quotePrefix="0" xfId="0">
      <alignment horizontal="right" vertical="center" wrapText="1"/>
    </xf>
    <xf numFmtId="165" fontId="17" fillId="10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/>
    </xf>
    <xf numFmtId="0" fontId="19" fillId="5" borderId="5" applyAlignment="1" pivotButton="0" quotePrefix="0" xfId="0">
      <alignment horizontal="center" vertical="center"/>
    </xf>
    <xf numFmtId="165" fontId="19" fillId="5" borderId="5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Infrastructure Costs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Virtual Desktop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8" customWidth="1" min="4" max="4"/>
    <col width="28" customWidth="1" min="5" max="5"/>
    <col width="51" customWidth="1" min="6" max="6"/>
  </cols>
  <sheetData>
    <row r="1" ht="32" customHeight="1">
      <c r="A1" s="35" t="inlineStr">
        <is>
          <t>Sizing Guidelines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Small</t>
        </is>
      </c>
      <c r="D2" s="36" t="inlineStr">
        <is>
          <t>Medium</t>
        </is>
      </c>
      <c r="E2" s="36" t="inlineStr">
        <is>
          <t>Large</t>
        </is>
      </c>
      <c r="F2" s="36" t="inlineStr">
        <is>
          <t>Notes</t>
        </is>
      </c>
    </row>
    <row r="3" ht="26" customHeight="1">
      <c r="A3" s="37" t="inlineStr">
        <is>
          <t>Cloud Services</t>
        </is>
      </c>
      <c r="B3" s="38" t="inlineStr">
        <is>
          <t>Concurrent Users</t>
        </is>
      </c>
      <c r="C3" s="39" t="inlineStr">
        <is>
          <t>50-100 users</t>
        </is>
      </c>
      <c r="D3" s="39" t="inlineStr">
        <is>
          <t>100-250 users</t>
        </is>
      </c>
      <c r="E3" s="39" t="inlineStr">
        <is>
          <t>500+ users</t>
        </is>
      </c>
      <c r="F3" s="38" t="inlineStr">
        <is>
          <t>Simultaneous active users</t>
        </is>
      </c>
    </row>
    <row r="4" ht="26" customHeight="1">
      <c r="A4" s="40" t="inlineStr">
        <is>
          <t>Cloud Services</t>
        </is>
      </c>
      <c r="B4" s="41" t="inlineStr">
        <is>
          <t>Host Pool Type</t>
        </is>
      </c>
      <c r="C4" s="42" t="inlineStr">
        <is>
          <t>Pooled multi-session</t>
        </is>
      </c>
      <c r="D4" s="42" t="inlineStr">
        <is>
          <t>Mixed pooled+personal</t>
        </is>
      </c>
      <c r="E4" s="42" t="inlineStr">
        <is>
          <t>Personal desktops</t>
        </is>
      </c>
      <c r="F4" s="41" t="inlineStr">
        <is>
          <t>Session host deployment model</t>
        </is>
      </c>
    </row>
    <row r="5" ht="26" customHeight="1">
      <c r="A5" s="37" t="inlineStr">
        <is>
          <t>Cloud Services</t>
        </is>
      </c>
      <c r="B5" s="38" t="inlineStr">
        <is>
          <t>Session Host VMs</t>
        </is>
      </c>
      <c r="C5" s="39" t="inlineStr">
        <is>
          <t>8-20 VMs</t>
        </is>
      </c>
      <c r="D5" s="39" t="inlineStr">
        <is>
          <t>20-50 VMs</t>
        </is>
      </c>
      <c r="E5" s="39" t="inlineStr">
        <is>
          <t>100+ VMs</t>
        </is>
      </c>
      <c r="F5" s="38" t="inlineStr">
        <is>
          <t>Total session host count</t>
        </is>
      </c>
    </row>
    <row r="6" ht="26" customHeight="1">
      <c r="A6" s="40" t="inlineStr">
        <is>
          <t>Cloud Services</t>
        </is>
      </c>
      <c r="B6" s="41" t="inlineStr">
        <is>
          <t>VM Size</t>
        </is>
      </c>
      <c r="C6" s="42" t="inlineStr">
        <is>
          <t>D4s_v5 (4 vCPU 16GB)</t>
        </is>
      </c>
      <c r="D6" s="42" t="inlineStr">
        <is>
          <t>D8s_v5 (8 vCPU 32GB)</t>
        </is>
      </c>
      <c r="E6" s="42" t="inlineStr">
        <is>
          <t>D16s_v5+ (16+ vCPU)</t>
        </is>
      </c>
      <c r="F6" s="41" t="inlineStr">
        <is>
          <t>Per-VM compute capacity</t>
        </is>
      </c>
    </row>
    <row r="7" ht="26" customHeight="1">
      <c r="A7" s="37" t="inlineStr">
        <is>
          <t>Cloud Services</t>
        </is>
      </c>
      <c r="B7" s="38" t="inlineStr">
        <is>
          <t>Profile Storage</t>
        </is>
      </c>
      <c r="C7" s="39" t="inlineStr">
        <is>
          <t>500 GB - 1 TB</t>
        </is>
      </c>
      <c r="D7" s="39" t="inlineStr">
        <is>
          <t>1-5 TB</t>
        </is>
      </c>
      <c r="E7" s="39" t="inlineStr">
        <is>
          <t>10+ TB</t>
        </is>
      </c>
      <c r="F7" s="38" t="inlineStr">
        <is>
          <t>FSLogix profile containers</t>
        </is>
      </c>
    </row>
    <row r="8" ht="26" customHeight="1">
      <c r="A8" s="40" t="inlineStr">
        <is>
          <t>Software Licenses</t>
        </is>
      </c>
      <c r="B8" s="41" t="inlineStr">
        <is>
          <t>M365 License Tier</t>
        </is>
      </c>
      <c r="C8" s="42" t="inlineStr">
        <is>
          <t>M365 E3</t>
        </is>
      </c>
      <c r="D8" s="42" t="inlineStr">
        <is>
          <t>M365 E5</t>
        </is>
      </c>
      <c r="E8" s="42" t="inlineStr">
        <is>
          <t>M365 E5 + CAL</t>
        </is>
      </c>
      <c r="F8" s="41" t="inlineStr">
        <is>
          <t>User licensing requirements</t>
        </is>
      </c>
    </row>
    <row r="9" ht="26" customHeight="1">
      <c r="A9" s="37" t="inlineStr">
        <is>
          <t>Software Licenses</t>
        </is>
      </c>
      <c r="B9" s="38" t="inlineStr">
        <is>
          <t>Graphics Workloads</t>
        </is>
      </c>
      <c r="C9" s="39" t="inlineStr">
        <is>
          <t>Standard office</t>
        </is>
      </c>
      <c r="D9" s="39" t="inlineStr">
        <is>
          <t>Light CAD/graphics</t>
        </is>
      </c>
      <c r="E9" s="39" t="inlineStr">
        <is>
          <t>GPU-intensive workloads</t>
        </is>
      </c>
      <c r="F9" s="38" t="inlineStr">
        <is>
          <t>Application requirements</t>
        </is>
      </c>
    </row>
    <row r="10" ht="26" customHeight="1">
      <c r="A10" s="40" t="inlineStr">
        <is>
          <t>Support &amp; Maintenance</t>
        </is>
      </c>
      <c r="B10" s="41" t="inlineStr">
        <is>
          <t>Support Level</t>
        </is>
      </c>
      <c r="C10" s="42" t="inlineStr">
        <is>
          <t>Business hours</t>
        </is>
      </c>
      <c r="D10" s="42" t="inlineStr">
        <is>
          <t>24x5 support</t>
        </is>
      </c>
      <c r="E10" s="42" t="inlineStr">
        <is>
          <t>24x7 premium</t>
        </is>
      </c>
      <c r="F10" s="41" t="inlineStr">
        <is>
          <t>SLA requirements</t>
        </is>
      </c>
    </row>
    <row r="11" ht="26" customHeight="1">
      <c r="A11" s="37" t="inlineStr">
        <is>
          <t>Professional Services</t>
        </is>
      </c>
      <c r="B11" s="38" t="inlineStr">
        <is>
          <t>Implementation Hours</t>
        </is>
      </c>
      <c r="C11" s="39" t="inlineStr">
        <is>
          <t>200-300 hours</t>
        </is>
      </c>
      <c r="D11" s="39" t="inlineStr">
        <is>
          <t>300-500 hours</t>
        </is>
      </c>
      <c r="E11" s="39" t="inlineStr">
        <is>
          <t>600+ hours</t>
        </is>
      </c>
      <c r="F11" s="38" t="inlineStr">
        <is>
          <t>Deployment complexity</t>
        </is>
      </c>
    </row>
    <row r="12" ht="26" customHeight="1">
      <c r="A12" s="40" t="inlineStr">
        <is>
          <t>Professional Services</t>
        </is>
      </c>
      <c r="B12" s="41" t="inlineStr">
        <is>
          <t>User Migration Count</t>
        </is>
      </c>
      <c r="C12" s="42" t="inlineStr">
        <is>
          <t>50-100 users</t>
        </is>
      </c>
      <c r="D12" s="42" t="inlineStr">
        <is>
          <t>100-250 users</t>
        </is>
      </c>
      <c r="E12" s="42" t="inlineStr">
        <is>
          <t>500+ users</t>
        </is>
      </c>
      <c r="F12" s="41" t="inlineStr">
        <is>
          <t>Profile migration scope</t>
        </is>
      </c>
    </row>
  </sheetData>
  <autoFilter ref="A2:F12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5" customWidth="1" min="3" max="3"/>
    <col width="10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  <col width="40" customWidth="1" min="11" max="11"/>
  </cols>
  <sheetData>
    <row r="1" ht="32" customHeight="1">
      <c r="A1" s="35" t="inlineStr">
        <is>
          <t>Infrastructure Costs</t>
        </is>
      </c>
    </row>
    <row r="2" ht="32" customHeight="1">
      <c r="A2" s="36" t="inlineStr">
        <is>
          <t>Category</t>
        </is>
      </c>
      <c r="B2" s="36" t="inlineStr">
        <is>
          <t>Component</t>
        </is>
      </c>
      <c r="C2" s="36" t="inlineStr">
        <is>
          <t>Description</t>
        </is>
      </c>
      <c r="D2" s="36" t="inlineStr">
        <is>
          <t>Quantity</t>
        </is>
      </c>
      <c r="E2" s="36" t="inlineStr">
        <is>
          <t>Unit</t>
        </is>
      </c>
      <c r="F2" s="36" t="inlineStr">
        <is>
          <t>Unit Price</t>
        </is>
      </c>
      <c r="G2" s="36" t="inlineStr">
        <is>
          <t>Annual Cost</t>
        </is>
      </c>
      <c r="H2" s="36" t="inlineStr">
        <is>
          <t>Year 2</t>
        </is>
      </c>
      <c r="I2" s="36" t="inlineStr">
        <is>
          <t>Year 3</t>
        </is>
      </c>
      <c r="J2" s="36" t="inlineStr">
        <is>
          <t>3-Year Total</t>
        </is>
      </c>
      <c r="K2" s="36" t="inlineStr">
        <is>
          <t>Notes</t>
        </is>
      </c>
    </row>
    <row r="3" ht="26" customHeight="1">
      <c r="A3" s="43" t="inlineStr">
        <is>
          <t>Cloud Services</t>
        </is>
      </c>
      <c r="B3" s="44" t="inlineStr">
        <is>
          <t>Session Host VMs</t>
        </is>
      </c>
      <c r="C3" s="44" t="inlineStr">
        <is>
          <t>Windows 11 Multi-Session D4s_v5 for pooled desktops</t>
        </is>
      </c>
      <c r="D3" s="45" t="n">
        <v>20</v>
      </c>
      <c r="E3" s="44" t="inlineStr">
        <is>
          <t>VMs/Month</t>
        </is>
      </c>
      <c r="F3" s="46" t="n">
        <v>120</v>
      </c>
      <c r="G3" s="46">
        <f>D3*F3*12</f>
        <v/>
      </c>
      <c r="H3" s="46">
        <f>G3</f>
        <v/>
      </c>
      <c r="I3" s="46">
        <f>G3</f>
        <v/>
      </c>
      <c r="J3" s="46">
        <f>G3+H3+I3</f>
        <v/>
      </c>
      <c r="K3" s="44" t="inlineStr">
        <is>
          <t>100 users shared hosting</t>
        </is>
      </c>
    </row>
    <row r="4" ht="26" customHeight="1">
      <c r="A4" s="47" t="inlineStr">
        <is>
          <t>Cloud Services</t>
        </is>
      </c>
      <c r="B4" s="48" t="inlineStr">
        <is>
          <t>Azure Files Premium</t>
        </is>
      </c>
      <c r="C4" s="48" t="inlineStr">
        <is>
          <t>FSLogix user profiles storage</t>
        </is>
      </c>
      <c r="D4" s="49" t="n">
        <v>500</v>
      </c>
      <c r="E4" s="48" t="inlineStr">
        <is>
          <t>GB/Month</t>
        </is>
      </c>
      <c r="F4" s="50" t="n">
        <v>1.6</v>
      </c>
      <c r="G4" s="50">
        <f>D4*F4*12</f>
        <v/>
      </c>
      <c r="H4" s="50">
        <f>G4</f>
        <v/>
      </c>
      <c r="I4" s="50">
        <f>G4</f>
        <v/>
      </c>
      <c r="J4" s="50">
        <f>G4+H4+I4</f>
        <v/>
      </c>
      <c r="K4" s="48" t="inlineStr">
        <is>
          <t>Profile and Office containers</t>
        </is>
      </c>
    </row>
    <row r="5" ht="26" customHeight="1">
      <c r="A5" s="43" t="inlineStr">
        <is>
          <t>Cloud Services</t>
        </is>
      </c>
      <c r="B5" s="44" t="inlineStr">
        <is>
          <t>Azure Monitor</t>
        </is>
      </c>
      <c r="C5" s="44" t="inlineStr">
        <is>
          <t>Diagnostics logs and performance metrics</t>
        </is>
      </c>
      <c r="D5" s="45" t="n">
        <v>1</v>
      </c>
      <c r="E5" s="44" t="inlineStr">
        <is>
          <t>Service/Month</t>
        </is>
      </c>
      <c r="F5" s="46" t="n">
        <v>100</v>
      </c>
      <c r="G5" s="46">
        <f>D5*F5*12</f>
        <v/>
      </c>
      <c r="H5" s="46">
        <f>G5</f>
        <v/>
      </c>
      <c r="I5" s="46">
        <f>G5</f>
        <v/>
      </c>
      <c r="J5" s="46">
        <f>G5+H5+I5</f>
        <v/>
      </c>
      <c r="K5" s="44" t="inlineStr">
        <is>
          <t>Operational monitoring</t>
        </is>
      </c>
    </row>
    <row r="6" ht="26" customHeight="1">
      <c r="A6" s="47" t="inlineStr">
        <is>
          <t>Software Licenses</t>
        </is>
      </c>
      <c r="B6" s="48" t="inlineStr">
        <is>
          <t>Microsoft 365 E3</t>
        </is>
      </c>
      <c r="C6" s="48" t="inlineStr">
        <is>
          <t>Office apps and security capabilities</t>
        </is>
      </c>
      <c r="D6" s="49" t="n">
        <v>100</v>
      </c>
      <c r="E6" s="48" t="inlineStr">
        <is>
          <t>Users/Year</t>
        </is>
      </c>
      <c r="F6" s="50" t="n">
        <v>240</v>
      </c>
      <c r="G6" s="50">
        <f>D6*F6</f>
        <v/>
      </c>
      <c r="H6" s="50">
        <f>G6</f>
        <v/>
      </c>
      <c r="I6" s="50">
        <f>G6</f>
        <v/>
      </c>
      <c r="J6" s="50">
        <f>G6+H6+I6</f>
        <v/>
      </c>
      <c r="K6" s="48" t="inlineStr">
        <is>
          <t>Productivity suite</t>
        </is>
      </c>
    </row>
    <row r="7" ht="26" customHeight="1">
      <c r="A7" s="43" t="inlineStr">
        <is>
          <t>Support &amp; Maintenance</t>
        </is>
      </c>
      <c r="B7" s="44" t="inlineStr">
        <is>
          <t>AVD Monitoring</t>
        </is>
      </c>
      <c r="C7" s="44" t="inlineStr">
        <is>
          <t>Azure support and AVD monitoring</t>
        </is>
      </c>
      <c r="D7" s="45" t="n">
        <v>1</v>
      </c>
      <c r="E7" s="44" t="inlineStr">
        <is>
          <t>Service/Month</t>
        </is>
      </c>
      <c r="F7" s="46" t="n">
        <v>432</v>
      </c>
      <c r="G7" s="46">
        <f>D7*F7*12</f>
        <v/>
      </c>
      <c r="H7" s="46">
        <f>G7</f>
        <v/>
      </c>
      <c r="I7" s="46">
        <f>G7</f>
        <v/>
      </c>
      <c r="J7" s="46">
        <f>G7+H7+I7</f>
        <v/>
      </c>
      <c r="K7" s="44" t="inlineStr">
        <is>
          <t>15% of cloud infrastructure</t>
        </is>
      </c>
    </row>
    <row r="8" ht="26" customHeight="1">
      <c r="A8" s="51" t="inlineStr">
        <is>
          <t>TOTAL</t>
        </is>
      </c>
      <c r="B8" s="52" t="n"/>
      <c r="C8" s="52" t="n"/>
      <c r="D8" s="52" t="n"/>
      <c r="E8" s="52" t="n"/>
      <c r="F8" s="52" t="n"/>
      <c r="G8" s="53">
        <f>SUM(G3:G7)</f>
        <v/>
      </c>
      <c r="H8" s="53">
        <f>SUM(H3:H7)</f>
        <v/>
      </c>
      <c r="I8" s="53">
        <f>SUM(I3:I7)</f>
        <v/>
      </c>
      <c r="J8" s="53">
        <f>SUM(J3:J7)</f>
        <v/>
      </c>
      <c r="K8" s="52" t="n"/>
    </row>
  </sheetData>
  <autoFilter ref="A2:K8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75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43" t="inlineStr">
        <is>
          <t>Cloud Services</t>
        </is>
      </c>
      <c r="B3" s="44" t="inlineStr">
        <is>
          <t>Azure Credit</t>
        </is>
      </c>
      <c r="C3" s="46" t="n">
        <v>0</v>
      </c>
      <c r="D3" s="44" t="inlineStr">
        <is>
          <t>No infrastructure credits available</t>
        </is>
      </c>
    </row>
    <row r="4" ht="26" customHeight="1">
      <c r="A4" s="47" t="inlineStr">
        <is>
          <t>Software Licenses</t>
        </is>
      </c>
      <c r="B4" s="48" t="inlineStr">
        <is>
          <t>Partner Credit</t>
        </is>
      </c>
      <c r="C4" s="50" t="n">
        <v>0</v>
      </c>
      <c r="D4" s="48" t="inlineStr">
        <is>
          <t>No software credits available</t>
        </is>
      </c>
    </row>
    <row r="5" ht="26" customHeight="1">
      <c r="A5" s="43" t="inlineStr">
        <is>
          <t>Support &amp; Maintenance</t>
        </is>
      </c>
      <c r="B5" s="44" t="inlineStr">
        <is>
          <t>Program Credit</t>
        </is>
      </c>
      <c r="C5" s="46" t="n">
        <v>0</v>
      </c>
      <c r="D5" s="44" t="inlineStr">
        <is>
          <t>No support credits available</t>
        </is>
      </c>
    </row>
    <row r="6" ht="26" customHeight="1">
      <c r="A6" s="47" t="inlineStr">
        <is>
          <t>Hardware</t>
        </is>
      </c>
      <c r="B6" s="48" t="inlineStr">
        <is>
          <t>Equipment Credit</t>
        </is>
      </c>
      <c r="C6" s="50" t="n">
        <v>0</v>
      </c>
      <c r="D6" s="48" t="inlineStr">
        <is>
          <t>No hardware credits available</t>
        </is>
      </c>
    </row>
    <row r="7" ht="26" customHeight="1">
      <c r="A7" s="43" t="inlineStr">
        <is>
          <t>Professional Services</t>
        </is>
      </c>
      <c r="B7" s="44" t="inlineStr">
        <is>
          <t>Azure Partner Services Credit</t>
        </is>
      </c>
      <c r="C7" s="46" t="n">
        <v>-10000</v>
      </c>
      <c r="D7" s="44" t="inlineStr">
        <is>
          <t>Applied to architecture infrastructure and migration services</t>
        </is>
      </c>
    </row>
  </sheetData>
  <autoFilter ref="A2:D7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2" customHeight="1">
      <c r="A1" s="35" t="inlineStr">
        <is>
          <t>3-Year Summary</t>
        </is>
      </c>
    </row>
    <row r="2" ht="32" customHeight="1">
      <c r="A2" s="36" t="inlineStr">
        <is>
          <t>Category</t>
        </is>
      </c>
      <c r="B2" s="36" t="inlineStr">
        <is>
          <t>Year 1 List</t>
        </is>
      </c>
      <c r="C2" s="36" t="inlineStr">
        <is>
          <t>Year 1 Credits</t>
        </is>
      </c>
      <c r="D2" s="36" t="inlineStr">
        <is>
          <t>Year 1 Net</t>
        </is>
      </c>
      <c r="E2" s="36" t="inlineStr">
        <is>
          <t>Year 2</t>
        </is>
      </c>
      <c r="F2" s="36" t="inlineStr">
        <is>
          <t>Year 3</t>
        </is>
      </c>
      <c r="G2" s="36" t="inlineStr">
        <is>
          <t>3-Year Total</t>
        </is>
      </c>
    </row>
    <row r="3" ht="26" customHeight="1">
      <c r="A3" s="43" t="inlineStr">
        <is>
          <t>Cloud Services</t>
        </is>
      </c>
      <c r="B3" s="46">
        <f>SUMIF('Infrastructure Costs'!$A:$A,A3,'Infrastructure Costs'!$G:$G)</f>
        <v/>
      </c>
      <c r="C3" s="46">
        <f>SUMIF(Credits!$A:$A,A3,Credits!$C:$C)</f>
        <v/>
      </c>
      <c r="D3" s="46">
        <f>B3+C3</f>
        <v/>
      </c>
      <c r="E3" s="46">
        <f>SUMIF('Infrastructure Costs'!$A:$A,A3,'Infrastructure Costs'!$H:$H)</f>
        <v/>
      </c>
      <c r="F3" s="46">
        <f>SUMIF('Infrastructure Costs'!$A:$A,A3,'Infrastructure Costs'!$I:$I)</f>
        <v/>
      </c>
      <c r="G3" s="46">
        <f>D3+E3+F3</f>
        <v/>
      </c>
    </row>
    <row r="4" ht="26" customHeight="1">
      <c r="A4" s="47" t="inlineStr">
        <is>
          <t>Software Licenses</t>
        </is>
      </c>
      <c r="B4" s="50">
        <f>SUMIF('Infrastructure Costs'!$A:$A,A4,'Infrastructure Costs'!$G:$G)</f>
        <v/>
      </c>
      <c r="C4" s="50">
        <f>SUMIF(Credits!$A:$A,A4,Credits!$C:$C)</f>
        <v/>
      </c>
      <c r="D4" s="50">
        <f>B4+C4</f>
        <v/>
      </c>
      <c r="E4" s="50">
        <f>SUMIF('Infrastructure Costs'!$A:$A,A4,'Infrastructure Costs'!$H:$H)</f>
        <v/>
      </c>
      <c r="F4" s="50">
        <f>SUMIF('Infrastructure Costs'!$A:$A,A4,'Infrastructure Costs'!$I:$I)</f>
        <v/>
      </c>
      <c r="G4" s="50">
        <f>D4+E4+F4</f>
        <v/>
      </c>
    </row>
    <row r="5" ht="26" customHeight="1">
      <c r="A5" s="43" t="inlineStr">
        <is>
          <t>Support &amp; Maintenance</t>
        </is>
      </c>
      <c r="B5" s="46">
        <f>SUMIF('Infrastructure Costs'!$A:$A,A5,'Infrastructure Costs'!$G:$G)</f>
        <v/>
      </c>
      <c r="C5" s="46">
        <f>SUMIF(Credits!$A:$A,A5,Credits!$C:$C)</f>
        <v/>
      </c>
      <c r="D5" s="46">
        <f>B5+C5</f>
        <v/>
      </c>
      <c r="E5" s="46">
        <f>SUMIF('Infrastructure Costs'!$A:$A,A5,'Infrastructure Costs'!$H:$H)</f>
        <v/>
      </c>
      <c r="F5" s="46">
        <f>SUMIF('Infrastructure Costs'!$A:$A,A5,'Infrastructure Costs'!$I:$I)</f>
        <v/>
      </c>
      <c r="G5" s="46">
        <f>D5+E5+F5</f>
        <v/>
      </c>
    </row>
    <row r="6" ht="26" customHeight="1">
      <c r="A6" s="51" t="inlineStr">
        <is>
          <t>TOTAL</t>
        </is>
      </c>
      <c r="B6" s="53">
        <f>SUM(B3:B5)</f>
        <v/>
      </c>
      <c r="C6" s="53">
        <f>SUM(C3:C5)</f>
        <v/>
      </c>
      <c r="D6" s="53">
        <f>SUM(D3:D5)</f>
        <v/>
      </c>
      <c r="E6" s="53">
        <f>SUM(E3:E5)</f>
        <v/>
      </c>
      <c r="F6" s="53">
        <f>SUM(F3:F5)</f>
        <v/>
      </c>
      <c r="G6" s="53">
        <f>SUM(G3:G5)</f>
        <v/>
      </c>
    </row>
  </sheetData>
  <autoFilter ref="A2:G6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2025-11-25T04:29:07Z</dcterms:modified>
  <cp:lastModifiedBy>Kishan Siram</cp:lastModifiedBy>
</cp:coreProperties>
</file>