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Modern-Workspace - Virtual Desktop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5" customWidth="1" min="3" max="3"/>
    <col width="25" customWidth="1" min="4" max="4"/>
    <col width="30" customWidth="1" min="5" max="5"/>
    <col width="35" customWidth="1" min="6" max="6"/>
    <col width="6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Host Pools</t>
        </is>
      </c>
      <c r="C3" s="39" t="inlineStr">
        <is>
          <t>3 host pools</t>
        </is>
      </c>
      <c r="D3" s="38" t="inlineStr">
        <is>
          <t>3 host pools</t>
        </is>
      </c>
      <c r="E3" s="38" t="inlineStr">
        <is>
          <t>Enhanced host pools</t>
        </is>
      </c>
      <c r="F3" s="38" t="inlineStr">
        <is>
          <t>Enterprise-scale host pools</t>
        </is>
      </c>
      <c r="G3" s="38" t="inlineStr">
        <is>
          <t>Sizing parameter for Host Pools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Application Groups</t>
        </is>
      </c>
      <c r="C4" s="39" t="inlineStr">
        <is>
          <t>5-10 app groups</t>
        </is>
      </c>
      <c r="D4" s="41" t="inlineStr">
        <is>
          <t>5-10 app groups</t>
        </is>
      </c>
      <c r="E4" s="41" t="inlineStr">
        <is>
          <t>Enhanced application groups</t>
        </is>
      </c>
      <c r="F4" s="41" t="inlineStr">
        <is>
          <t>Enterprise-scale application groups</t>
        </is>
      </c>
      <c r="G4" s="41" t="inlineStr">
        <is>
          <t>Sizing parameter for Application Groups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Identity Integration</t>
        </is>
      </c>
      <c r="C5" s="39" t="inlineStr">
        <is>
          <t>Azure AD hybrid join</t>
        </is>
      </c>
      <c r="D5" s="38" t="inlineStr">
        <is>
          <t>Azure AD hybrid join</t>
        </is>
      </c>
      <c r="E5" s="38" t="inlineStr">
        <is>
          <t>Enhanced identity integration</t>
        </is>
      </c>
      <c r="F5" s="38" t="inlineStr">
        <is>
          <t>Enterprise-scale identity integration</t>
        </is>
      </c>
      <c r="G5" s="38" t="inlineStr">
        <is>
          <t>Sizing parameter for Identity Integration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Profile Management</t>
        </is>
      </c>
      <c r="C6" s="39" t="inlineStr">
        <is>
          <t>FSLogix profile containers</t>
        </is>
      </c>
      <c r="D6" s="41" t="inlineStr">
        <is>
          <t>FSLogix profile containers</t>
        </is>
      </c>
      <c r="E6" s="41" t="inlineStr">
        <is>
          <t>Enhanced profile management</t>
        </is>
      </c>
      <c r="F6" s="41" t="inlineStr">
        <is>
          <t>Enterprise-scale profile management</t>
        </is>
      </c>
      <c r="G6" s="41" t="inlineStr">
        <is>
          <t>Sizing parameter for Profile Management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38" t="inlineStr">
        <is>
          <t>200 concurrent users</t>
        </is>
      </c>
      <c r="E7" s="38" t="inlineStr">
        <is>
          <t>Enhanced total users</t>
        </is>
      </c>
      <c r="F7" s="38" t="inlineStr">
        <is>
          <t>Enterprise-scale total users</t>
        </is>
      </c>
      <c r="G7" s="38" t="inlineStr">
        <is>
          <t>Sizing parameter for Total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(standard power admin)</t>
        </is>
      </c>
      <c r="D8" s="41" t="inlineStr">
        <is>
          <t>3 roles (standard power admin)</t>
        </is>
      </c>
      <c r="E8" s="41" t="inlineStr">
        <is>
          <t>Enhanced user roles</t>
        </is>
      </c>
      <c r="F8" s="41" t="inlineStr">
        <is>
          <t>Enterprise-scale user roles</t>
        </is>
      </c>
      <c r="G8" s="41" t="inlineStr">
        <is>
          <t>Sizing parameter for User Roles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User Profiles</t>
        </is>
      </c>
      <c r="C9" s="39" t="inlineStr">
        <is>
          <t>10 GB per user</t>
        </is>
      </c>
      <c r="D9" s="38" t="inlineStr">
        <is>
          <t>10 GB per user</t>
        </is>
      </c>
      <c r="E9" s="38" t="inlineStr">
        <is>
          <t>Enhanced user profiles</t>
        </is>
      </c>
      <c r="F9" s="38" t="inlineStr">
        <is>
          <t>Enterprise-scale user profiles</t>
        </is>
      </c>
      <c r="G9" s="38" t="inlineStr">
        <is>
          <t>Sizing parameter for User Profiles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Application Data</t>
        </is>
      </c>
      <c r="C10" s="39" t="inlineStr">
        <is>
          <t>500 GB shared storage</t>
        </is>
      </c>
      <c r="D10" s="41" t="inlineStr">
        <is>
          <t>500 GB shared storage</t>
        </is>
      </c>
      <c r="E10" s="41" t="inlineStr">
        <is>
          <t>Enhanced application data</t>
        </is>
      </c>
      <c r="F10" s="41" t="inlineStr">
        <is>
          <t>Enterprise-scale application data</t>
        </is>
      </c>
      <c r="G10" s="41" t="inlineStr">
        <is>
          <t>Sizing parameter for Application Data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 (East US)</t>
        </is>
      </c>
      <c r="E11" s="38" t="inlineStr">
        <is>
          <t>Enhanced deployment regions</t>
        </is>
      </c>
      <c r="F11" s="38" t="inlineStr">
        <is>
          <t>Enterprise-scale deployment regions</t>
        </is>
      </c>
      <c r="G11" s="38" t="inlineStr">
        <is>
          <t>Sizing parameter for Deployment Regions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Enhanced availability requirements</t>
        </is>
      </c>
      <c r="F12" s="41" t="inlineStr">
        <is>
          <t>Enterprise-scale availability requirements</t>
        </is>
      </c>
      <c r="G12" s="41" t="inlineStr">
        <is>
          <t>Sizing parameter for Availability Requirements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Multi-session Windows 11 hosts</t>
        </is>
      </c>
      <c r="D13" s="38" t="inlineStr">
        <is>
          <t>Multi-session Windows 11 hosts</t>
        </is>
      </c>
      <c r="E13" s="38" t="inlineStr">
        <is>
          <t>Enhanced infrastructure complexity</t>
        </is>
      </c>
      <c r="F13" s="38" t="inlineStr">
        <is>
          <t>Enterprise-scale infrastructure complexity</t>
        </is>
      </c>
      <c r="G13" s="38" t="inlineStr">
        <is>
          <t>Sizing parameter for Infrastructure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Conditional Access MFA Intune</t>
        </is>
      </c>
      <c r="D14" s="41" t="inlineStr">
        <is>
          <t>Conditional Access MFA Intune</t>
        </is>
      </c>
      <c r="E14" s="41" t="inlineStr">
        <is>
          <t>Enhanced security requirements</t>
        </is>
      </c>
      <c r="F14" s="41" t="inlineStr">
        <is>
          <t>Enterprise-scale security requirements</t>
        </is>
      </c>
      <c r="G14" s="41" t="inlineStr">
        <is>
          <t>Sizing parameter for Security Requirements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SOC2</t>
        </is>
      </c>
      <c r="E15" s="38" t="inlineStr">
        <is>
          <t>Enhanced compliance frameworks</t>
        </is>
      </c>
      <c r="F15" s="38" t="inlineStr">
        <is>
          <t>Enterprise-scale compliance frameworks</t>
        </is>
      </c>
      <c r="G15" s="38" t="inlineStr">
        <is>
          <t>Sizing parameter for Compliance Frameworks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User Experience</t>
        </is>
      </c>
      <c r="C16" s="39" t="inlineStr">
        <is>
          <t>Standard latency requirements</t>
        </is>
      </c>
      <c r="D16" s="41" t="inlineStr">
        <is>
          <t>Standard latency requirements</t>
        </is>
      </c>
      <c r="E16" s="41" t="inlineStr">
        <is>
          <t>Enhanced user experience</t>
        </is>
      </c>
      <c r="F16" s="41" t="inlineStr">
        <is>
          <t>Enterprise-scale user experience</t>
        </is>
      </c>
      <c r="G16" s="41" t="inlineStr">
        <is>
          <t>Sizing parameter for User Experience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Graphics Requirements</t>
        </is>
      </c>
      <c r="C17" s="39" t="inlineStr">
        <is>
          <t>Standard office workloads</t>
        </is>
      </c>
      <c r="D17" s="38" t="inlineStr">
        <is>
          <t>Standard office workloads</t>
        </is>
      </c>
      <c r="E17" s="38" t="inlineStr">
        <is>
          <t>Enhanced graphics requirements</t>
        </is>
      </c>
      <c r="F17" s="38" t="inlineStr">
        <is>
          <t>Enterprise-scale graphics requirements</t>
        </is>
      </c>
      <c r="G17" s="38" t="inlineStr">
        <is>
          <t>Sizing parameter for Graphics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(pilot prod)</t>
        </is>
      </c>
      <c r="D18" s="41" t="inlineStr">
        <is>
          <t>2 environments (pilot prod)</t>
        </is>
      </c>
      <c r="E18" s="41" t="inlineStr">
        <is>
          <t>Enhanced deployment environments</t>
        </is>
      </c>
      <c r="F18" s="41" t="inlineStr">
        <is>
          <t>Enterprise-scale deployment environments</t>
        </is>
      </c>
      <c r="G18" s="41" t="inlineStr">
        <is>
          <t>Sizing parameter for Deployment Environments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12" customWidth="1" min="3" max="3"/>
    <col width="6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Technical Leadership overhead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18" customWidth="1" min="4" max="4"/>
    <col width="12" customWidth="1" min="5" max="5"/>
    <col width="15" customWidth="1" min="6" max="6"/>
    <col width="12" customWidth="1" min="7" max="7"/>
    <col width="10" customWidth="1" min="8" max="8"/>
    <col width="15" customWidth="1" min="9" max="9"/>
    <col width="20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</f>
        <v/>
      </c>
      <c r="J3" s="47" t="inlineStr">
        <is>
          <t>$#</t>
        </is>
      </c>
      <c r="K3" s="47" t="inlineStr">
        <is>
          <t>##0"")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</f>
        <v/>
      </c>
      <c r="J4" s="53" t="inlineStr">
        <is>
          <t>$#</t>
        </is>
      </c>
      <c r="K4" s="53" t="inlineStr">
        <is>
          <t>##0"")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</f>
        <v/>
      </c>
      <c r="J5" s="47" t="inlineStr">
        <is>
          <t>$#</t>
        </is>
      </c>
      <c r="K5" s="47" t="inlineStr">
        <is>
          <t>##0"")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</f>
        <v/>
      </c>
      <c r="J6" s="53" t="inlineStr">
        <is>
          <t>$#</t>
        </is>
      </c>
      <c r="K6" s="53" t="inlineStr">
        <is>
          <t>##0"")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</f>
        <v/>
      </c>
      <c r="J7" s="47" t="inlineStr">
        <is>
          <t>$#</t>
        </is>
      </c>
      <c r="K7" s="47" t="inlineStr">
        <is>
          <t>##0"")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</f>
        <v/>
      </c>
      <c r="J8" s="53" t="inlineStr">
        <is>
          <t>$#</t>
        </is>
      </c>
      <c r="K8" s="53" t="inlineStr">
        <is>
          <t>##0"")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</f>
        <v/>
      </c>
      <c r="J9" s="47" t="inlineStr">
        <is>
          <t>$#</t>
        </is>
      </c>
      <c r="K9" s="47" t="inlineStr">
        <is>
          <t>##0"")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</f>
        <v/>
      </c>
      <c r="J10" s="53" t="inlineStr">
        <is>
          <t>$#</t>
        </is>
      </c>
      <c r="K10" s="53" t="inlineStr">
        <is>
          <t>##0"")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</f>
        <v/>
      </c>
      <c r="J11" s="47" t="inlineStr">
        <is>
          <t>$#</t>
        </is>
      </c>
      <c r="K11" s="47" t="inlineStr">
        <is>
          <t>##0"")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</f>
        <v/>
      </c>
      <c r="J12" s="53" t="inlineStr">
        <is>
          <t>$#</t>
        </is>
      </c>
      <c r="K12" s="53" t="inlineStr">
        <is>
          <t>##0"")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</f>
        <v/>
      </c>
      <c r="J13" s="47" t="inlineStr">
        <is>
          <t>$#</t>
        </is>
      </c>
      <c r="K13" s="47" t="inlineStr">
        <is>
          <t>##0"")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</f>
        <v/>
      </c>
      <c r="J14" s="53" t="inlineStr">
        <is>
          <t>$#</t>
        </is>
      </c>
      <c r="K14" s="53" t="inlineStr">
        <is>
          <t>##0"")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</f>
        <v/>
      </c>
      <c r="J15" s="47" t="inlineStr">
        <is>
          <t>$#</t>
        </is>
      </c>
      <c r="K15" s="47" t="inlineStr">
        <is>
          <t>##0"")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</f>
        <v/>
      </c>
      <c r="J16" s="53" t="inlineStr">
        <is>
          <t>$#</t>
        </is>
      </c>
      <c r="K16" s="53" t="inlineStr">
        <is>
          <t>##0"")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</f>
        <v/>
      </c>
      <c r="J17" s="47" t="inlineStr">
        <is>
          <t>$#</t>
        </is>
      </c>
      <c r="K17" s="47" t="inlineStr">
        <is>
          <t>##0"")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</f>
        <v/>
      </c>
      <c r="J18" s="53" t="inlineStr">
        <is>
          <t>$#</t>
        </is>
      </c>
      <c r="K18" s="53" t="inlineStr">
        <is>
          <t>##0"")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</f>
        <v/>
      </c>
      <c r="J19" s="47" t="inlineStr">
        <is>
          <t>$#</t>
        </is>
      </c>
      <c r="K19" s="47" t="inlineStr">
        <is>
          <t>##0"")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</f>
        <v/>
      </c>
      <c r="J20" s="53" t="inlineStr">
        <is>
          <t>$#</t>
        </is>
      </c>
      <c r="K20" s="53" t="inlineStr">
        <is>
          <t>##0"")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solution to production environment with monitoring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</f>
        <v/>
      </c>
      <c r="J21" s="47" t="inlineStr">
        <is>
          <t>$#</t>
        </is>
      </c>
      <c r="K21" s="47" t="inlineStr">
        <is>
          <t>##0"")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</f>
        <v/>
      </c>
      <c r="J22" s="53" t="inlineStr">
        <is>
          <t>$#</t>
        </is>
      </c>
      <c r="K22" s="53" t="inlineStr">
        <is>
          <t>##0"")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</f>
        <v/>
      </c>
      <c r="J23" s="47" t="inlineStr">
        <is>
          <t>$#</t>
        </is>
      </c>
      <c r="K23" s="47" t="inlineStr">
        <is>
          <t>##0"")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</f>
        <v/>
      </c>
      <c r="J24" s="53" t="inlineStr">
        <is>
          <t>$#</t>
        </is>
      </c>
      <c r="K24" s="53" t="inlineStr">
        <is>
          <t>##0"")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</f>
        <v/>
      </c>
      <c r="J25" s="47" t="inlineStr">
        <is>
          <t>$#</t>
        </is>
      </c>
      <c r="K25" s="47" t="inlineStr">
        <is>
          <t>##0"")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</f>
        <v/>
      </c>
      <c r="J26" s="53" t="inlineStr">
        <is>
          <t>$#</t>
        </is>
      </c>
      <c r="K26" s="53" t="inlineStr">
        <is>
          <t>##0"")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</f>
        <v/>
      </c>
      <c r="J27" s="47" t="inlineStr">
        <is>
          <t>$#</t>
        </is>
      </c>
      <c r="K27" s="47" t="inlineStr">
        <is>
          <t>##0"")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ROUND(SUM(E2:E26)*0.25,='Estimate Settings'!$C$31,=$E58*$F58,0)</f>
        <v/>
      </c>
      <c r="F28" s="55">
        <f>TEXT($G28*$H28</f>
        <v/>
      </c>
      <c r="G28" s="56" t="inlineStr">
        <is>
          <t>$#</t>
        </is>
      </c>
      <c r="H28" s="56" t="inlineStr">
        <is>
          <t>##0"")</t>
        </is>
      </c>
      <c r="I28" s="56">
        <f>TEXT(E28*F28,##0")</f>
        <v/>
      </c>
      <c r="J28" s="53" t="inlineStr"/>
      <c r="K28" s="53" t="inlineStr"/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and management activities</t>
        </is>
      </c>
      <c r="D29" s="47" t="inlineStr">
        <is>
          <t>EO Project Manager</t>
        </is>
      </c>
      <c r="E29" s="50">
        <f>ROUND(SUM(E2:E26)*0.20,='Estimate Settings'!$C$31,=$E59*$F59,0)</f>
        <v/>
      </c>
      <c r="F29" s="49">
        <f>TEXT($G29*$H29</f>
        <v/>
      </c>
      <c r="G29" s="50" t="inlineStr">
        <is>
          <t>$#</t>
        </is>
      </c>
      <c r="H29" s="50" t="inlineStr">
        <is>
          <t>##0"")</t>
        </is>
      </c>
      <c r="I29" s="50">
        <f>TEXT(E29*F29,##0")</f>
        <v/>
      </c>
      <c r="J29" s="47" t="inlineStr"/>
      <c r="K29" s="47" t="inlineStr"/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</f>
        <v/>
      </c>
      <c r="J30" s="58" t="inlineStr">
        <is>
          <t>$H$33:$H$59)</t>
        </is>
      </c>
      <c r="K30" s="58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20" customWidth="1" min="3" max="3"/>
    <col width="4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Services Credit</t>
        </is>
      </c>
      <c r="C3" s="60" t="n">
        <v>-5000</v>
      </c>
      <c r="D3" s="38" t="inlineStr">
        <is>
          <t>Technology provider partner services credit applied to Year 1</t>
        </is>
      </c>
    </row>
  </sheetData>
  <autoFilter ref="A2:D3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2025-11-22T17:43:21Z</dcterms:modified>
  <cp:lastModifiedBy>Kishan Siram</cp:lastModifiedBy>
</cp:coreProperties>
</file>