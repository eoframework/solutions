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Assumptions'!$A$1:$E$6</definedName>
    <definedName name="_xlnm.Print_Titles" localSheetId="1">'Scope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"/>
  </numFmts>
  <fonts count="12">
    <font>
      <name val="Calibri"/>
      <family val="2"/>
      <color theme="1"/>
      <sz val="11"/>
      <scheme val="minor"/>
    </font>
    <font>
      <name val="Segoe UI"/>
      <color rgb="0095A5A6"/>
      <sz val="12"/>
    </font>
    <font>
      <name val="Segoe UI Light"/>
      <color rgb="002C3E50"/>
      <sz val="28"/>
    </font>
    <font>
      <name val="Segoe UI"/>
      <color rgb="005D6D7E"/>
      <sz val="14"/>
    </font>
    <font>
      <name val="Segoe UI"/>
      <b val="1"/>
      <color rgb="005D6D7E"/>
      <sz val="12"/>
    </font>
    <font>
      <name val="Calibri"/>
      <color rgb="002C3E50"/>
      <sz val="12"/>
    </font>
    <font>
      <name val="Segoe UI"/>
      <color rgb="00CC0000"/>
      <sz val="12"/>
    </font>
    <font>
      <name val="Calibri"/>
      <color rgb="005D6D7E"/>
      <sz val="11"/>
      <u val="single"/>
    </font>
    <font>
      <name val="Segoe UI Semibold"/>
      <b val="1"/>
      <color rgb="00FFFFFF"/>
      <sz val="12"/>
    </font>
    <font>
      <name val="Calibri"/>
      <b val="1"/>
      <color rgb="00CC0000"/>
      <sz val="12"/>
    </font>
    <font>
      <name val="Segoe UI Semibold"/>
      <b val="1"/>
      <color rgb="00FFFFFF"/>
      <sz val="14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2C3E50"/>
        <bgColor rgb="002C3E50"/>
      </patternFill>
    </fill>
    <fill>
      <patternFill patternType="solid">
        <fgColor rgb="00F8FAFB"/>
        <bgColor rgb="00F8FAFB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right" vertical="center" wrapText="1" indent="1"/>
    </xf>
    <xf numFmtId="164" fontId="5" fillId="4" borderId="2" applyAlignment="1" pivotButton="0" quotePrefix="0" xfId="0">
      <alignment horizontal="righ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right" vertical="center" wrapText="1" indent="1"/>
    </xf>
    <xf numFmtId="164" fontId="5" fillId="0" borderId="2" applyAlignment="1" pivotButton="0" quotePrefix="0" xfId="0">
      <alignment horizontal="right" vertical="center" wrapText="1" indent="1"/>
    </xf>
    <xf numFmtId="0" fontId="9" fillId="5" borderId="2" applyAlignment="1" pivotButton="0" quotePrefix="0" xfId="0">
      <alignment horizontal="left" vertical="center" wrapText="1" indent="1"/>
    </xf>
    <xf numFmtId="0" fontId="0" fillId="5" borderId="2" pivotButton="0" quotePrefix="0" xfId="0"/>
    <xf numFmtId="164" fontId="9" fillId="5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10" fillId="3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11" fillId="8" borderId="2" applyAlignment="1" pivotButton="0" quotePrefix="0" xfId="0">
      <alignment horizontal="left" vertical="center" wrapText="1" indent="1"/>
    </xf>
    <xf numFmtId="1" fontId="5" fillId="4" borderId="2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left" vertical="center" wrapText="1" indent="1"/>
    </xf>
    <xf numFmtId="165" fontId="5" fillId="4" borderId="2" applyAlignment="1" pivotButton="0" quotePrefix="0" xfId="0">
      <alignment horizontal="left" vertical="center" wrapText="1" indent="1"/>
    </xf>
    <xf numFmtId="1" fontId="5" fillId="6" borderId="2" applyAlignment="1" pivotButton="0" quotePrefix="0" xfId="0">
      <alignment horizontal="left" vertical="center" wrapText="1" indent="1"/>
    </xf>
    <xf numFmtId="165" fontId="5" fillId="6" borderId="2" applyAlignment="1" pivotButton="0" quotePrefix="0" xfId="0">
      <alignment horizontal="left" vertical="center" wrapText="1" indent="1"/>
    </xf>
    <xf numFmtId="1" fontId="5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1238250" cy="314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60" customHeight="1">
      <c r="B2" s="2" t="inlineStr">
        <is>
          <t>[VENDOR LOGO]</t>
        </is>
      </c>
    </row>
    <row r="3" ht="15" customHeight="1"/>
    <row r="4" ht="40" customHeight="1">
      <c r="B4" s="3" t="inlineStr">
        <is>
          <t>Level Of Effort Estimate</t>
        </is>
      </c>
    </row>
    <row r="5" ht="25" customHeight="1">
      <c r="B5" s="4" t="inlineStr">
        <is>
          <t>Presales Document</t>
        </is>
      </c>
    </row>
    <row r="6" ht="30" customHeight="1"/>
    <row r="7" ht="18" customHeight="1">
      <c r="B7" s="5" t="inlineStr">
        <is>
          <t>Generated:</t>
        </is>
      </c>
      <c r="C7" s="6" t="inlineStr">
        <is>
          <t>November 18, 2025</t>
        </is>
      </c>
    </row>
    <row r="8" ht="18" customHeight="1">
      <c r="B8" s="5" t="inlineStr">
        <is>
          <t>Solution:</t>
        </is>
      </c>
      <c r="C8" s="6" t="inlineStr">
        <is>
          <t>Virtual Desktop</t>
        </is>
      </c>
    </row>
    <row r="9" ht="18" customHeight="1">
      <c r="B9" s="5" t="inlineStr">
        <is>
          <t>Customer:</t>
        </is>
      </c>
      <c r="C9" s="6" t="inlineStr">
        <is>
          <t>[Customer Name]</t>
        </is>
      </c>
    </row>
    <row r="10" ht="18" customHeight="1">
      <c r="B10" s="5" t="inlineStr">
        <is>
          <t>Version:</t>
        </is>
      </c>
      <c r="C10" s="6" t="inlineStr">
        <is>
          <t>1.0</t>
        </is>
      </c>
    </row>
    <row r="11" ht="18" customHeight="1">
      <c r="B11" s="5" t="inlineStr">
        <is>
          <t>Status:</t>
        </is>
      </c>
      <c r="C11" s="7" t="inlineStr">
        <is>
          <t>Draft</t>
        </is>
      </c>
    </row>
    <row r="12" ht="40" customHeight="1"/>
    <row r="13" ht="30" customHeight="1">
      <c r="C13" s="8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5" customWidth="1" min="4" max="4"/>
    <col width="25" customWidth="1" min="5" max="5"/>
    <col width="25" customWidth="1" min="6" max="6"/>
    <col width="60" customWidth="1" min="7" max="7"/>
  </cols>
  <sheetData>
    <row r="1" ht="32" customHeight="1">
      <c r="A1" s="19" t="inlineStr">
        <is>
          <t>Category</t>
        </is>
      </c>
      <c r="B1" s="19" t="inlineStr">
        <is>
          <t>Baseline Assumption</t>
        </is>
      </c>
      <c r="C1" s="19" t="inlineStr">
        <is>
          <t>Current Scope</t>
        </is>
      </c>
      <c r="D1" s="19" t="inlineStr">
        <is>
          <t>Small (1x)</t>
        </is>
      </c>
      <c r="E1" s="19" t="inlineStr">
        <is>
          <t>Medium (2x)</t>
        </is>
      </c>
      <c r="F1" s="19" t="inlineStr">
        <is>
          <t>Large (3x)</t>
        </is>
      </c>
      <c r="G1" s="19" t="inlineStr">
        <is>
          <t>Notes</t>
        </is>
      </c>
      <c r="H1" s="19" t="inlineStr"/>
      <c r="I1" s="19" t="inlineStr"/>
      <c r="J1" s="19" t="inlineStr"/>
      <c r="K1" s="19" t="inlineStr"/>
    </row>
    <row r="2" ht="26" customHeight="1">
      <c r="A2" s="10" t="inlineStr">
        <is>
          <t>Solution Scope</t>
        </is>
      </c>
      <c r="B2" s="10" t="inlineStr">
        <is>
          <t>Host Pools</t>
        </is>
      </c>
      <c r="C2" s="20" t="inlineStr">
        <is>
          <t>3 host pools</t>
        </is>
      </c>
      <c r="D2" s="10" t="inlineStr">
        <is>
          <t>3 host pools</t>
        </is>
      </c>
      <c r="E2" s="10" t="inlineStr">
        <is>
          <t>Enhanced host pools</t>
        </is>
      </c>
      <c r="F2" s="10" t="inlineStr">
        <is>
          <t>Enterprise-scale host pools</t>
        </is>
      </c>
      <c r="G2" s="10" t="inlineStr">
        <is>
          <t>Sizing parameter for Host Pools</t>
        </is>
      </c>
      <c r="H2" s="10" t="inlineStr"/>
      <c r="I2" s="10" t="inlineStr"/>
      <c r="J2" s="10" t="inlineStr"/>
      <c r="K2" s="10" t="inlineStr"/>
    </row>
    <row r="3" ht="26" customHeight="1">
      <c r="A3" s="21" t="inlineStr">
        <is>
          <t>Solution Scope</t>
        </is>
      </c>
      <c r="B3" s="21" t="inlineStr">
        <is>
          <t>Application Groups</t>
        </is>
      </c>
      <c r="C3" s="20" t="inlineStr">
        <is>
          <t>5-10 app groups</t>
        </is>
      </c>
      <c r="D3" s="21" t="inlineStr">
        <is>
          <t>5-10 app groups</t>
        </is>
      </c>
      <c r="E3" s="21" t="inlineStr">
        <is>
          <t>Enhanced application groups</t>
        </is>
      </c>
      <c r="F3" s="21" t="inlineStr">
        <is>
          <t>Enterprise-scale application groups</t>
        </is>
      </c>
      <c r="G3" s="21" t="inlineStr">
        <is>
          <t>Sizing parameter for Application Groups</t>
        </is>
      </c>
      <c r="H3" s="21" t="inlineStr"/>
      <c r="I3" s="21" t="inlineStr"/>
      <c r="J3" s="21" t="inlineStr"/>
      <c r="K3" s="21" t="inlineStr"/>
    </row>
    <row r="4" ht="26" customHeight="1">
      <c r="A4" s="10" t="inlineStr">
        <is>
          <t>Integration</t>
        </is>
      </c>
      <c r="B4" s="10" t="inlineStr">
        <is>
          <t>Identity Integration</t>
        </is>
      </c>
      <c r="C4" s="20" t="inlineStr">
        <is>
          <t>Azure AD hybrid join</t>
        </is>
      </c>
      <c r="D4" s="10" t="inlineStr">
        <is>
          <t>Azure AD hybrid join</t>
        </is>
      </c>
      <c r="E4" s="10" t="inlineStr">
        <is>
          <t>Enhanced identity integration</t>
        </is>
      </c>
      <c r="F4" s="10" t="inlineStr">
        <is>
          <t>Enterprise-scale identity integration</t>
        </is>
      </c>
      <c r="G4" s="10" t="inlineStr">
        <is>
          <t>Sizing parameter for Identity Integration</t>
        </is>
      </c>
      <c r="H4" s="10" t="inlineStr"/>
      <c r="I4" s="10" t="inlineStr"/>
      <c r="J4" s="10" t="inlineStr"/>
      <c r="K4" s="10" t="inlineStr"/>
    </row>
    <row r="5" ht="26" customHeight="1">
      <c r="A5" s="21" t="inlineStr">
        <is>
          <t>Integration</t>
        </is>
      </c>
      <c r="B5" s="21" t="inlineStr">
        <is>
          <t>Profile Management</t>
        </is>
      </c>
      <c r="C5" s="20" t="inlineStr">
        <is>
          <t>FSLogix profile containers</t>
        </is>
      </c>
      <c r="D5" s="21" t="inlineStr">
        <is>
          <t>FSLogix profile containers</t>
        </is>
      </c>
      <c r="E5" s="21" t="inlineStr">
        <is>
          <t>Enhanced profile management</t>
        </is>
      </c>
      <c r="F5" s="21" t="inlineStr">
        <is>
          <t>Enterprise-scale profile management</t>
        </is>
      </c>
      <c r="G5" s="21" t="inlineStr">
        <is>
          <t>Sizing parameter for Profile Management</t>
        </is>
      </c>
      <c r="H5" s="21" t="inlineStr"/>
      <c r="I5" s="21" t="inlineStr"/>
      <c r="J5" s="21" t="inlineStr"/>
      <c r="K5" s="21" t="inlineStr"/>
    </row>
    <row r="6" ht="26" customHeight="1">
      <c r="A6" s="10" t="inlineStr">
        <is>
          <t>User Base</t>
        </is>
      </c>
      <c r="B6" s="10" t="inlineStr">
        <is>
          <t>Total Users</t>
        </is>
      </c>
      <c r="C6" s="20" t="inlineStr">
        <is>
          <t>200 concurrent users</t>
        </is>
      </c>
      <c r="D6" s="10" t="inlineStr">
        <is>
          <t>200 concurrent users</t>
        </is>
      </c>
      <c r="E6" s="10" t="inlineStr">
        <is>
          <t>Enhanced total users</t>
        </is>
      </c>
      <c r="F6" s="10" t="inlineStr">
        <is>
          <t>Enterprise-scale total users</t>
        </is>
      </c>
      <c r="G6" s="10" t="inlineStr">
        <is>
          <t>Sizing parameter for Total Users</t>
        </is>
      </c>
      <c r="H6" s="10" t="inlineStr"/>
      <c r="I6" s="10" t="inlineStr"/>
      <c r="J6" s="10" t="inlineStr"/>
      <c r="K6" s="10" t="inlineStr"/>
    </row>
    <row r="7">
      <c r="A7" s="21" t="inlineStr">
        <is>
          <t>User Base</t>
        </is>
      </c>
      <c r="B7" s="21" t="inlineStr">
        <is>
          <t>User Roles</t>
        </is>
      </c>
      <c r="C7" s="20" t="inlineStr">
        <is>
          <t>3 roles (standard power admin)</t>
        </is>
      </c>
      <c r="D7" s="21" t="inlineStr">
        <is>
          <t>3 roles (standard power admin)</t>
        </is>
      </c>
      <c r="E7" s="21" t="inlineStr">
        <is>
          <t>Enhanced user roles</t>
        </is>
      </c>
      <c r="F7" s="21" t="inlineStr">
        <is>
          <t>Enterprise-scale user roles</t>
        </is>
      </c>
      <c r="G7" s="21" t="inlineStr">
        <is>
          <t>Sizing parameter for User Roles</t>
        </is>
      </c>
      <c r="H7" s="21" t="inlineStr"/>
      <c r="I7" s="21" t="inlineStr"/>
      <c r="J7" s="21" t="inlineStr"/>
      <c r="K7" s="21" t="inlineStr"/>
    </row>
    <row r="8">
      <c r="A8" s="10" t="inlineStr">
        <is>
          <t>Data Volume</t>
        </is>
      </c>
      <c r="B8" s="10" t="inlineStr">
        <is>
          <t>User Profiles</t>
        </is>
      </c>
      <c r="C8" s="20" t="inlineStr">
        <is>
          <t>10 GB per user</t>
        </is>
      </c>
      <c r="D8" s="10" t="inlineStr">
        <is>
          <t>10 GB per user</t>
        </is>
      </c>
      <c r="E8" s="10" t="inlineStr">
        <is>
          <t>Enhanced user profiles</t>
        </is>
      </c>
      <c r="F8" s="10" t="inlineStr">
        <is>
          <t>Enterprise-scale user profiles</t>
        </is>
      </c>
      <c r="G8" s="10" t="inlineStr">
        <is>
          <t>Sizing parameter for User Profiles</t>
        </is>
      </c>
      <c r="H8" s="10" t="inlineStr"/>
      <c r="I8" s="10" t="inlineStr"/>
      <c r="J8" s="10" t="inlineStr"/>
      <c r="K8" s="10" t="inlineStr"/>
    </row>
    <row r="9">
      <c r="A9" s="21" t="inlineStr">
        <is>
          <t>Data Volume</t>
        </is>
      </c>
      <c r="B9" s="21" t="inlineStr">
        <is>
          <t>Application Data</t>
        </is>
      </c>
      <c r="C9" s="20" t="inlineStr">
        <is>
          <t>500 GB shared storage</t>
        </is>
      </c>
      <c r="D9" s="21" t="inlineStr">
        <is>
          <t>500 GB shared storage</t>
        </is>
      </c>
      <c r="E9" s="21" t="inlineStr">
        <is>
          <t>Enhanced application data</t>
        </is>
      </c>
      <c r="F9" s="21" t="inlineStr">
        <is>
          <t>Enterprise-scale application data</t>
        </is>
      </c>
      <c r="G9" s="21" t="inlineStr">
        <is>
          <t>Sizing parameter for Application Data</t>
        </is>
      </c>
      <c r="H9" s="21" t="inlineStr"/>
      <c r="I9" s="21" t="inlineStr"/>
      <c r="J9" s="21" t="inlineStr"/>
      <c r="K9" s="21" t="inlineStr"/>
    </row>
    <row r="10">
      <c r="A10" s="10" t="inlineStr">
        <is>
          <t>Technical Environment</t>
        </is>
      </c>
      <c r="B10" s="10" t="inlineStr">
        <is>
          <t>Deployment Regions</t>
        </is>
      </c>
      <c r="C10" s="20" t="inlineStr">
        <is>
          <t>Single Azure region (East US)</t>
        </is>
      </c>
      <c r="D10" s="10" t="inlineStr">
        <is>
          <t>Single Azure region (East US)</t>
        </is>
      </c>
      <c r="E10" s="10" t="inlineStr">
        <is>
          <t>Enhanced deployment regions</t>
        </is>
      </c>
      <c r="F10" s="10" t="inlineStr">
        <is>
          <t>Enterprise-scale deployment regions</t>
        </is>
      </c>
      <c r="G10" s="10" t="inlineStr">
        <is>
          <t>Sizing parameter for Deployment Regions</t>
        </is>
      </c>
      <c r="H10" s="10" t="inlineStr"/>
      <c r="I10" s="10" t="inlineStr"/>
      <c r="J10" s="10" t="inlineStr"/>
      <c r="K10" s="10" t="inlineStr"/>
    </row>
    <row r="11">
      <c r="A11" s="21" t="inlineStr">
        <is>
          <t>Technical Environment</t>
        </is>
      </c>
      <c r="B11" s="21" t="inlineStr">
        <is>
          <t>Availability Requirements</t>
        </is>
      </c>
      <c r="C11" s="20" t="inlineStr">
        <is>
          <t>Standard (99.9%)</t>
        </is>
      </c>
      <c r="D11" s="21" t="inlineStr">
        <is>
          <t>Standard (99.9%)</t>
        </is>
      </c>
      <c r="E11" s="21" t="inlineStr">
        <is>
          <t>Enhanced availability requirements</t>
        </is>
      </c>
      <c r="F11" s="21" t="inlineStr">
        <is>
          <t>Enterprise-scale availability requirements</t>
        </is>
      </c>
      <c r="G11" s="21" t="inlineStr">
        <is>
          <t>Sizing parameter for Availability Requirements</t>
        </is>
      </c>
      <c r="H11" s="21" t="inlineStr"/>
      <c r="I11" s="21" t="inlineStr"/>
      <c r="J11" s="21" t="inlineStr"/>
      <c r="K11" s="21" t="inlineStr"/>
    </row>
    <row r="12">
      <c r="A12" s="10" t="inlineStr">
        <is>
          <t>Technical Environment</t>
        </is>
      </c>
      <c r="B12" s="10" t="inlineStr">
        <is>
          <t>Infrastructure Complexity</t>
        </is>
      </c>
      <c r="C12" s="20" t="inlineStr">
        <is>
          <t>Multi-session Windows 11 hosts</t>
        </is>
      </c>
      <c r="D12" s="10" t="inlineStr">
        <is>
          <t>Multi-session Windows 11 hosts</t>
        </is>
      </c>
      <c r="E12" s="10" t="inlineStr">
        <is>
          <t>Enhanced infrastructure complexity</t>
        </is>
      </c>
      <c r="F12" s="10" t="inlineStr">
        <is>
          <t>Enterprise-scale infrastructure complexity</t>
        </is>
      </c>
      <c r="G12" s="10" t="inlineStr">
        <is>
          <t>Sizing parameter for Infrastructure Complexity</t>
        </is>
      </c>
      <c r="H12" s="10" t="inlineStr"/>
      <c r="I12" s="10" t="inlineStr"/>
      <c r="J12" s="10" t="inlineStr"/>
      <c r="K12" s="10" t="inlineStr"/>
    </row>
    <row r="13">
      <c r="A13" s="21" t="inlineStr">
        <is>
          <t>Security &amp; Compliance</t>
        </is>
      </c>
      <c r="B13" s="21" t="inlineStr">
        <is>
          <t>Security Requirements</t>
        </is>
      </c>
      <c r="C13" s="20" t="inlineStr">
        <is>
          <t>Conditional Access MFA Intune</t>
        </is>
      </c>
      <c r="D13" s="21" t="inlineStr">
        <is>
          <t>Conditional Access MFA Intune</t>
        </is>
      </c>
      <c r="E13" s="21" t="inlineStr">
        <is>
          <t>Enhanced security requirements</t>
        </is>
      </c>
      <c r="F13" s="21" t="inlineStr">
        <is>
          <t>Enterprise-scale security requirements</t>
        </is>
      </c>
      <c r="G13" s="21" t="inlineStr">
        <is>
          <t>Sizing parameter for Security Requirements</t>
        </is>
      </c>
      <c r="H13" s="21" t="inlineStr"/>
      <c r="I13" s="21" t="inlineStr"/>
      <c r="J13" s="21" t="inlineStr"/>
      <c r="K13" s="21" t="inlineStr"/>
    </row>
    <row r="14">
      <c r="A14" s="10" t="inlineStr">
        <is>
          <t>Security &amp; Compliance</t>
        </is>
      </c>
      <c r="B14" s="10" t="inlineStr">
        <is>
          <t>Compliance Frameworks</t>
        </is>
      </c>
      <c r="C14" s="20" t="inlineStr">
        <is>
          <t>SOC2</t>
        </is>
      </c>
      <c r="D14" s="10" t="inlineStr">
        <is>
          <t>SOC2</t>
        </is>
      </c>
      <c r="E14" s="10" t="inlineStr">
        <is>
          <t>Enhanced compliance frameworks</t>
        </is>
      </c>
      <c r="F14" s="10" t="inlineStr">
        <is>
          <t>Enterprise-scale compliance frameworks</t>
        </is>
      </c>
      <c r="G14" s="10" t="inlineStr">
        <is>
          <t>Sizing parameter for Compliance Frameworks</t>
        </is>
      </c>
      <c r="H14" s="10" t="inlineStr"/>
      <c r="I14" s="10" t="inlineStr"/>
      <c r="J14" s="10" t="inlineStr"/>
      <c r="K14" s="10" t="inlineStr"/>
    </row>
    <row r="15">
      <c r="A15" s="21" t="inlineStr">
        <is>
          <t>Performance</t>
        </is>
      </c>
      <c r="B15" s="21" t="inlineStr">
        <is>
          <t>User Experience</t>
        </is>
      </c>
      <c r="C15" s="20" t="inlineStr">
        <is>
          <t>Standard latency requirements</t>
        </is>
      </c>
      <c r="D15" s="21" t="inlineStr">
        <is>
          <t>Standard latency requirements</t>
        </is>
      </c>
      <c r="E15" s="21" t="inlineStr">
        <is>
          <t>Enhanced user experience</t>
        </is>
      </c>
      <c r="F15" s="21" t="inlineStr">
        <is>
          <t>Enterprise-scale user experience</t>
        </is>
      </c>
      <c r="G15" s="21" t="inlineStr">
        <is>
          <t>Sizing parameter for User Experience</t>
        </is>
      </c>
      <c r="H15" s="21" t="inlineStr"/>
      <c r="I15" s="21" t="inlineStr"/>
      <c r="J15" s="21" t="inlineStr"/>
      <c r="K15" s="21" t="inlineStr"/>
    </row>
    <row r="16">
      <c r="A16" s="10" t="inlineStr">
        <is>
          <t>Performance</t>
        </is>
      </c>
      <c r="B16" s="10" t="inlineStr">
        <is>
          <t>Graphics Requirements</t>
        </is>
      </c>
      <c r="C16" s="20" t="inlineStr">
        <is>
          <t>Standard office workloads</t>
        </is>
      </c>
      <c r="D16" s="10" t="inlineStr">
        <is>
          <t>Standard office workloads</t>
        </is>
      </c>
      <c r="E16" s="10" t="inlineStr">
        <is>
          <t>Enhanced graphics requirements</t>
        </is>
      </c>
      <c r="F16" s="10" t="inlineStr">
        <is>
          <t>Enterprise-scale graphics requirements</t>
        </is>
      </c>
      <c r="G16" s="10" t="inlineStr">
        <is>
          <t>Sizing parameter for Graphics Requirements</t>
        </is>
      </c>
      <c r="H16" s="10" t="inlineStr"/>
      <c r="I16" s="10" t="inlineStr"/>
      <c r="J16" s="10" t="inlineStr"/>
      <c r="K16" s="10" t="inlineStr"/>
    </row>
    <row r="17">
      <c r="A17" s="21" t="inlineStr">
        <is>
          <t>Environment</t>
        </is>
      </c>
      <c r="B17" s="21" t="inlineStr">
        <is>
          <t>Deployment Environments</t>
        </is>
      </c>
      <c r="C17" s="20" t="inlineStr">
        <is>
          <t>2 environments (pilot prod)</t>
        </is>
      </c>
      <c r="D17" s="21" t="inlineStr">
        <is>
          <t>2 environments (pilot prod)</t>
        </is>
      </c>
      <c r="E17" s="21" t="inlineStr">
        <is>
          <t>Enhanced deployment environments</t>
        </is>
      </c>
      <c r="F17" s="21" t="inlineStr">
        <is>
          <t>Enterprise-scale deployment environments</t>
        </is>
      </c>
      <c r="G17" s="21" t="inlineStr">
        <is>
          <t>Sizing parameter for Deployment Environments</t>
        </is>
      </c>
      <c r="H17" s="21" t="inlineStr"/>
      <c r="I17" s="21" t="inlineStr"/>
      <c r="J17" s="21" t="inlineStr"/>
      <c r="K17" s="2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</sheetData>
  <autoFilter ref="A1:E6"/>
  <pageMargins left="0.5" right="0.5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22" t="inlineStr">
        <is>
          <t>INSTRUCTIONS: How to Use Estimate Settings</t>
        </is>
      </c>
    </row>
    <row r="2">
      <c r="A2" s="23" t="inlineStr"/>
    </row>
    <row r="3">
      <c r="A3" s="23" t="inlineStr">
        <is>
          <t>This sheet contains phase-based multiplier variables that control effort scaling for each project phase.</t>
        </is>
      </c>
    </row>
    <row r="4">
      <c r="A4" s="23" t="inlineStr">
        <is>
          <t>The EO Sales Engineer updates these multipliers based on customer scope compared to baseline assumptions.</t>
        </is>
      </c>
    </row>
    <row r="5">
      <c r="A5" s="23" t="inlineStr"/>
    </row>
    <row r="6">
      <c r="A6" s="24" t="inlineStr">
        <is>
          <t>How It Works:</t>
        </is>
      </c>
    </row>
    <row r="7">
      <c r="A7" s="23" t="inlineStr">
        <is>
          <t>1. Review customer requirements from Discovery Questionnaire</t>
        </is>
      </c>
    </row>
    <row r="8">
      <c r="A8" s="23" t="inlineStr">
        <is>
          <t>2. Compare customer scope to Baseline Assumptions (see 'Scope Assumptions' sheet)</t>
        </is>
      </c>
    </row>
    <row r="9">
      <c r="A9" s="23" t="inlineStr">
        <is>
          <t>3. Update YELLOW HIGHLIGHTED multiplier values below (Column C) for each phase</t>
        </is>
      </c>
    </row>
    <row r="10">
      <c r="A10" s="23" t="inlineStr">
        <is>
          <t>4. All tasks in that phase on the 'LOE' sheet automatically update their Actual Hours</t>
        </is>
      </c>
    </row>
    <row r="11">
      <c r="A11" s="23" t="inlineStr">
        <is>
          <t>5. Total cost recalculates automatically</t>
        </is>
      </c>
    </row>
    <row r="12">
      <c r="A12" s="23" t="inlineStr"/>
    </row>
    <row r="13">
      <c r="A13" s="24" t="inlineStr">
        <is>
          <t>Multiplier Guidelines:</t>
        </is>
      </c>
    </row>
    <row r="14">
      <c r="A14" s="23" t="inlineStr">
        <is>
          <t>• 1.0 = Matches baseline exactly (Small scope)</t>
        </is>
      </c>
    </row>
    <row r="15">
      <c r="A15" s="23" t="inlineStr">
        <is>
          <t>• 1.5-2.0 = Medium scope (moderately above baseline)</t>
        </is>
      </c>
    </row>
    <row r="16">
      <c r="A16" s="23" t="inlineStr">
        <is>
          <t>• 2.0-3.0 = Large scope (significantly above baseline)</t>
        </is>
      </c>
    </row>
    <row r="17">
      <c r="A17" s="23" t="inlineStr">
        <is>
          <t>• 3.0+ = Very large/complex (substantially above baseline, document rationale)</t>
        </is>
      </c>
    </row>
    <row r="18">
      <c r="A18" s="23" t="inlineStr"/>
    </row>
    <row r="19">
      <c r="A19" s="23" t="inlineStr">
        <is>
          <t>Example: Customer needs comprehensive testing due to compliance → Set TESTING_MX to 2.0</t>
        </is>
      </c>
    </row>
    <row r="20">
      <c r="A20" s="23" t="inlineStr">
        <is>
          <t>Example: Complex architecture requiring more technical oversight → Set LEADERSHIP_MX to 1.5</t>
        </is>
      </c>
    </row>
    <row r="21">
      <c r="A21" s="23" t="inlineStr"/>
    </row>
    <row r="22">
      <c r="A22" s="25" t="inlineStr">
        <is>
          <t>ESTIMATE SETTINGS - Update phase multipliers in Column C below:</t>
        </is>
      </c>
    </row>
    <row r="23" ht="32" customHeight="1">
      <c r="A23" s="19" t="inlineStr">
        <is>
          <t>Phase</t>
        </is>
      </c>
      <c r="B23" s="19" t="inlineStr">
        <is>
          <t>Variable Name</t>
        </is>
      </c>
      <c r="C23" s="19" t="inlineStr">
        <is>
          <t>Multiplier</t>
        </is>
      </c>
      <c r="D23" s="19" t="inlineStr">
        <is>
          <t>Description / Applies To Tasks</t>
        </is>
      </c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</row>
    <row r="24">
      <c r="A24" s="10" t="inlineStr">
        <is>
          <t>Discovery</t>
        </is>
      </c>
      <c r="B24" s="10" t="inlineStr">
        <is>
          <t>DISCOVERY_MX</t>
        </is>
      </c>
      <c r="C24" s="26" t="n">
        <v>1</v>
      </c>
      <c r="D24" s="10" t="inlineStr">
        <is>
          <t>All Discovery phase tasks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</row>
    <row r="25">
      <c r="A25" s="21" t="inlineStr">
        <is>
          <t>Planning</t>
        </is>
      </c>
      <c r="B25" s="21" t="inlineStr">
        <is>
          <t>PLANNING_MX</t>
        </is>
      </c>
      <c r="C25" s="26" t="n">
        <v>1</v>
      </c>
      <c r="D25" s="21" t="inlineStr">
        <is>
          <t>All Planning phase tasks</t>
        </is>
      </c>
      <c r="E25" s="21" t="inlineStr"/>
      <c r="F25" s="21" t="inlineStr"/>
      <c r="G25" s="21" t="inlineStr"/>
      <c r="H25" s="21" t="inlineStr"/>
      <c r="I25" s="21" t="inlineStr"/>
      <c r="J25" s="21" t="inlineStr"/>
      <c r="K25" s="21" t="inlineStr"/>
    </row>
    <row r="26">
      <c r="A26" s="10" t="inlineStr">
        <is>
          <t>Development</t>
        </is>
      </c>
      <c r="B26" s="10" t="inlineStr">
        <is>
          <t>DEVELOPMENT_MX</t>
        </is>
      </c>
      <c r="C26" s="26" t="n">
        <v>1</v>
      </c>
      <c r="D26" s="10" t="inlineStr">
        <is>
          <t>All Development phase tasks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</row>
    <row r="27">
      <c r="A27" s="21" t="inlineStr">
        <is>
          <t>Testing</t>
        </is>
      </c>
      <c r="B27" s="21" t="inlineStr">
        <is>
          <t>TESTING_MX</t>
        </is>
      </c>
      <c r="C27" s="26" t="n">
        <v>1</v>
      </c>
      <c r="D27" s="21" t="inlineStr">
        <is>
          <t>All Testing phase tasks</t>
        </is>
      </c>
      <c r="E27" s="21" t="inlineStr"/>
      <c r="F27" s="21" t="inlineStr"/>
      <c r="G27" s="21" t="inlineStr"/>
      <c r="H27" s="21" t="inlineStr"/>
      <c r="I27" s="21" t="inlineStr"/>
      <c r="J27" s="21" t="inlineStr"/>
      <c r="K27" s="21" t="inlineStr"/>
    </row>
    <row r="28">
      <c r="A28" s="10" t="inlineStr">
        <is>
          <t>Deployment</t>
        </is>
      </c>
      <c r="B28" s="10" t="inlineStr">
        <is>
          <t>DEPLOYMENT_MX</t>
        </is>
      </c>
      <c r="C28" s="26" t="n">
        <v>1</v>
      </c>
      <c r="D28" s="10" t="inlineStr">
        <is>
          <t>All Deployment phase tasks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</row>
    <row r="29">
      <c r="A29" s="21" t="inlineStr">
        <is>
          <t>Training</t>
        </is>
      </c>
      <c r="B29" s="21" t="inlineStr">
        <is>
          <t>TRAINING_MX</t>
        </is>
      </c>
      <c r="C29" s="26" t="n">
        <v>1</v>
      </c>
      <c r="D29" s="21" t="inlineStr">
        <is>
          <t>All Training phase tasks</t>
        </is>
      </c>
      <c r="E29" s="21" t="inlineStr"/>
      <c r="F29" s="21" t="inlineStr"/>
      <c r="G29" s="21" t="inlineStr"/>
      <c r="H29" s="21" t="inlineStr"/>
      <c r="I29" s="21" t="inlineStr"/>
      <c r="J29" s="21" t="inlineStr"/>
      <c r="K29" s="21" t="inlineStr"/>
    </row>
    <row r="30">
      <c r="A30" s="10" t="inlineStr">
        <is>
          <t>Closeout</t>
        </is>
      </c>
      <c r="B30" s="10" t="inlineStr">
        <is>
          <t>CLOSEOUT_MX</t>
        </is>
      </c>
      <c r="C30" s="26" t="n">
        <v>1</v>
      </c>
      <c r="D30" s="10" t="inlineStr">
        <is>
          <t>All Closeout phase tasks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</row>
    <row r="31">
      <c r="A31" s="21" t="inlineStr">
        <is>
          <t>Management</t>
        </is>
      </c>
      <c r="B31" s="21" t="inlineStr">
        <is>
          <t>MANAGEMENT_MX</t>
        </is>
      </c>
      <c r="C31" s="26" t="n">
        <v>1.5</v>
      </c>
      <c r="D31" s="21" t="inlineStr">
        <is>
          <t>Project Management overhead</t>
        </is>
      </c>
      <c r="E31" s="21" t="inlineStr"/>
      <c r="F31" s="21" t="inlineStr"/>
      <c r="G31" s="21" t="inlineStr"/>
      <c r="H31" s="21" t="inlineStr"/>
      <c r="I31" s="21" t="inlineStr"/>
      <c r="J31" s="21" t="inlineStr"/>
      <c r="K31" s="21" t="inlineStr"/>
    </row>
    <row r="32">
      <c r="A32" s="10" t="inlineStr">
        <is>
          <t>Leadership</t>
        </is>
      </c>
      <c r="B32" s="10" t="inlineStr">
        <is>
          <t>LEADERSHIP_MX</t>
        </is>
      </c>
      <c r="C32" s="26" t="n">
        <v>1.5</v>
      </c>
      <c r="D32" s="10" t="inlineStr">
        <is>
          <t>Technical Leadership overhead</t>
        </is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</row>
    <row r="33">
      <c r="A33" s="21" t="inlineStr"/>
      <c r="B33" s="21" t="inlineStr"/>
      <c r="C33" s="26" t="inlineStr"/>
      <c r="D33" s="21" t="inlineStr"/>
      <c r="E33" s="21" t="inlineStr"/>
      <c r="F33" s="21" t="inlineStr"/>
      <c r="G33" s="21" t="inlineStr"/>
      <c r="H33" s="21" t="inlineStr"/>
      <c r="I33" s="21" t="inlineStr"/>
      <c r="J33" s="21" t="inlineStr"/>
      <c r="K33" s="21" t="inlineStr"/>
    </row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>
      <c r="A1" s="19" t="inlineStr">
        <is>
          <t>Phase</t>
        </is>
      </c>
      <c r="B1" s="19" t="inlineStr">
        <is>
          <t>Work Package</t>
        </is>
      </c>
      <c r="C1" s="19" t="inlineStr">
        <is>
          <t>Task Description</t>
        </is>
      </c>
      <c r="D1" s="19" t="inlineStr">
        <is>
          <t>Resource Type</t>
        </is>
      </c>
      <c r="E1" s="19" t="inlineStr">
        <is>
          <t>Base Hours</t>
        </is>
      </c>
      <c r="F1" s="19" t="inlineStr">
        <is>
          <t>Effort Multiplier</t>
        </is>
      </c>
      <c r="G1" s="19" t="inlineStr">
        <is>
          <t>Actual Hours</t>
        </is>
      </c>
      <c r="H1" s="19" t="inlineStr">
        <is>
          <t>Rate</t>
        </is>
      </c>
      <c r="I1" s="19" t="inlineStr">
        <is>
          <t>Cost Estimate</t>
        </is>
      </c>
      <c r="J1" s="19" t="inlineStr">
        <is>
          <t>Dependencies</t>
        </is>
      </c>
      <c r="K1" s="19" t="inlineStr">
        <is>
          <t>Notes</t>
        </is>
      </c>
    </row>
    <row r="2">
      <c r="A2" s="10" t="inlineStr">
        <is>
          <t>Discovery</t>
        </is>
      </c>
      <c r="B2" s="10" t="inlineStr">
        <is>
          <t>Azure Requirements Gathering</t>
        </is>
      </c>
      <c r="C2" s="10" t="inlineStr">
        <is>
          <t>Conduct stakeholder interviews for Azure cloud strategy</t>
        </is>
      </c>
      <c r="D2" s="10" t="inlineStr">
        <is>
          <t>EO Engineer</t>
        </is>
      </c>
      <c r="E2" s="27" t="n">
        <v>40</v>
      </c>
      <c r="F2" s="28">
        <f>'Estimate Settings'!$C$24</f>
        <v/>
      </c>
      <c r="G2" s="10">
        <f>$E2*$F2</f>
        <v/>
      </c>
      <c r="H2" s="29" t="n">
        <v>150</v>
      </c>
      <c r="I2" s="10">
        <f>TEXT($G2*$H2</f>
        <v/>
      </c>
      <c r="J2" s="10" t="inlineStr">
        <is>
          <t>$#</t>
        </is>
      </c>
      <c r="K2" s="10" t="inlineStr">
        <is>
          <t>##0"")</t>
        </is>
      </c>
      <c r="L2" s="10" t="inlineStr">
        <is>
          <t>$#</t>
        </is>
      </c>
      <c r="M2" s="10" t="inlineStr"/>
    </row>
    <row r="3">
      <c r="A3" s="21" t="inlineStr">
        <is>
          <t>Discovery</t>
        </is>
      </c>
      <c r="B3" s="21" t="inlineStr">
        <is>
          <t>Current Environment Assessment</t>
        </is>
      </c>
      <c r="C3" s="21" t="inlineStr">
        <is>
          <t>Analyze existing infrastructure and Azure readiness</t>
        </is>
      </c>
      <c r="D3" s="21" t="inlineStr">
        <is>
          <t>EO Engineer</t>
        </is>
      </c>
      <c r="E3" s="30" t="n">
        <v>32</v>
      </c>
      <c r="F3" s="28">
        <f>'Estimate Settings'!$C$24</f>
        <v/>
      </c>
      <c r="G3" s="21">
        <f>$E3*$F3</f>
        <v/>
      </c>
      <c r="H3" s="31" t="n">
        <v>200</v>
      </c>
      <c r="I3" s="21">
        <f>TEXT($G3*$H3</f>
        <v/>
      </c>
      <c r="J3" s="21" t="inlineStr">
        <is>
          <t>$#</t>
        </is>
      </c>
      <c r="K3" s="21" t="inlineStr">
        <is>
          <t>##0"")</t>
        </is>
      </c>
      <c r="L3" s="21" t="inlineStr">
        <is>
          <t>$#</t>
        </is>
      </c>
      <c r="M3" s="21" t="inlineStr"/>
    </row>
    <row r="4">
      <c r="A4" s="10" t="inlineStr">
        <is>
          <t>Discovery</t>
        </is>
      </c>
      <c r="B4" s="10" t="inlineStr">
        <is>
          <t>Azure Services Assessment</t>
        </is>
      </c>
      <c r="C4" s="10" t="inlineStr">
        <is>
          <t>Evaluate Azure services and landing zone requirements</t>
        </is>
      </c>
      <c r="D4" s="10" t="inlineStr">
        <is>
          <t>EO Engineer</t>
        </is>
      </c>
      <c r="E4" s="27" t="n">
        <v>24</v>
      </c>
      <c r="F4" s="28">
        <f>'Estimate Settings'!$C$24</f>
        <v/>
      </c>
      <c r="G4" s="10">
        <f>$E4*$F4</f>
        <v/>
      </c>
      <c r="H4" s="29" t="n">
        <v>200</v>
      </c>
      <c r="I4" s="10">
        <f>TEXT($G4*$H4</f>
        <v/>
      </c>
      <c r="J4" s="10" t="inlineStr">
        <is>
          <t>$#</t>
        </is>
      </c>
      <c r="K4" s="10" t="inlineStr">
        <is>
          <t>##0"")</t>
        </is>
      </c>
      <c r="L4" s="10" t="inlineStr">
        <is>
          <t>$#</t>
        </is>
      </c>
      <c r="M4" s="10" t="inlineStr"/>
    </row>
    <row r="5">
      <c r="A5" s="21" t="inlineStr">
        <is>
          <t>Discovery</t>
        </is>
      </c>
      <c r="B5" s="21" t="inlineStr">
        <is>
          <t>Compliance Review</t>
        </is>
      </c>
      <c r="C5" s="21" t="inlineStr">
        <is>
          <t>Assess governance security and regulatory requirements</t>
        </is>
      </c>
      <c r="D5" s="21" t="inlineStr">
        <is>
          <t>EO Engineer</t>
        </is>
      </c>
      <c r="E5" s="30" t="n">
        <v>16</v>
      </c>
      <c r="F5" s="28">
        <f>'Estimate Settings'!$C$24</f>
        <v/>
      </c>
      <c r="G5" s="21">
        <f>$E5*$F5</f>
        <v/>
      </c>
      <c r="H5" s="31" t="n">
        <v>175</v>
      </c>
      <c r="I5" s="21">
        <f>TEXT($G5*$H5</f>
        <v/>
      </c>
      <c r="J5" s="21" t="inlineStr">
        <is>
          <t>$#</t>
        </is>
      </c>
      <c r="K5" s="21" t="inlineStr">
        <is>
          <t>##0"")</t>
        </is>
      </c>
      <c r="L5" s="21" t="inlineStr">
        <is>
          <t>$#</t>
        </is>
      </c>
      <c r="M5" s="21" t="inlineStr"/>
    </row>
    <row r="6">
      <c r="A6" s="10" t="inlineStr">
        <is>
          <t>Planning</t>
        </is>
      </c>
      <c r="B6" s="10" t="inlineStr">
        <is>
          <t>Azure Landing Zone Design</t>
        </is>
      </c>
      <c r="C6" s="10" t="inlineStr">
        <is>
          <t>Design Azure landing zone architecture and governance model</t>
        </is>
      </c>
      <c r="D6" s="10" t="inlineStr">
        <is>
          <t>EO Engineer</t>
        </is>
      </c>
      <c r="E6" s="27" t="n">
        <v>48</v>
      </c>
      <c r="F6" s="28">
        <f>'Estimate Settings'!$C$25</f>
        <v/>
      </c>
      <c r="G6" s="10">
        <f>$E6*$F6</f>
        <v/>
      </c>
      <c r="H6" s="29" t="n">
        <v>200</v>
      </c>
      <c r="I6" s="10">
        <f>TEXT($G6*$H6</f>
        <v/>
      </c>
      <c r="J6" s="10" t="inlineStr">
        <is>
          <t>$#</t>
        </is>
      </c>
      <c r="K6" s="10" t="inlineStr">
        <is>
          <t>##0"")</t>
        </is>
      </c>
      <c r="L6" s="10" t="inlineStr">
        <is>
          <t>$#</t>
        </is>
      </c>
      <c r="M6" s="10" t="inlineStr"/>
    </row>
    <row r="7">
      <c r="A7" s="21" t="inlineStr">
        <is>
          <t>Planning</t>
        </is>
      </c>
      <c r="B7" s="21" t="inlineStr">
        <is>
          <t>Identity and Access Design</t>
        </is>
      </c>
      <c r="C7" s="21" t="inlineStr">
        <is>
          <t>Design Azure AD integration and access management strategy</t>
        </is>
      </c>
      <c r="D7" s="21" t="inlineStr">
        <is>
          <t>EO Engineer</t>
        </is>
      </c>
      <c r="E7" s="30" t="n">
        <v>32</v>
      </c>
      <c r="F7" s="28">
        <f>'Estimate Settings'!$C$25</f>
        <v/>
      </c>
      <c r="G7" s="21">
        <f>$E7*$F7</f>
        <v/>
      </c>
      <c r="H7" s="31" t="n">
        <v>180</v>
      </c>
      <c r="I7" s="21">
        <f>TEXT($G7*$H7</f>
        <v/>
      </c>
      <c r="J7" s="21" t="inlineStr">
        <is>
          <t>$#</t>
        </is>
      </c>
      <c r="K7" s="21" t="inlineStr">
        <is>
          <t>##0"")</t>
        </is>
      </c>
      <c r="L7" s="21" t="inlineStr">
        <is>
          <t>$#</t>
        </is>
      </c>
      <c r="M7" s="21" t="inlineStr"/>
    </row>
    <row r="8">
      <c r="A8" s="10" t="inlineStr">
        <is>
          <t>Planning</t>
        </is>
      </c>
      <c r="B8" s="10" t="inlineStr">
        <is>
          <t>Network Architecture Design</t>
        </is>
      </c>
      <c r="C8" s="10" t="inlineStr">
        <is>
          <t>Design Azure networking security and hybrid connectivity</t>
        </is>
      </c>
      <c r="D8" s="10" t="inlineStr">
        <is>
          <t>EO Engineer</t>
        </is>
      </c>
      <c r="E8" s="27" t="n">
        <v>24</v>
      </c>
      <c r="F8" s="28">
        <f>'Estimate Settings'!$C$25</f>
        <v/>
      </c>
      <c r="G8" s="10">
        <f>$E8*$F8</f>
        <v/>
      </c>
      <c r="H8" s="29" t="n">
        <v>175</v>
      </c>
      <c r="I8" s="10">
        <f>TEXT($G8*$H8</f>
        <v/>
      </c>
      <c r="J8" s="10" t="inlineStr">
        <is>
          <t>$#</t>
        </is>
      </c>
      <c r="K8" s="10" t="inlineStr">
        <is>
          <t>##0"")</t>
        </is>
      </c>
      <c r="L8" s="10" t="inlineStr">
        <is>
          <t>$#</t>
        </is>
      </c>
      <c r="M8" s="10" t="inlineStr"/>
    </row>
    <row r="9">
      <c r="A9" s="21" t="inlineStr">
        <is>
          <t>Planning</t>
        </is>
      </c>
      <c r="B9" s="21" t="inlineStr">
        <is>
          <t>Project Planning</t>
        </is>
      </c>
      <c r="C9" s="21" t="inlineStr">
        <is>
          <t>Develop Azure implementation timeline and resource allocation</t>
        </is>
      </c>
      <c r="D9" s="21" t="inlineStr">
        <is>
          <t>EO Engineer</t>
        </is>
      </c>
      <c r="E9" s="30" t="n">
        <v>24</v>
      </c>
      <c r="F9" s="28">
        <f>'Estimate Settings'!$C$25</f>
        <v/>
      </c>
      <c r="G9" s="21">
        <f>$E9*$F9</f>
        <v/>
      </c>
      <c r="H9" s="31" t="n">
        <v>140</v>
      </c>
      <c r="I9" s="21">
        <f>TEXT($G9*$H9</f>
        <v/>
      </c>
      <c r="J9" s="21" t="inlineStr">
        <is>
          <t>$#</t>
        </is>
      </c>
      <c r="K9" s="21" t="inlineStr">
        <is>
          <t>##0"")</t>
        </is>
      </c>
      <c r="L9" s="21" t="inlineStr">
        <is>
          <t>$#</t>
        </is>
      </c>
      <c r="M9" s="21" t="inlineStr"/>
    </row>
    <row r="10">
      <c r="A10" s="10" t="inlineStr">
        <is>
          <t>Development</t>
        </is>
      </c>
      <c r="B10" s="10" t="inlineStr">
        <is>
          <t>Management Groups and Subscriptions</t>
        </is>
      </c>
      <c r="C10" s="10" t="inlineStr">
        <is>
          <t>Configure Azure management groups subscription structure and policies</t>
        </is>
      </c>
      <c r="D10" s="10" t="inlineStr">
        <is>
          <t>EO Engineer</t>
        </is>
      </c>
      <c r="E10" s="27" t="n">
        <v>40</v>
      </c>
      <c r="F10" s="28">
        <f>'Estimate Settings'!$C$26</f>
        <v/>
      </c>
      <c r="G10" s="10">
        <f>$E10*$F10</f>
        <v/>
      </c>
      <c r="H10" s="29" t="n">
        <v>160</v>
      </c>
      <c r="I10" s="10">
        <f>TEXT($G10*$H10</f>
        <v/>
      </c>
      <c r="J10" s="10" t="inlineStr">
        <is>
          <t>$#</t>
        </is>
      </c>
      <c r="K10" s="10" t="inlineStr">
        <is>
          <t>##0"")</t>
        </is>
      </c>
      <c r="L10" s="10" t="inlineStr">
        <is>
          <t>$#</t>
        </is>
      </c>
      <c r="M10" s="10" t="inlineStr"/>
    </row>
    <row r="11">
      <c r="A11" s="21" t="inlineStr">
        <is>
          <t>Development</t>
        </is>
      </c>
      <c r="B11" s="21" t="inlineStr">
        <is>
          <t>Azure Policy Implementation</t>
        </is>
      </c>
      <c r="C11" s="21" t="inlineStr">
        <is>
          <t>Implement Azure policies governance controls and compliance</t>
        </is>
      </c>
      <c r="D11" s="21" t="inlineStr">
        <is>
          <t>EO Engineer</t>
        </is>
      </c>
      <c r="E11" s="30" t="n">
        <v>60</v>
      </c>
      <c r="F11" s="28">
        <f>'Estimate Settings'!$C$26</f>
        <v/>
      </c>
      <c r="G11" s="21">
        <f>$E11*$F11</f>
        <v/>
      </c>
      <c r="H11" s="31" t="n">
        <v>145</v>
      </c>
      <c r="I11" s="21">
        <f>TEXT($G11*$H11</f>
        <v/>
      </c>
      <c r="J11" s="21" t="inlineStr">
        <is>
          <t>$#</t>
        </is>
      </c>
      <c r="K11" s="21" t="inlineStr">
        <is>
          <t>##0"")</t>
        </is>
      </c>
      <c r="L11" s="21" t="inlineStr">
        <is>
          <t>$#</t>
        </is>
      </c>
      <c r="M11" s="21" t="inlineStr"/>
    </row>
    <row r="12">
      <c r="A12" s="10" t="inlineStr">
        <is>
          <t>Development</t>
        </is>
      </c>
      <c r="B12" s="10" t="inlineStr">
        <is>
          <t>Network Infrastructure</t>
        </is>
      </c>
      <c r="C12" s="10" t="inlineStr">
        <is>
          <t>Build Azure networking VNet peering and hybrid connectivity</t>
        </is>
      </c>
      <c r="D12" s="10" t="inlineStr">
        <is>
          <t>EO Engineer</t>
        </is>
      </c>
      <c r="E12" s="27" t="n">
        <v>48</v>
      </c>
      <c r="F12" s="28">
        <f>'Estimate Settings'!$C$26</f>
        <v/>
      </c>
      <c r="G12" s="10">
        <f>$E12*$F12</f>
        <v/>
      </c>
      <c r="H12" s="29" t="n">
        <v>140</v>
      </c>
      <c r="I12" s="10">
        <f>TEXT($G12*$H12</f>
        <v/>
      </c>
      <c r="J12" s="10" t="inlineStr">
        <is>
          <t>$#</t>
        </is>
      </c>
      <c r="K12" s="10" t="inlineStr">
        <is>
          <t>##0"")</t>
        </is>
      </c>
      <c r="L12" s="10" t="inlineStr">
        <is>
          <t>$#</t>
        </is>
      </c>
      <c r="M12" s="10" t="inlineStr"/>
    </row>
    <row r="13">
      <c r="A13" s="21" t="inlineStr">
        <is>
          <t>Development</t>
        </is>
      </c>
      <c r="B13" s="21" t="inlineStr">
        <is>
          <t>Identity and Access Implementation</t>
        </is>
      </c>
      <c r="C13" s="21" t="inlineStr">
        <is>
          <t>Implement Azure AD integration access controls and SSO</t>
        </is>
      </c>
      <c r="D13" s="21" t="inlineStr">
        <is>
          <t>EO Engineer</t>
        </is>
      </c>
      <c r="E13" s="30" t="n">
        <v>40</v>
      </c>
      <c r="F13" s="28">
        <f>'Estimate Settings'!$C$26</f>
        <v/>
      </c>
      <c r="G13" s="21">
        <f>$E13*$F13</f>
        <v/>
      </c>
      <c r="H13" s="31" t="n">
        <v>155</v>
      </c>
      <c r="I13" s="21">
        <f>TEXT($G13*$H13</f>
        <v/>
      </c>
      <c r="J13" s="21" t="inlineStr">
        <is>
          <t>$#</t>
        </is>
      </c>
      <c r="K13" s="21" t="inlineStr">
        <is>
          <t>##0"")</t>
        </is>
      </c>
      <c r="L13" s="21" t="inlineStr">
        <is>
          <t>$#</t>
        </is>
      </c>
      <c r="M13" s="21" t="inlineStr"/>
    </row>
    <row r="14">
      <c r="A14" s="10" t="inlineStr">
        <is>
          <t>Development</t>
        </is>
      </c>
      <c r="B14" s="10" t="inlineStr">
        <is>
          <t>Monitoring and Operations</t>
        </is>
      </c>
      <c r="C14" s="10" t="inlineStr">
        <is>
          <t>Build Azure monitoring logging alerting and operational tools</t>
        </is>
      </c>
      <c r="D14" s="10" t="inlineStr">
        <is>
          <t>EO Engineer</t>
        </is>
      </c>
      <c r="E14" s="27" t="n">
        <v>32</v>
      </c>
      <c r="F14" s="28">
        <f>'Estimate Settings'!$C$26</f>
        <v/>
      </c>
      <c r="G14" s="10">
        <f>$E14*$F14</f>
        <v/>
      </c>
      <c r="H14" s="29" t="n">
        <v>130</v>
      </c>
      <c r="I14" s="10">
        <f>TEXT($G14*$H14</f>
        <v/>
      </c>
      <c r="J14" s="10" t="inlineStr">
        <is>
          <t>$#</t>
        </is>
      </c>
      <c r="K14" s="10" t="inlineStr">
        <is>
          <t>##0"")</t>
        </is>
      </c>
      <c r="L14" s="10" t="inlineStr">
        <is>
          <t>$#</t>
        </is>
      </c>
      <c r="M14" s="10" t="inlineStr"/>
    </row>
    <row r="15">
      <c r="A15" s="21" t="inlineStr">
        <is>
          <t>Testing</t>
        </is>
      </c>
      <c r="B15" s="21" t="inlineStr">
        <is>
          <t>Unit Testing</t>
        </is>
      </c>
      <c r="C15" s="21" t="inlineStr">
        <is>
          <t>Develop automated tests for all solution components</t>
        </is>
      </c>
      <c r="D15" s="21" t="inlineStr">
        <is>
          <t>EO Engineer</t>
        </is>
      </c>
      <c r="E15" s="30" t="n">
        <v>32</v>
      </c>
      <c r="F15" s="28">
        <f>'Estimate Settings'!$C$27</f>
        <v/>
      </c>
      <c r="G15" s="21">
        <f>$E15*$F15</f>
        <v/>
      </c>
      <c r="H15" s="31" t="n">
        <v>120</v>
      </c>
      <c r="I15" s="21">
        <f>TEXT($G15*$H15</f>
        <v/>
      </c>
      <c r="J15" s="21" t="inlineStr">
        <is>
          <t>$#</t>
        </is>
      </c>
      <c r="K15" s="21" t="inlineStr">
        <is>
          <t>##0"")</t>
        </is>
      </c>
      <c r="L15" s="21" t="inlineStr">
        <is>
          <t>$#</t>
        </is>
      </c>
      <c r="M15" s="21" t="inlineStr"/>
    </row>
    <row r="16">
      <c r="A16" s="10" t="inlineStr">
        <is>
          <t>Testing</t>
        </is>
      </c>
      <c r="B16" s="10" t="inlineStr">
        <is>
          <t>Integration Testing</t>
        </is>
      </c>
      <c r="C16" s="10" t="inlineStr">
        <is>
          <t>Test system integrations data flows and external dependencies</t>
        </is>
      </c>
      <c r="D16" s="10" t="inlineStr">
        <is>
          <t>EO Engineer</t>
        </is>
      </c>
      <c r="E16" s="27" t="n">
        <v>40</v>
      </c>
      <c r="F16" s="28">
        <f>'Estimate Settings'!$C$27</f>
        <v/>
      </c>
      <c r="G16" s="10">
        <f>$E16*$F16</f>
        <v/>
      </c>
      <c r="H16" s="29" t="n">
        <v>120</v>
      </c>
      <c r="I16" s="10">
        <f>TEXT($G16*$H16</f>
        <v/>
      </c>
      <c r="J16" s="10" t="inlineStr">
        <is>
          <t>$#</t>
        </is>
      </c>
      <c r="K16" s="10" t="inlineStr">
        <is>
          <t>##0"")</t>
        </is>
      </c>
      <c r="L16" s="10" t="inlineStr">
        <is>
          <t>$#</t>
        </is>
      </c>
      <c r="M16" s="10" t="inlineStr"/>
    </row>
    <row r="17">
      <c r="A17" s="21" t="inlineStr">
        <is>
          <t>Testing</t>
        </is>
      </c>
      <c r="B17" s="21" t="inlineStr">
        <is>
          <t>Performance Testing</t>
        </is>
      </c>
      <c r="C17" s="21" t="inlineStr">
        <is>
          <t>Conduct load performance and scalability testing</t>
        </is>
      </c>
      <c r="D17" s="21" t="inlineStr">
        <is>
          <t>EO Engineer</t>
        </is>
      </c>
      <c r="E17" s="30" t="n">
        <v>24</v>
      </c>
      <c r="F17" s="28">
        <f>'Estimate Settings'!$C$27</f>
        <v/>
      </c>
      <c r="G17" s="21">
        <f>$E17*$F17</f>
        <v/>
      </c>
      <c r="H17" s="31" t="n">
        <v>140</v>
      </c>
      <c r="I17" s="21">
        <f>TEXT($G17*$H17</f>
        <v/>
      </c>
      <c r="J17" s="21" t="inlineStr">
        <is>
          <t>$#</t>
        </is>
      </c>
      <c r="K17" s="21" t="inlineStr">
        <is>
          <t>##0"")</t>
        </is>
      </c>
      <c r="L17" s="21" t="inlineStr">
        <is>
          <t>$#</t>
        </is>
      </c>
      <c r="M17" s="21" t="inlineStr"/>
    </row>
    <row r="18">
      <c r="A18" s="10" t="inlineStr">
        <is>
          <t>Testing</t>
        </is>
      </c>
      <c r="B18" s="10" t="inlineStr">
        <is>
          <t>Security Testing</t>
        </is>
      </c>
      <c r="C18" s="10" t="inlineStr">
        <is>
          <t>Perform security assessments penetration testing and compliance validation</t>
        </is>
      </c>
      <c r="D18" s="10" t="inlineStr">
        <is>
          <t>EO Engineer</t>
        </is>
      </c>
      <c r="E18" s="27" t="n">
        <v>16</v>
      </c>
      <c r="F18" s="28">
        <f>'Estimate Settings'!$C$27</f>
        <v/>
      </c>
      <c r="G18" s="10">
        <f>$E18*$F18</f>
        <v/>
      </c>
      <c r="H18" s="29" t="n">
        <v>175</v>
      </c>
      <c r="I18" s="10">
        <f>TEXT($G18*$H18</f>
        <v/>
      </c>
      <c r="J18" s="10" t="inlineStr">
        <is>
          <t>$#</t>
        </is>
      </c>
      <c r="K18" s="10" t="inlineStr">
        <is>
          <t>##0"")</t>
        </is>
      </c>
      <c r="L18" s="10" t="inlineStr">
        <is>
          <t>$#</t>
        </is>
      </c>
      <c r="M18" s="10" t="inlineStr"/>
    </row>
    <row r="19">
      <c r="A19" s="21" t="inlineStr">
        <is>
          <t>Testing</t>
        </is>
      </c>
      <c r="B19" s="21" t="inlineStr">
        <is>
          <t>User Acceptance Testing</t>
        </is>
      </c>
      <c r="C19" s="21" t="inlineStr">
        <is>
          <t>Coordinate UAT with business users and stakeholders</t>
        </is>
      </c>
      <c r="D19" s="21" t="inlineStr">
        <is>
          <t>EO Engineer</t>
        </is>
      </c>
      <c r="E19" s="30" t="n">
        <v>32</v>
      </c>
      <c r="F19" s="28">
        <f>'Estimate Settings'!$C$27</f>
        <v/>
      </c>
      <c r="G19" s="21">
        <f>$E19*$F19</f>
        <v/>
      </c>
      <c r="H19" s="31" t="n">
        <v>150</v>
      </c>
      <c r="I19" s="21">
        <f>TEXT($G19*$H19</f>
        <v/>
      </c>
      <c r="J19" s="21" t="inlineStr">
        <is>
          <t>$#</t>
        </is>
      </c>
      <c r="K19" s="21" t="inlineStr">
        <is>
          <t>##0"")</t>
        </is>
      </c>
      <c r="L19" s="21" t="inlineStr">
        <is>
          <t>$#</t>
        </is>
      </c>
      <c r="M19" s="21" t="inlineStr"/>
    </row>
    <row r="20">
      <c r="A20" s="10" t="inlineStr">
        <is>
          <t>Deployment</t>
        </is>
      </c>
      <c r="B20" s="10" t="inlineStr">
        <is>
          <t>Production Deployment</t>
        </is>
      </c>
      <c r="C20" s="10" t="inlineStr">
        <is>
          <t>Deploy solution to production environment with monitoring</t>
        </is>
      </c>
      <c r="D20" s="10" t="inlineStr">
        <is>
          <t>EO Engineer</t>
        </is>
      </c>
      <c r="E20" s="27" t="n">
        <v>24</v>
      </c>
      <c r="F20" s="28">
        <f>'Estimate Settings'!$C$28</f>
        <v/>
      </c>
      <c r="G20" s="10">
        <f>$E20*$F20</f>
        <v/>
      </c>
      <c r="H20" s="29" t="n">
        <v>160</v>
      </c>
      <c r="I20" s="10">
        <f>TEXT($G20*$H20</f>
        <v/>
      </c>
      <c r="J20" s="10" t="inlineStr">
        <is>
          <t>$#</t>
        </is>
      </c>
      <c r="K20" s="10" t="inlineStr">
        <is>
          <t>##0"")</t>
        </is>
      </c>
      <c r="L20" s="10" t="inlineStr">
        <is>
          <t>$#</t>
        </is>
      </c>
      <c r="M20" s="10" t="inlineStr"/>
    </row>
    <row r="21">
      <c r="A21" s="21" t="inlineStr">
        <is>
          <t>Deployment</t>
        </is>
      </c>
      <c r="B21" s="21" t="inlineStr">
        <is>
          <t>Go-Live Support</t>
        </is>
      </c>
      <c r="C21" s="21" t="inlineStr">
        <is>
          <t>Provide comprehensive support during initial production rollout</t>
        </is>
      </c>
      <c r="D21" s="21" t="inlineStr">
        <is>
          <t>EO Engineer</t>
        </is>
      </c>
      <c r="E21" s="30" t="n">
        <v>48</v>
      </c>
      <c r="F21" s="28">
        <f>'Estimate Settings'!$C$28</f>
        <v/>
      </c>
      <c r="G21" s="21">
        <f>$E21*$F21</f>
        <v/>
      </c>
      <c r="H21" s="31" t="n">
        <v>110</v>
      </c>
      <c r="I21" s="21">
        <f>TEXT($G21*$H21</f>
        <v/>
      </c>
      <c r="J21" s="21" t="inlineStr">
        <is>
          <t>$#</t>
        </is>
      </c>
      <c r="K21" s="21" t="inlineStr">
        <is>
          <t>##0"")</t>
        </is>
      </c>
      <c r="L21" s="21" t="inlineStr">
        <is>
          <t>$#</t>
        </is>
      </c>
      <c r="M21" s="21" t="inlineStr"/>
    </row>
    <row r="22">
      <c r="A22" s="10" t="inlineStr">
        <is>
          <t>Training</t>
        </is>
      </c>
      <c r="B22" s="10" t="inlineStr">
        <is>
          <t>Administrator Training</t>
        </is>
      </c>
      <c r="C22" s="10" t="inlineStr">
        <is>
          <t>Train system administrators and technical support teams</t>
        </is>
      </c>
      <c r="D22" s="10" t="inlineStr">
        <is>
          <t>EO Engineer</t>
        </is>
      </c>
      <c r="E22" s="27" t="n">
        <v>16</v>
      </c>
      <c r="F22" s="28">
        <f>'Estimate Settings'!$C$29</f>
        <v/>
      </c>
      <c r="G22" s="10">
        <f>$E22*$F22</f>
        <v/>
      </c>
      <c r="H22" s="29" t="n">
        <v>130</v>
      </c>
      <c r="I22" s="10">
        <f>TEXT($G22*$H22</f>
        <v/>
      </c>
      <c r="J22" s="10" t="inlineStr">
        <is>
          <t>$#</t>
        </is>
      </c>
      <c r="K22" s="10" t="inlineStr">
        <is>
          <t>##0"")</t>
        </is>
      </c>
      <c r="L22" s="10" t="inlineStr">
        <is>
          <t>$#</t>
        </is>
      </c>
      <c r="M22" s="10" t="inlineStr"/>
    </row>
    <row r="23">
      <c r="A23" s="21" t="inlineStr">
        <is>
          <t>Training</t>
        </is>
      </c>
      <c r="B23" s="21" t="inlineStr">
        <is>
          <t>End User Training</t>
        </is>
      </c>
      <c r="C23" s="21" t="inlineStr">
        <is>
          <t>Train business users on solution functionality and workflows</t>
        </is>
      </c>
      <c r="D23" s="21" t="inlineStr">
        <is>
          <t>EO Engineer</t>
        </is>
      </c>
      <c r="E23" s="30" t="n">
        <v>24</v>
      </c>
      <c r="F23" s="28">
        <f>'Estimate Settings'!$C$29</f>
        <v/>
      </c>
      <c r="G23" s="21">
        <f>$E23*$F23</f>
        <v/>
      </c>
      <c r="H23" s="31" t="n">
        <v>120</v>
      </c>
      <c r="I23" s="21">
        <f>TEXT($G23*$H23</f>
        <v/>
      </c>
      <c r="J23" s="21" t="inlineStr">
        <is>
          <t>$#</t>
        </is>
      </c>
      <c r="K23" s="21" t="inlineStr">
        <is>
          <t>##0"")</t>
        </is>
      </c>
      <c r="L23" s="21" t="inlineStr">
        <is>
          <t>$#</t>
        </is>
      </c>
      <c r="M23" s="21" t="inlineStr"/>
    </row>
    <row r="24">
      <c r="A24" s="10" t="inlineStr">
        <is>
          <t>Training</t>
        </is>
      </c>
      <c r="B24" s="10" t="inlineStr">
        <is>
          <t>Documentation</t>
        </is>
      </c>
      <c r="C24" s="10" t="inlineStr">
        <is>
          <t>Create comprehensive technical and user documentation</t>
        </is>
      </c>
      <c r="D24" s="10" t="inlineStr">
        <is>
          <t>EO Engineer</t>
        </is>
      </c>
      <c r="E24" s="27" t="n">
        <v>32</v>
      </c>
      <c r="F24" s="28">
        <f>'Estimate Settings'!$C$29</f>
        <v/>
      </c>
      <c r="G24" s="10">
        <f>$E24*$F24</f>
        <v/>
      </c>
      <c r="H24" s="29" t="n">
        <v>110</v>
      </c>
      <c r="I24" s="10">
        <f>TEXT($G24*$H24</f>
        <v/>
      </c>
      <c r="J24" s="10" t="inlineStr">
        <is>
          <t>$#</t>
        </is>
      </c>
      <c r="K24" s="10" t="inlineStr">
        <is>
          <t>##0"")</t>
        </is>
      </c>
      <c r="L24" s="10" t="inlineStr">
        <is>
          <t>$#</t>
        </is>
      </c>
      <c r="M24" s="10" t="inlineStr"/>
    </row>
    <row r="25">
      <c r="A25" s="21" t="inlineStr">
        <is>
          <t>Closeout</t>
        </is>
      </c>
      <c r="B25" s="21" t="inlineStr">
        <is>
          <t>Knowledge Transfer</t>
        </is>
      </c>
      <c r="C25" s="21" t="inlineStr">
        <is>
          <t>Transfer solution ownership to operations and support teams</t>
        </is>
      </c>
      <c r="D25" s="21" t="inlineStr">
        <is>
          <t>EO Engineer</t>
        </is>
      </c>
      <c r="E25" s="30" t="n">
        <v>16</v>
      </c>
      <c r="F25" s="28">
        <f>'Estimate Settings'!$C$30</f>
        <v/>
      </c>
      <c r="G25" s="21">
        <f>$E25*$F25</f>
        <v/>
      </c>
      <c r="H25" s="31" t="n">
        <v>140</v>
      </c>
      <c r="I25" s="21">
        <f>TEXT($G25*$H25</f>
        <v/>
      </c>
      <c r="J25" s="21" t="inlineStr">
        <is>
          <t>$#</t>
        </is>
      </c>
      <c r="K25" s="21" t="inlineStr">
        <is>
          <t>##0"")</t>
        </is>
      </c>
      <c r="L25" s="21" t="inlineStr">
        <is>
          <t>$#</t>
        </is>
      </c>
      <c r="M25" s="21" t="inlineStr"/>
    </row>
    <row r="26">
      <c r="A26" s="10" t="inlineStr">
        <is>
          <t>Closeout</t>
        </is>
      </c>
      <c r="B26" s="10" t="inlineStr">
        <is>
          <t>Performance Baseline</t>
        </is>
      </c>
      <c r="C26" s="10" t="inlineStr">
        <is>
          <t>Establish performance metrics monitoring baselines and SLAs</t>
        </is>
      </c>
      <c r="D26" s="10" t="inlineStr">
        <is>
          <t>EO Engineer</t>
        </is>
      </c>
      <c r="E26" s="27" t="n">
        <v>8</v>
      </c>
      <c r="F26" s="28">
        <f>'Estimate Settings'!$C$30</f>
        <v/>
      </c>
      <c r="G26" s="10">
        <f>$E26*$F26</f>
        <v/>
      </c>
      <c r="H26" s="29" t="n">
        <v>130</v>
      </c>
      <c r="I26" s="10">
        <f>TEXT($G26*$H26</f>
        <v/>
      </c>
      <c r="J26" s="10" t="inlineStr">
        <is>
          <t>$#</t>
        </is>
      </c>
      <c r="K26" s="10" t="inlineStr">
        <is>
          <t>##0"")</t>
        </is>
      </c>
      <c r="L26" s="10" t="inlineStr">
        <is>
          <t>$#</t>
        </is>
      </c>
      <c r="M26" s="10" t="inlineStr"/>
    </row>
    <row r="27">
      <c r="A27" s="21" t="inlineStr">
        <is>
          <t>Management</t>
        </is>
      </c>
      <c r="B27" s="21" t="inlineStr">
        <is>
          <t>Technical Leadership</t>
        </is>
      </c>
      <c r="C27" s="21" t="inlineStr">
        <is>
          <t>Quarterback technical oversight and architecture review</t>
        </is>
      </c>
      <c r="D27" s="21" t="inlineStr">
        <is>
          <t>EO Quarterback</t>
        </is>
      </c>
      <c r="E27" s="21">
        <f>ROUND(SUM(E2:E26)*0.25,='Estimate Settings'!$C$31,=$E27*$F27,0)</f>
        <v/>
      </c>
      <c r="F27" s="28">
        <f>TEXT($G27*$H27</f>
        <v/>
      </c>
      <c r="G27" s="21" t="inlineStr">
        <is>
          <t>$#</t>
        </is>
      </c>
      <c r="H27" s="21" t="inlineStr">
        <is>
          <t>##0"")</t>
        </is>
      </c>
      <c r="I27" s="21">
        <f>TEXT(E27*F27,##0")</f>
        <v/>
      </c>
    </row>
    <row r="28">
      <c r="A28" s="10" t="inlineStr">
        <is>
          <t>Management</t>
        </is>
      </c>
      <c r="B28" s="10" t="inlineStr">
        <is>
          <t>Project Management</t>
        </is>
      </c>
      <c r="C28" s="10" t="inlineStr">
        <is>
          <t>Project coordination and management activities</t>
        </is>
      </c>
      <c r="D28" s="10" t="inlineStr">
        <is>
          <t>EO Project Manager</t>
        </is>
      </c>
      <c r="E28" s="10">
        <f>ROUND(SUM(E2:E26)*0.20,='Estimate Settings'!$C$31,=$E28*$F28,0)</f>
        <v/>
      </c>
      <c r="F28" s="28">
        <f>TEXT($G28*$H28</f>
        <v/>
      </c>
      <c r="G28" s="10" t="inlineStr">
        <is>
          <t>$#</t>
        </is>
      </c>
      <c r="H28" s="10" t="inlineStr">
        <is>
          <t>##0"")</t>
        </is>
      </c>
      <c r="I28" s="10">
        <f>TEXT(E28*F28,##0")</f>
        <v/>
      </c>
    </row>
    <row r="29">
      <c r="A29" s="28" t="inlineStr"/>
      <c r="B29" s="28" t="inlineStr"/>
      <c r="C29" s="28" t="inlineStr"/>
      <c r="D29" s="28" t="inlineStr"/>
      <c r="E29" s="32" t="inlineStr"/>
      <c r="F29" s="16" t="inlineStr">
        <is>
          <t>TOTAL HOURS</t>
        </is>
      </c>
      <c r="G29" s="16">
        <f>SUM($G$2:$G$28)</f>
        <v/>
      </c>
      <c r="H29" s="16" t="inlineStr">
        <is>
          <t>TOTAL COST</t>
        </is>
      </c>
      <c r="I29" s="16">
        <f>TEXT(SUMPRODUCT($G$2:$G$28</f>
        <v/>
      </c>
      <c r="J29" s="16" t="inlineStr">
        <is>
          <t>$H$33:$H$59)</t>
        </is>
      </c>
      <c r="K29" s="16" t="inlineStr">
        <is>
          <t>$#</t>
        </is>
      </c>
      <c r="L29" s="16" t="inlineStr">
        <is>
          <t>##0"")</t>
        </is>
      </c>
      <c r="M29" s="28" t="inlineStr"/>
      <c r="N29" s="16" t="inlineStr">
        <is>
          <t>EO Sales Engineer: Update multipliers based on customer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2025-11-18T22:47:53Z</dcterms:modified>
</cp:coreProperties>
</file>