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Costs'!$A$2:$K$22</definedName>
    <definedName name="_xlnm._FilterDatabase" localSheetId="3" hidden="1">'Credits'!$A$2:$D$7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Document Intelligence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Services</t>
        </is>
      </c>
      <c r="B3" s="38" t="inlineStr">
        <is>
          <t>Document Processing Volume</t>
        </is>
      </c>
      <c r="C3" s="39" t="inlineStr">
        <is>
          <t>50K pages/month</t>
        </is>
      </c>
      <c r="D3" s="39" t="inlineStr">
        <is>
          <t>250K pages/month</t>
        </is>
      </c>
      <c r="E3" s="39" t="inlineStr">
        <is>
          <t>1M+ pages/month</t>
        </is>
      </c>
      <c r="F3" s="38" t="inlineStr">
        <is>
          <t>Monthly document processing capacity</t>
        </is>
      </c>
    </row>
    <row r="4" ht="26" customHeight="1">
      <c r="A4" s="40" t="inlineStr">
        <is>
          <t>Cloud Services</t>
        </is>
      </c>
      <c r="B4" s="41" t="inlineStr">
        <is>
          <t>AI Service Tier</t>
        </is>
      </c>
      <c r="C4" s="42" t="inlineStr">
        <is>
          <t>Pre-built models only</t>
        </is>
      </c>
      <c r="D4" s="42" t="inlineStr">
        <is>
          <t>Pre-built + basic custom</t>
        </is>
      </c>
      <c r="E4" s="42" t="inlineStr">
        <is>
          <t>Advanced custom models + NLP</t>
        </is>
      </c>
      <c r="F4" s="41" t="inlineStr">
        <is>
          <t>Document Intelligence service complexity</t>
        </is>
      </c>
    </row>
    <row r="5" ht="26" customHeight="1">
      <c r="A5" s="37" t="inlineStr">
        <is>
          <t>Cloud Services</t>
        </is>
      </c>
      <c r="B5" s="38" t="inlineStr">
        <is>
          <t>Storage Volume</t>
        </is>
      </c>
      <c r="C5" s="39" t="inlineStr">
        <is>
          <t>1 TB</t>
        </is>
      </c>
      <c r="D5" s="39" t="inlineStr">
        <is>
          <t>5 TB</t>
        </is>
      </c>
      <c r="E5" s="39" t="inlineStr">
        <is>
          <t>20+ TB</t>
        </is>
      </c>
      <c r="F5" s="38" t="inlineStr">
        <is>
          <t>Document storage and archives</t>
        </is>
      </c>
    </row>
    <row r="6" ht="26" customHeight="1">
      <c r="A6" s="40" t="inlineStr">
        <is>
          <t>Cloud Services</t>
        </is>
      </c>
      <c r="B6" s="41" t="inlineStr">
        <is>
          <t>API Request Volume</t>
        </is>
      </c>
      <c r="C6" s="42" t="inlineStr">
        <is>
          <t>5M requests/month</t>
        </is>
      </c>
      <c r="D6" s="42" t="inlineStr">
        <is>
          <t>20M requests/month</t>
        </is>
      </c>
      <c r="E6" s="42" t="inlineStr">
        <is>
          <t>100M+ requests/month</t>
        </is>
      </c>
      <c r="F6" s="41" t="inlineStr">
        <is>
          <t>API Gateway capacity</t>
        </is>
      </c>
    </row>
    <row r="7" ht="26" customHeight="1">
      <c r="A7" s="37" t="inlineStr">
        <is>
          <t>Software Licenses</t>
        </is>
      </c>
      <c r="B7" s="38" t="inlineStr">
        <is>
          <t>User Licenses</t>
        </is>
      </c>
      <c r="C7" s="39" t="inlineStr">
        <is>
          <t>50 users</t>
        </is>
      </c>
      <c r="D7" s="39" t="inlineStr">
        <is>
          <t>100-250 users</t>
        </is>
      </c>
      <c r="E7" s="39" t="inlineStr">
        <is>
          <t>500+ users</t>
        </is>
      </c>
      <c r="F7" s="38" t="inlineStr">
        <is>
          <t>Concurrent users accessing system</t>
        </is>
      </c>
    </row>
    <row r="8" ht="26" customHeight="1">
      <c r="A8" s="40" t="inlineStr">
        <is>
          <t>Software Licenses</t>
        </is>
      </c>
      <c r="B8" s="41" t="inlineStr">
        <is>
          <t>Monitoring Tools</t>
        </is>
      </c>
      <c r="C8" s="42" t="inlineStr">
        <is>
          <t>Basic (3 hosts)</t>
        </is>
      </c>
      <c r="D8" s="42" t="inlineStr">
        <is>
          <t>Standard (10 hosts)</t>
        </is>
      </c>
      <c r="E8" s="42" t="inlineStr">
        <is>
          <t>Enterprise (50+ hosts)</t>
        </is>
      </c>
      <c r="F8" s="41" t="inlineStr">
        <is>
          <t>Application performance monitoring</t>
        </is>
      </c>
    </row>
    <row r="9" ht="26" customHeight="1">
      <c r="A9" s="37" t="inlineStr">
        <is>
          <t>Support &amp; Maintenance</t>
        </is>
      </c>
      <c r="B9" s="38" t="inlineStr">
        <is>
          <t>Support Level</t>
        </is>
      </c>
      <c r="C9" s="39" t="inlineStr">
        <is>
          <t>Business hours</t>
        </is>
      </c>
      <c r="D9" s="39" t="inlineStr">
        <is>
          <t>24x5 support</t>
        </is>
      </c>
      <c r="E9" s="39" t="inlineStr">
        <is>
          <t>24x7 premium</t>
        </is>
      </c>
      <c r="F9" s="38" t="inlineStr">
        <is>
          <t>SLA requirements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Services</t>
        </is>
      </c>
      <c r="B3" s="44" t="inlineStr">
        <is>
          <t>Blob Storage</t>
        </is>
      </c>
      <c r="C3" s="44" t="inlineStr">
        <is>
          <t>Hot tier for document ingestion and archives</t>
        </is>
      </c>
      <c r="D3" s="45" t="n">
        <v>1000</v>
      </c>
      <c r="E3" s="44" t="inlineStr">
        <is>
          <t>GB/Month</t>
        </is>
      </c>
      <c r="F3" s="46" t="n">
        <v>0.02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Document storage</t>
        </is>
      </c>
    </row>
    <row r="4" ht="26" customHeight="1">
      <c r="A4" s="47" t="inlineStr">
        <is>
          <t>Cloud Services</t>
        </is>
      </c>
      <c r="B4" s="48" t="inlineStr">
        <is>
          <t>Document Intelligence Layout</t>
        </is>
      </c>
      <c r="C4" s="48" t="inlineStr">
        <is>
          <t>Layout API for OCR and structure</t>
        </is>
      </c>
      <c r="D4" s="49" t="n">
        <v>50000</v>
      </c>
      <c r="E4" s="48" t="inlineStr">
        <is>
          <t>Pages/Month</t>
        </is>
      </c>
      <c r="F4" s="50" t="n">
        <v>0.015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Document analysis</t>
        </is>
      </c>
    </row>
    <row r="5" ht="26" customHeight="1">
      <c r="A5" s="43" t="inlineStr">
        <is>
          <t>Cloud Services</t>
        </is>
      </c>
      <c r="B5" s="44" t="inlineStr">
        <is>
          <t>Document Intelligence Prebuilt</t>
        </is>
      </c>
      <c r="C5" s="44" t="inlineStr">
        <is>
          <t>Prebuilt models for extraction</t>
        </is>
      </c>
      <c r="D5" s="45" t="n">
        <v>25000</v>
      </c>
      <c r="E5" s="44" t="inlineStr">
        <is>
          <t>Pages/Month</t>
        </is>
      </c>
      <c r="F5" s="46" t="n">
        <v>0.1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Forms and invoices</t>
        </is>
      </c>
    </row>
    <row r="6" ht="26" customHeight="1">
      <c r="A6" s="47" t="inlineStr">
        <is>
          <t>Cloud Services</t>
        </is>
      </c>
      <c r="B6" s="48" t="inlineStr">
        <is>
          <t>Text Analytics</t>
        </is>
      </c>
      <c r="C6" s="48" t="inlineStr">
        <is>
          <t>Entity recognition and NLP</t>
        </is>
      </c>
      <c r="D6" s="49" t="n">
        <v>25000</v>
      </c>
      <c r="E6" s="48" t="inlineStr">
        <is>
          <t>Units/Month</t>
        </is>
      </c>
      <c r="F6" s="50" t="n">
        <v>0.001</v>
      </c>
      <c r="G6" s="50">
        <f>D6*F6*12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Cognitive services</t>
        </is>
      </c>
    </row>
    <row r="7" ht="26" customHeight="1">
      <c r="A7" s="43" t="inlineStr">
        <is>
          <t>Cloud Services</t>
        </is>
      </c>
      <c r="B7" s="44" t="inlineStr">
        <is>
          <t>Functions Premium</t>
        </is>
      </c>
      <c r="C7" s="44" t="inlineStr">
        <is>
          <t>Serverless processing functions</t>
        </is>
      </c>
      <c r="D7" s="45" t="n">
        <v>1</v>
      </c>
      <c r="E7" s="44" t="inlineStr">
        <is>
          <t>Plan/Month</t>
        </is>
      </c>
      <c r="F7" s="46" t="n">
        <v>160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EP1 instance</t>
        </is>
      </c>
    </row>
    <row r="8" ht="26" customHeight="1">
      <c r="A8" s="47" t="inlineStr">
        <is>
          <t>Cloud Services</t>
        </is>
      </c>
      <c r="B8" s="48" t="inlineStr">
        <is>
          <t>Cosmos DB</t>
        </is>
      </c>
      <c r="C8" s="48" t="inlineStr">
        <is>
          <t>Serverless NoSQL database</t>
        </is>
      </c>
      <c r="D8" s="49" t="n">
        <v>1</v>
      </c>
      <c r="E8" s="48" t="inlineStr">
        <is>
          <t>Service/Month</t>
        </is>
      </c>
      <c r="F8" s="50" t="n">
        <v>60</v>
      </c>
      <c r="G8" s="50">
        <f>D8*F8*12</f>
        <v/>
      </c>
      <c r="H8" s="50">
        <f>G8</f>
        <v/>
      </c>
      <c r="I8" s="50">
        <f>G8</f>
        <v/>
      </c>
      <c r="J8" s="50">
        <f>G8+H8+I8</f>
        <v/>
      </c>
      <c r="K8" s="48" t="inlineStr">
        <is>
          <t>Metadata storage</t>
        </is>
      </c>
    </row>
    <row r="9" ht="26" customHeight="1">
      <c r="A9" s="43" t="inlineStr">
        <is>
          <t>Cloud Services</t>
        </is>
      </c>
      <c r="B9" s="44" t="inlineStr">
        <is>
          <t>API Management</t>
        </is>
      </c>
      <c r="C9" s="44" t="inlineStr">
        <is>
          <t>REST API gateway</t>
        </is>
      </c>
      <c r="D9" s="45" t="n">
        <v>5000000</v>
      </c>
      <c r="E9" s="44" t="inlineStr">
        <is>
          <t>Requests/Month</t>
        </is>
      </c>
      <c r="F9" s="46" t="n">
        <v>7.2e-05</v>
      </c>
      <c r="G9" s="46">
        <f>D9*F9*12</f>
        <v/>
      </c>
      <c r="H9" s="46">
        <f>G9</f>
        <v/>
      </c>
      <c r="I9" s="46">
        <f>G9</f>
        <v/>
      </c>
      <c r="J9" s="46">
        <f>G9+H9+I9</f>
        <v/>
      </c>
      <c r="K9" s="44" t="inlineStr">
        <is>
          <t>Consumption tier</t>
        </is>
      </c>
    </row>
    <row r="10" ht="26" customHeight="1">
      <c r="A10" s="47" t="inlineStr">
        <is>
          <t>Cloud Services</t>
        </is>
      </c>
      <c r="B10" s="48" t="inlineStr">
        <is>
          <t>Service Bus</t>
        </is>
      </c>
      <c r="C10" s="48" t="inlineStr">
        <is>
          <t>Message queue processing</t>
        </is>
      </c>
      <c r="D10" s="49" t="n">
        <v>10000000</v>
      </c>
      <c r="E10" s="48" t="inlineStr">
        <is>
          <t>Messages/Month</t>
        </is>
      </c>
      <c r="F10" s="50" t="n">
        <v>1e-05</v>
      </c>
      <c r="G10" s="50">
        <f>D10*F10*12</f>
        <v/>
      </c>
      <c r="H10" s="50">
        <f>G10</f>
        <v/>
      </c>
      <c r="I10" s="50">
        <f>G10</f>
        <v/>
      </c>
      <c r="J10" s="50">
        <f>G10+H10+I10</f>
        <v/>
      </c>
      <c r="K10" s="48" t="inlineStr">
        <is>
          <t>Standard tier</t>
        </is>
      </c>
    </row>
    <row r="11" ht="26" customHeight="1">
      <c r="A11" s="43" t="inlineStr">
        <is>
          <t>Cloud Services</t>
        </is>
      </c>
      <c r="B11" s="44" t="inlineStr">
        <is>
          <t>Event Grid</t>
        </is>
      </c>
      <c r="C11" s="44" t="inlineStr">
        <is>
          <t>Event routing</t>
        </is>
      </c>
      <c r="D11" s="45" t="n">
        <v>2000000</v>
      </c>
      <c r="E11" s="44" t="inlineStr">
        <is>
          <t>Events/Month</t>
        </is>
      </c>
      <c r="F11" s="46" t="n">
        <v>2e-06</v>
      </c>
      <c r="G11" s="46">
        <f>D11*F11*12</f>
        <v/>
      </c>
      <c r="H11" s="46">
        <f>G11</f>
        <v/>
      </c>
      <c r="I11" s="46">
        <f>G11</f>
        <v/>
      </c>
      <c r="J11" s="46">
        <f>G11+H11+I11</f>
        <v/>
      </c>
      <c r="K11" s="44" t="inlineStr">
        <is>
          <t>Event distribution</t>
        </is>
      </c>
    </row>
    <row r="12" ht="26" customHeight="1">
      <c r="A12" s="47" t="inlineStr">
        <is>
          <t>Cloud Services</t>
        </is>
      </c>
      <c r="B12" s="48" t="inlineStr">
        <is>
          <t>Monitor + Log Analytics</t>
        </is>
      </c>
      <c r="C12" s="48" t="inlineStr">
        <is>
          <t>Monitoring and logging</t>
        </is>
      </c>
      <c r="D12" s="49" t="n">
        <v>50</v>
      </c>
      <c r="E12" s="48" t="inlineStr">
        <is>
          <t>GB/Month</t>
        </is>
      </c>
      <c r="F12" s="50" t="n">
        <v>2</v>
      </c>
      <c r="G12" s="50">
        <f>D12*F12*12</f>
        <v/>
      </c>
      <c r="H12" s="50">
        <f>G12</f>
        <v/>
      </c>
      <c r="I12" s="50">
        <f>G12</f>
        <v/>
      </c>
      <c r="J12" s="50">
        <f>G12+H12+I12</f>
        <v/>
      </c>
      <c r="K12" s="48" t="inlineStr">
        <is>
          <t>Operational monitoring</t>
        </is>
      </c>
    </row>
    <row r="13" ht="26" customHeight="1">
      <c r="A13" s="43" t="inlineStr">
        <is>
          <t>Cloud Services</t>
        </is>
      </c>
      <c r="B13" s="44" t="inlineStr">
        <is>
          <t>Logic Apps</t>
        </is>
      </c>
      <c r="C13" s="44" t="inlineStr">
        <is>
          <t>Workflow orchestration</t>
        </is>
      </c>
      <c r="D13" s="45" t="n">
        <v>100000</v>
      </c>
      <c r="E13" s="44" t="inlineStr">
        <is>
          <t>Runs/Month</t>
        </is>
      </c>
      <c r="F13" s="46" t="n">
        <v>0.004</v>
      </c>
      <c r="G13" s="46">
        <f>D13*F13*12</f>
        <v/>
      </c>
      <c r="H13" s="46">
        <f>G13</f>
        <v/>
      </c>
      <c r="I13" s="46">
        <f>G13</f>
        <v/>
      </c>
      <c r="J13" s="46">
        <f>G13+H13+I13</f>
        <v/>
      </c>
      <c r="K13" s="44" t="inlineStr">
        <is>
          <t>Standard tier</t>
        </is>
      </c>
    </row>
    <row r="14" ht="26" customHeight="1">
      <c r="A14" s="47" t="inlineStr">
        <is>
          <t>Cloud Services</t>
        </is>
      </c>
      <c r="B14" s="48" t="inlineStr">
        <is>
          <t>Redis Cache</t>
        </is>
      </c>
      <c r="C14" s="48" t="inlineStr">
        <is>
          <t>In-memory caching</t>
        </is>
      </c>
      <c r="D14" s="49" t="n">
        <v>1</v>
      </c>
      <c r="E14" s="48" t="inlineStr">
        <is>
          <t>Instance/Month</t>
        </is>
      </c>
      <c r="F14" s="50" t="n">
        <v>15</v>
      </c>
      <c r="G14" s="50">
        <f>D14*F14*12</f>
        <v/>
      </c>
      <c r="H14" s="50">
        <f>G14</f>
        <v/>
      </c>
      <c r="I14" s="50">
        <f>G14</f>
        <v/>
      </c>
      <c r="J14" s="50">
        <f>G14+H14+I14</f>
        <v/>
      </c>
      <c r="K14" s="48" t="inlineStr">
        <is>
          <t>Basic C1</t>
        </is>
      </c>
    </row>
    <row r="15" ht="26" customHeight="1">
      <c r="A15" s="43" t="inlineStr">
        <is>
          <t>Cloud Services</t>
        </is>
      </c>
      <c r="B15" s="44" t="inlineStr">
        <is>
          <t>Key Vault</t>
        </is>
      </c>
      <c r="C15" s="44" t="inlineStr">
        <is>
          <t>Secrets management</t>
        </is>
      </c>
      <c r="D15" s="45" t="n">
        <v>1</v>
      </c>
      <c r="E15" s="44" t="inlineStr">
        <is>
          <t>Service/Month</t>
        </is>
      </c>
      <c r="F15" s="46" t="n">
        <v>5</v>
      </c>
      <c r="G15" s="46">
        <f>D15*F15*12</f>
        <v/>
      </c>
      <c r="H15" s="46">
        <f>G15</f>
        <v/>
      </c>
      <c r="I15" s="46">
        <f>G15</f>
        <v/>
      </c>
      <c r="J15" s="46">
        <f>G15+H15+I15</f>
        <v/>
      </c>
      <c r="K15" s="44" t="inlineStr">
        <is>
          <t>10 secrets + operations</t>
        </is>
      </c>
    </row>
    <row r="16" ht="26" customHeight="1">
      <c r="A16" s="47" t="inlineStr">
        <is>
          <t>Cloud Services</t>
        </is>
      </c>
      <c r="B16" s="48" t="inlineStr">
        <is>
          <t>NAT Gateway</t>
        </is>
      </c>
      <c r="C16" s="48" t="inlineStr">
        <is>
          <t>Outbound network connectivity</t>
        </is>
      </c>
      <c r="D16" s="49" t="n">
        <v>1</v>
      </c>
      <c r="E16" s="48" t="inlineStr">
        <is>
          <t>Gateway/Month</t>
        </is>
      </c>
      <c r="F16" s="50" t="n">
        <v>40</v>
      </c>
      <c r="G16" s="50">
        <f>D16*F16*12</f>
        <v/>
      </c>
      <c r="H16" s="50">
        <f>G16</f>
        <v/>
      </c>
      <c r="I16" s="50">
        <f>G16</f>
        <v/>
      </c>
      <c r="J16" s="50">
        <f>G16+H16+I16</f>
        <v/>
      </c>
      <c r="K16" s="48" t="inlineStr">
        <is>
          <t>Single zone</t>
        </is>
      </c>
    </row>
    <row r="17" ht="26" customHeight="1">
      <c r="A17" s="43" t="inlineStr">
        <is>
          <t>Cloud Services</t>
        </is>
      </c>
      <c r="B17" s="44" t="inlineStr">
        <is>
          <t>Bandwidth</t>
        </is>
      </c>
      <c r="C17" s="44" t="inlineStr">
        <is>
          <t>Data transfer out</t>
        </is>
      </c>
      <c r="D17" s="45" t="n">
        <v>500</v>
      </c>
      <c r="E17" s="44" t="inlineStr">
        <is>
          <t>GB/Month</t>
        </is>
      </c>
      <c r="F17" s="46" t="n">
        <v>0.07000000000000001</v>
      </c>
      <c r="G17" s="46">
        <f>D17*F17*12</f>
        <v/>
      </c>
      <c r="H17" s="46">
        <f>G17</f>
        <v/>
      </c>
      <c r="I17" s="46">
        <f>G17</f>
        <v/>
      </c>
      <c r="J17" s="46">
        <f>G17+H17+I17</f>
        <v/>
      </c>
      <c r="K17" s="44" t="inlineStr">
        <is>
          <t>Egress charges</t>
        </is>
      </c>
    </row>
    <row r="18" ht="26" customHeight="1">
      <c r="A18" s="47" t="inlineStr">
        <is>
          <t>Software Licenses</t>
        </is>
      </c>
      <c r="B18" s="48" t="inlineStr">
        <is>
          <t>Custom Vision</t>
        </is>
      </c>
      <c r="C18" s="48" t="inlineStr">
        <is>
          <t>Document classification (optional)</t>
        </is>
      </c>
      <c r="D18" s="49" t="n">
        <v>1</v>
      </c>
      <c r="E18" s="48" t="inlineStr">
        <is>
          <t>Service/Month</t>
        </is>
      </c>
      <c r="F18" s="50" t="n">
        <v>50</v>
      </c>
      <c r="G18" s="50">
        <f>D18*F18*12</f>
        <v/>
      </c>
      <c r="H18" s="50">
        <f>G18</f>
        <v/>
      </c>
      <c r="I18" s="50">
        <f>G18</f>
        <v/>
      </c>
      <c r="J18" s="50">
        <f>G18+H18+I18</f>
        <v/>
      </c>
      <c r="K18" s="48" t="inlineStr">
        <is>
          <t>Optional AI enhancement</t>
        </is>
      </c>
    </row>
    <row r="19" ht="26" customHeight="1">
      <c r="A19" s="43" t="inlineStr">
        <is>
          <t>Software Licenses</t>
        </is>
      </c>
      <c r="B19" s="44" t="inlineStr">
        <is>
          <t>Datadog</t>
        </is>
      </c>
      <c r="C19" s="44" t="inlineStr">
        <is>
          <t>Pro monitoring</t>
        </is>
      </c>
      <c r="D19" s="45" t="n">
        <v>3</v>
      </c>
      <c r="E19" s="44" t="inlineStr">
        <is>
          <t>Instances/Month</t>
        </is>
      </c>
      <c r="F19" s="46" t="n">
        <v>23</v>
      </c>
      <c r="G19" s="46">
        <f>D19*F19*12</f>
        <v/>
      </c>
      <c r="H19" s="46">
        <f>G19</f>
        <v/>
      </c>
      <c r="I19" s="46">
        <f>G19</f>
        <v/>
      </c>
      <c r="J19" s="46">
        <f>G19+H19+I19</f>
        <v/>
      </c>
      <c r="K19" s="44" t="inlineStr">
        <is>
          <t>Application monitoring</t>
        </is>
      </c>
    </row>
    <row r="20" ht="26" customHeight="1">
      <c r="A20" s="47" t="inlineStr">
        <is>
          <t>Software Licenses</t>
        </is>
      </c>
      <c r="B20" s="48" t="inlineStr">
        <is>
          <t>PagerDuty</t>
        </is>
      </c>
      <c r="C20" s="48" t="inlineStr">
        <is>
          <t>Incident management</t>
        </is>
      </c>
      <c r="D20" s="49" t="n">
        <v>3</v>
      </c>
      <c r="E20" s="48" t="inlineStr">
        <is>
          <t>Users/Month</t>
        </is>
      </c>
      <c r="F20" s="50" t="n">
        <v>41</v>
      </c>
      <c r="G20" s="50">
        <f>D20*F20*12</f>
        <v/>
      </c>
      <c r="H20" s="50">
        <f>G20</f>
        <v/>
      </c>
      <c r="I20" s="50">
        <f>G20</f>
        <v/>
      </c>
      <c r="J20" s="50">
        <f>G20+H20+I20</f>
        <v/>
      </c>
      <c r="K20" s="48" t="inlineStr">
        <is>
          <t>Professional tier</t>
        </is>
      </c>
    </row>
    <row r="21" ht="26" customHeight="1">
      <c r="A21" s="43" t="inlineStr">
        <is>
          <t>Support &amp; Maintenance</t>
        </is>
      </c>
      <c r="B21" s="44" t="inlineStr">
        <is>
          <t>Azure Support</t>
        </is>
      </c>
      <c r="C21" s="44" t="inlineStr">
        <is>
          <t>Managed services and monitoring</t>
        </is>
      </c>
      <c r="D21" s="45" t="n">
        <v>1</v>
      </c>
      <c r="E21" s="44" t="inlineStr">
        <is>
          <t>Service/Month</t>
        </is>
      </c>
      <c r="F21" s="46" t="n">
        <v>223</v>
      </c>
      <c r="G21" s="46">
        <f>D21*F21*12</f>
        <v/>
      </c>
      <c r="H21" s="46">
        <f>G21</f>
        <v/>
      </c>
      <c r="I21" s="46">
        <f>G21</f>
        <v/>
      </c>
      <c r="J21" s="46">
        <f>G21+H21+I21</f>
        <v/>
      </c>
      <c r="K21" s="44" t="inlineStr">
        <is>
          <t>15% of cloud infrastructure</t>
        </is>
      </c>
    </row>
    <row r="22" ht="26" customHeight="1">
      <c r="A22" s="51" t="inlineStr">
        <is>
          <t>TOTAL</t>
        </is>
      </c>
      <c r="B22" s="52" t="n"/>
      <c r="C22" s="52" t="n"/>
      <c r="D22" s="52" t="n"/>
      <c r="E22" s="52" t="n"/>
      <c r="F22" s="52" t="n"/>
      <c r="G22" s="53">
        <f>SUM(G3:G21)</f>
        <v/>
      </c>
      <c r="H22" s="53">
        <f>SUM(H3:H21)</f>
        <v/>
      </c>
      <c r="I22" s="53">
        <f>SUM(I3:I21)</f>
        <v/>
      </c>
      <c r="J22" s="53">
        <f>SUM(J3:J21)</f>
        <v/>
      </c>
      <c r="K22" s="52" t="n"/>
    </row>
  </sheetData>
  <autoFilter ref="A2:K2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Services</t>
        </is>
      </c>
      <c r="B3" s="44" t="inlineStr">
        <is>
          <t>Azure AI Services Credit</t>
        </is>
      </c>
      <c r="C3" s="46" t="n">
        <v>-3690</v>
      </c>
      <c r="D3" s="44" t="inlineStr">
        <is>
          <t>30% credit on Document Intelligence and Text Analytics Year 1 consumption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Microsoft Partner Services Credit</t>
        </is>
      </c>
      <c r="C7" s="46" t="n">
        <v>-10000</v>
      </c>
      <c r="D7" s="44" t="inlineStr">
        <is>
          <t>Applied to architecture and AI configuration services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Services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2025-11-25T04:28:53Z</dcterms:modified>
  <cp:lastModifiedBy>Kishan Siram</cp:lastModifiedBy>
</cp:coreProperties>
</file>