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Guidelines'!$A$2:$F$12</definedName>
    <definedName name="_xlnm._FilterDatabase" localSheetId="2" hidden="1">'Infrastructure Costs'!$A$2:$K$11</definedName>
    <definedName name="_xlnm._FilterDatabase" localSheetId="3" hidden="1">'Credits'!$A$2:$D$7</definedName>
    <definedName name="_xlnm._FilterDatabase" localSheetId="4" hidden="1">'3-Year Summary'!$A$2:$G$6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24, 2025</t>
        </is>
      </c>
    </row>
    <row r="8" ht="18" customHeight="1">
      <c r="B8" s="2" t="inlineStr">
        <is>
          <t>Customer:</t>
        </is>
      </c>
      <c r="C8" s="3" t="inlineStr">
        <is>
          <t>Enterprise Platform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Cloud Services</t>
        </is>
      </c>
      <c r="B3" s="38" t="inlineStr">
        <is>
          <t>DevOps Users</t>
        </is>
      </c>
      <c r="C3" s="39" t="inlineStr">
        <is>
          <t>5-10 users</t>
        </is>
      </c>
      <c r="D3" s="39" t="inlineStr">
        <is>
          <t>10-25 users</t>
        </is>
      </c>
      <c r="E3" s="39" t="inlineStr">
        <is>
          <t>50+ users</t>
        </is>
      </c>
      <c r="F3" s="38" t="inlineStr">
        <is>
          <t>Active development team size</t>
        </is>
      </c>
    </row>
    <row r="4" ht="26" customHeight="1">
      <c r="A4" s="40" t="inlineStr">
        <is>
          <t>Cloud Services</t>
        </is>
      </c>
      <c r="B4" s="41" t="inlineStr">
        <is>
          <t>Pipeline Complexity</t>
        </is>
      </c>
      <c r="C4" s="42" t="inlineStr">
        <is>
          <t>5-10 pipelines</t>
        </is>
      </c>
      <c r="D4" s="42" t="inlineStr">
        <is>
          <t>10-25 pipelines</t>
        </is>
      </c>
      <c r="E4" s="42" t="inlineStr">
        <is>
          <t>50+ pipelines</t>
        </is>
      </c>
      <c r="F4" s="41" t="inlineStr">
        <is>
          <t>CI/CD pipeline count</t>
        </is>
      </c>
    </row>
    <row r="5" ht="26" customHeight="1">
      <c r="A5" s="37" t="inlineStr">
        <is>
          <t>Cloud Services</t>
        </is>
      </c>
      <c r="B5" s="38" t="inlineStr">
        <is>
          <t>Container Registry Size</t>
        </is>
      </c>
      <c r="C5" s="39" t="inlineStr">
        <is>
          <t>50-100 GB</t>
        </is>
      </c>
      <c r="D5" s="39" t="inlineStr">
        <is>
          <t>100-500 GB</t>
        </is>
      </c>
      <c r="E5" s="39" t="inlineStr">
        <is>
          <t>1+ TB</t>
        </is>
      </c>
      <c r="F5" s="38" t="inlineStr">
        <is>
          <t>Docker image storage</t>
        </is>
      </c>
    </row>
    <row r="6" ht="26" customHeight="1">
      <c r="A6" s="40" t="inlineStr">
        <is>
          <t>Cloud Services</t>
        </is>
      </c>
      <c r="B6" s="41" t="inlineStr">
        <is>
          <t>Build/Deploy Frequency</t>
        </is>
      </c>
      <c r="C6" s="42" t="inlineStr">
        <is>
          <t>10-50 builds/day</t>
        </is>
      </c>
      <c r="D6" s="42" t="inlineStr">
        <is>
          <t>50-200 builds/day</t>
        </is>
      </c>
      <c r="E6" s="42" t="inlineStr">
        <is>
          <t>500+ builds/day</t>
        </is>
      </c>
      <c r="F6" s="41" t="inlineStr">
        <is>
          <t>Deployment velocity</t>
        </is>
      </c>
    </row>
    <row r="7" ht="26" customHeight="1">
      <c r="A7" s="37" t="inlineStr">
        <is>
          <t>Software Licenses</t>
        </is>
      </c>
      <c r="B7" s="38" t="inlineStr">
        <is>
          <t>Repository Count</t>
        </is>
      </c>
      <c r="C7" s="39" t="inlineStr">
        <is>
          <t>5-20 repos</t>
        </is>
      </c>
      <c r="D7" s="39" t="inlineStr">
        <is>
          <t>20-50 repos</t>
        </is>
      </c>
      <c r="E7" s="39" t="inlineStr">
        <is>
          <t>100+ repos</t>
        </is>
      </c>
      <c r="F7" s="38" t="inlineStr">
        <is>
          <t>Git repository count</t>
        </is>
      </c>
    </row>
    <row r="8" ht="26" customHeight="1">
      <c r="A8" s="40" t="inlineStr">
        <is>
          <t>Software Licenses</t>
        </is>
      </c>
      <c r="B8" s="41" t="inlineStr">
        <is>
          <t>Stakeholder Users</t>
        </is>
      </c>
      <c r="C8" s="42" t="inlineStr">
        <is>
          <t>5-10 users</t>
        </is>
      </c>
      <c r="D8" s="42" t="inlineStr">
        <is>
          <t>10-25 users</t>
        </is>
      </c>
      <c r="E8" s="42" t="inlineStr">
        <is>
          <t>50+ users</t>
        </is>
      </c>
      <c r="F8" s="41" t="inlineStr">
        <is>
          <t>View-only access users</t>
        </is>
      </c>
    </row>
    <row r="9" ht="26" customHeight="1">
      <c r="A9" s="37" t="inlineStr">
        <is>
          <t>Support &amp; Maintenance</t>
        </is>
      </c>
      <c r="B9" s="38" t="inlineStr">
        <is>
          <t>Support Level</t>
        </is>
      </c>
      <c r="C9" s="39" t="inlineStr">
        <is>
          <t>Business hours</t>
        </is>
      </c>
      <c r="D9" s="39" t="inlineStr">
        <is>
          <t>24x5 support</t>
        </is>
      </c>
      <c r="E9" s="39" t="inlineStr">
        <is>
          <t>24x7 premium</t>
        </is>
      </c>
      <c r="F9" s="38" t="inlineStr">
        <is>
          <t>SLA requirements</t>
        </is>
      </c>
    </row>
    <row r="10" ht="26" customHeight="1">
      <c r="A10" s="40" t="inlineStr">
        <is>
          <t>Professional Services</t>
        </is>
      </c>
      <c r="B10" s="41" t="inlineStr">
        <is>
          <t>Implementation Hours</t>
        </is>
      </c>
      <c r="C10" s="42" t="inlineStr">
        <is>
          <t>300-400 hours</t>
        </is>
      </c>
      <c r="D10" s="42" t="inlineStr">
        <is>
          <t>400-600 hours</t>
        </is>
      </c>
      <c r="E10" s="42" t="inlineStr">
        <is>
          <t>800+ hours</t>
        </is>
      </c>
      <c r="F10" s="41" t="inlineStr">
        <is>
          <t>Pipeline and IaC complexity</t>
        </is>
      </c>
    </row>
    <row r="11" ht="26" customHeight="1">
      <c r="A11" s="37" t="inlineStr">
        <is>
          <t>Professional Services</t>
        </is>
      </c>
      <c r="B11" s="38" t="inlineStr">
        <is>
          <t>Custom Pipeline Templates</t>
        </is>
      </c>
      <c r="C11" s="39" t="inlineStr">
        <is>
          <t>10-20 templates</t>
        </is>
      </c>
      <c r="D11" s="39" t="inlineStr">
        <is>
          <t>20-40 templates</t>
        </is>
      </c>
      <c r="E11" s="39" t="inlineStr">
        <is>
          <t>50+ templates</t>
        </is>
      </c>
      <c r="F11" s="38" t="inlineStr">
        <is>
          <t>Reusable automation count</t>
        </is>
      </c>
    </row>
    <row r="12" ht="26" customHeight="1">
      <c r="A12" s="40" t="inlineStr">
        <is>
          <t>Professional Services</t>
        </is>
      </c>
      <c r="B12" s="41" t="inlineStr">
        <is>
          <t>IaC Templates</t>
        </is>
      </c>
      <c r="C12" s="42" t="inlineStr">
        <is>
          <t>5-10 templates</t>
        </is>
      </c>
      <c r="D12" s="42" t="inlineStr">
        <is>
          <t>10-20 templates</t>
        </is>
      </c>
      <c r="E12" s="42" t="inlineStr">
        <is>
          <t>30+ templates</t>
        </is>
      </c>
      <c r="F12" s="41" t="inlineStr">
        <is>
          <t>Infrastructure automation</t>
        </is>
      </c>
    </row>
  </sheetData>
  <autoFilter ref="A2:F12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35" customWidth="1" min="3" max="3"/>
    <col width="10" customWidth="1" min="4" max="4"/>
    <col width="14" customWidth="1" min="5" max="5"/>
    <col width="12" customWidth="1" min="6" max="6"/>
    <col width="14" customWidth="1" min="7" max="7"/>
    <col width="14" customWidth="1" min="8" max="8"/>
    <col width="14" customWidth="1" min="9" max="9"/>
    <col width="16" customWidth="1" min="10" max="10"/>
    <col width="4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Cloud Services</t>
        </is>
      </c>
      <c r="B3" s="44" t="inlineStr">
        <is>
          <t>Azure DevOps Basic</t>
        </is>
      </c>
      <c r="C3" s="44" t="inlineStr">
        <is>
          <t>Basic tier for development team</t>
        </is>
      </c>
      <c r="D3" s="45" t="n">
        <v>10</v>
      </c>
      <c r="E3" s="44" t="inlineStr">
        <is>
          <t>Users/Month</t>
        </is>
      </c>
      <c r="F3" s="46" t="n">
        <v>30</v>
      </c>
      <c r="G3" s="46">
        <f>D3*F3*12</f>
        <v/>
      </c>
      <c r="H3" s="46">
        <f>G3</f>
        <v/>
      </c>
      <c r="I3" s="46">
        <f>G3</f>
        <v/>
      </c>
      <c r="J3" s="46">
        <f>G3+H3+I3</f>
        <v/>
      </c>
      <c r="K3" s="44" t="inlineStr">
        <is>
          <t>Development licenses</t>
        </is>
      </c>
    </row>
    <row r="4" ht="26" customHeight="1">
      <c r="A4" s="47" t="inlineStr">
        <is>
          <t>Cloud Services</t>
        </is>
      </c>
      <c r="B4" s="48" t="inlineStr">
        <is>
          <t>DevOps Stakeholder</t>
        </is>
      </c>
      <c r="C4" s="48" t="inlineStr">
        <is>
          <t>Stakeholder view-only access</t>
        </is>
      </c>
      <c r="D4" s="49" t="n">
        <v>5</v>
      </c>
      <c r="E4" s="48" t="inlineStr">
        <is>
          <t>Users/Month</t>
        </is>
      </c>
      <c r="F4" s="50" t="n">
        <v>0</v>
      </c>
      <c r="G4" s="50">
        <f>D4*F4*12</f>
        <v/>
      </c>
      <c r="H4" s="50">
        <f>G4</f>
        <v/>
      </c>
      <c r="I4" s="50">
        <f>G4</f>
        <v/>
      </c>
      <c r="J4" s="50">
        <f>G4+H4+I4</f>
        <v/>
      </c>
      <c r="K4" s="48" t="inlineStr">
        <is>
          <t>Included access</t>
        </is>
      </c>
    </row>
    <row r="5" ht="26" customHeight="1">
      <c r="A5" s="43" t="inlineStr">
        <is>
          <t>Cloud Services</t>
        </is>
      </c>
      <c r="B5" s="44" t="inlineStr">
        <is>
          <t>Container Registry</t>
        </is>
      </c>
      <c r="C5" s="44" t="inlineStr">
        <is>
          <t>Premium tier for enterprise features</t>
        </is>
      </c>
      <c r="D5" s="45" t="n">
        <v>1</v>
      </c>
      <c r="E5" s="44" t="inlineStr">
        <is>
          <t>Service/Month</t>
        </is>
      </c>
      <c r="F5" s="46" t="n">
        <v>167</v>
      </c>
      <c r="G5" s="46">
        <f>D5*F5*12</f>
        <v/>
      </c>
      <c r="H5" s="46">
        <f>G5</f>
        <v/>
      </c>
      <c r="I5" s="46">
        <f>G5</f>
        <v/>
      </c>
      <c r="J5" s="46">
        <f>G5+H5+I5</f>
        <v/>
      </c>
      <c r="K5" s="44" t="inlineStr">
        <is>
          <t>Docker registry</t>
        </is>
      </c>
    </row>
    <row r="6" ht="26" customHeight="1">
      <c r="A6" s="47" t="inlineStr">
        <is>
          <t>Cloud Services</t>
        </is>
      </c>
      <c r="B6" s="48" t="inlineStr">
        <is>
          <t>Key Vault</t>
        </is>
      </c>
      <c r="C6" s="48" t="inlineStr">
        <is>
          <t>Standard tier for secret management</t>
        </is>
      </c>
      <c r="D6" s="49" t="n">
        <v>1</v>
      </c>
      <c r="E6" s="48" t="inlineStr">
        <is>
          <t>Service/Month</t>
        </is>
      </c>
      <c r="F6" s="50" t="n">
        <v>10</v>
      </c>
      <c r="G6" s="50">
        <f>D6*F6*12</f>
        <v/>
      </c>
      <c r="H6" s="50">
        <f>G6</f>
        <v/>
      </c>
      <c r="I6" s="50">
        <f>G6</f>
        <v/>
      </c>
      <c r="J6" s="50">
        <f>G6+H6+I6</f>
        <v/>
      </c>
      <c r="K6" s="48" t="inlineStr">
        <is>
          <t>Secrets management</t>
        </is>
      </c>
    </row>
    <row r="7" ht="26" customHeight="1">
      <c r="A7" s="43" t="inlineStr">
        <is>
          <t>Cloud Services</t>
        </is>
      </c>
      <c r="B7" s="44" t="inlineStr">
        <is>
          <t>Monitor Log Analytics</t>
        </is>
      </c>
      <c r="C7" s="44" t="inlineStr">
        <is>
          <t>Log Analytics for monitoring</t>
        </is>
      </c>
      <c r="D7" s="45" t="n">
        <v>5</v>
      </c>
      <c r="E7" s="44" t="inlineStr">
        <is>
          <t>GB/Month</t>
        </is>
      </c>
      <c r="F7" s="46" t="n">
        <v>8</v>
      </c>
      <c r="G7" s="46">
        <f>D7*F7*12</f>
        <v/>
      </c>
      <c r="H7" s="46">
        <f>G7</f>
        <v/>
      </c>
      <c r="I7" s="46">
        <f>G7</f>
        <v/>
      </c>
      <c r="J7" s="46">
        <f>G7+H7+I7</f>
        <v/>
      </c>
      <c r="K7" s="44" t="inlineStr">
        <is>
          <t>Operational monitoring</t>
        </is>
      </c>
    </row>
    <row r="8" ht="26" customHeight="1">
      <c r="A8" s="47" t="inlineStr">
        <is>
          <t>Cloud Services</t>
        </is>
      </c>
      <c r="B8" s="48" t="inlineStr">
        <is>
          <t>App Service</t>
        </is>
      </c>
      <c r="C8" s="48" t="inlineStr">
        <is>
          <t>Optional B3 instances for CI/CD</t>
        </is>
      </c>
      <c r="D8" s="49" t="n">
        <v>0</v>
      </c>
      <c r="E8" s="48" t="inlineStr">
        <is>
          <t>Instances/Month</t>
        </is>
      </c>
      <c r="F8" s="50" t="n">
        <v>0</v>
      </c>
      <c r="G8" s="50">
        <f>D8*F8*12</f>
        <v/>
      </c>
      <c r="H8" s="50">
        <f>G8</f>
        <v/>
      </c>
      <c r="I8" s="50">
        <f>G8</f>
        <v/>
      </c>
      <c r="J8" s="50">
        <f>G8+H8+I8</f>
        <v/>
      </c>
      <c r="K8" s="48" t="inlineStr">
        <is>
          <t>Optional infrastructure</t>
        </is>
      </c>
    </row>
    <row r="9" ht="26" customHeight="1">
      <c r="A9" s="43" t="inlineStr">
        <is>
          <t>Support &amp; Maintenance</t>
        </is>
      </c>
      <c r="B9" s="44" t="inlineStr">
        <is>
          <t>Managed Services</t>
        </is>
      </c>
      <c r="C9" s="44" t="inlineStr">
        <is>
          <t>Ongoing platform optimization</t>
        </is>
      </c>
      <c r="D9" s="45" t="n">
        <v>1</v>
      </c>
      <c r="E9" s="44" t="inlineStr">
        <is>
          <t>Service/Month</t>
        </is>
      </c>
      <c r="F9" s="46" t="n">
        <v>127</v>
      </c>
      <c r="G9" s="46">
        <f>D9*F9*12</f>
        <v/>
      </c>
      <c r="H9" s="46">
        <f>G9</f>
        <v/>
      </c>
      <c r="I9" s="46">
        <f>G9</f>
        <v/>
      </c>
      <c r="J9" s="46">
        <f>G9+H9+I9</f>
        <v/>
      </c>
      <c r="K9" s="44" t="inlineStr">
        <is>
          <t>15% of platform cost</t>
        </is>
      </c>
    </row>
    <row r="10" ht="26" customHeight="1">
      <c r="A10" s="47" t="inlineStr">
        <is>
          <t>Support &amp; Maintenance</t>
        </is>
      </c>
      <c r="B10" s="48" t="inlineStr">
        <is>
          <t>Azure Support</t>
        </is>
      </c>
      <c r="C10" s="48" t="inlineStr">
        <is>
          <t>Professional Direct support optional</t>
        </is>
      </c>
      <c r="D10" s="49" t="n">
        <v>0</v>
      </c>
      <c r="E10" s="48" t="inlineStr">
        <is>
          <t>Plan/Month</t>
        </is>
      </c>
      <c r="F10" s="50" t="n">
        <v>0</v>
      </c>
      <c r="G10" s="50">
        <f>D10*F10*12</f>
        <v/>
      </c>
      <c r="H10" s="50">
        <f>G10</f>
        <v/>
      </c>
      <c r="I10" s="50">
        <f>G10</f>
        <v/>
      </c>
      <c r="J10" s="50">
        <f>G10+H10+I10</f>
        <v/>
      </c>
      <c r="K10" s="48" t="inlineStr">
        <is>
          <t>Optional upgrade</t>
        </is>
      </c>
    </row>
    <row r="11" ht="26" customHeight="1">
      <c r="A11" s="51" t="inlineStr">
        <is>
          <t>TOTAL</t>
        </is>
      </c>
      <c r="B11" s="52" t="n"/>
      <c r="C11" s="52" t="n"/>
      <c r="D11" s="52" t="n"/>
      <c r="E11" s="52" t="n"/>
      <c r="F11" s="52" t="n"/>
      <c r="G11" s="53">
        <f>SUM(G3:G10)</f>
        <v/>
      </c>
      <c r="H11" s="53">
        <f>SUM(H3:H10)</f>
        <v/>
      </c>
      <c r="I11" s="53">
        <f>SUM(I3:I10)</f>
        <v/>
      </c>
      <c r="J11" s="53">
        <f>SUM(J3:J10)</f>
        <v/>
      </c>
      <c r="K11" s="52" t="n"/>
    </row>
  </sheetData>
  <autoFilter ref="A2:K11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0" customWidth="1" min="2" max="2"/>
    <col width="20" customWidth="1" min="3" max="3"/>
    <col width="75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Cloud Services</t>
        </is>
      </c>
      <c r="B3" s="44" t="inlineStr">
        <is>
          <t>Azure DevOps Credit</t>
        </is>
      </c>
      <c r="C3" s="46" t="n">
        <v>0</v>
      </c>
      <c r="D3" s="44" t="inlineStr">
        <is>
          <t>No infrastructure credits available</t>
        </is>
      </c>
    </row>
    <row r="4" ht="26" customHeight="1">
      <c r="A4" s="47" t="inlineStr">
        <is>
          <t>Software Licenses</t>
        </is>
      </c>
      <c r="B4" s="48" t="inlineStr">
        <is>
          <t>Partner Credit</t>
        </is>
      </c>
      <c r="C4" s="50" t="n">
        <v>0</v>
      </c>
      <c r="D4" s="48" t="inlineStr">
        <is>
          <t>No software credits available</t>
        </is>
      </c>
    </row>
    <row r="5" ht="26" customHeight="1">
      <c r="A5" s="43" t="inlineStr">
        <is>
          <t>Support &amp; Maintenance</t>
        </is>
      </c>
      <c r="B5" s="44" t="inlineStr">
        <is>
          <t>Program Credit</t>
        </is>
      </c>
      <c r="C5" s="46" t="n">
        <v>0</v>
      </c>
      <c r="D5" s="44" t="inlineStr">
        <is>
          <t>No support credits available</t>
        </is>
      </c>
    </row>
    <row r="6" ht="26" customHeight="1">
      <c r="A6" s="47" t="inlineStr">
        <is>
          <t>Hardware</t>
        </is>
      </c>
      <c r="B6" s="48" t="inlineStr">
        <is>
          <t>Equipment Credit</t>
        </is>
      </c>
      <c r="C6" s="50" t="n">
        <v>0</v>
      </c>
      <c r="D6" s="48" t="inlineStr">
        <is>
          <t>No hardware credits available</t>
        </is>
      </c>
    </row>
    <row r="7" ht="26" customHeight="1">
      <c r="A7" s="43" t="inlineStr">
        <is>
          <t>Professional Services</t>
        </is>
      </c>
      <c r="B7" s="44" t="inlineStr">
        <is>
          <t>Partner Services Credit</t>
        </is>
      </c>
      <c r="C7" s="46" t="n">
        <v>-8000</v>
      </c>
      <c r="D7" s="44" t="inlineStr">
        <is>
          <t>Azure or Microsoft partner services credit</t>
        </is>
      </c>
    </row>
  </sheetData>
  <autoFilter ref="A2:D7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8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Cloud Services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Software Licenses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Support &amp; Maintenance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51" t="inlineStr">
        <is>
          <t>TOTAL</t>
        </is>
      </c>
      <c r="B6" s="53">
        <f>SUM(B3:B5)</f>
        <v/>
      </c>
      <c r="C6" s="53">
        <f>SUM(C3:C5)</f>
        <v/>
      </c>
      <c r="D6" s="53">
        <f>SUM(D3:D5)</f>
        <v/>
      </c>
      <c r="E6" s="53">
        <f>SUM(E3:E5)</f>
        <v/>
      </c>
      <c r="F6" s="53">
        <f>SUM(F3:F5)</f>
        <v/>
      </c>
      <c r="G6" s="53">
        <f>SUM(G3:G5)</f>
        <v/>
      </c>
    </row>
  </sheetData>
  <autoFilter ref="A2:G6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2025-11-25T04:29:04Z</dcterms:modified>
  <cp:lastModifiedBy>Kishan Siram</cp:lastModifiedBy>
</cp:coreProperties>
</file>