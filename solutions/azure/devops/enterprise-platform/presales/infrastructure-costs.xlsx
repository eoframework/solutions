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Costs'!$A$2:$K$19</definedName>
    <definedName name="_xlnm._FilterDatabase" localSheetId="3" hidden="1">'Credits'!$A$2:$D$7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Enterprise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Infrastructure</t>
        </is>
      </c>
      <c r="B3" s="38" t="inlineStr">
        <is>
          <t>DevOps Users</t>
        </is>
      </c>
      <c r="C3" s="39" t="inlineStr">
        <is>
          <t>5-10 users</t>
        </is>
      </c>
      <c r="D3" s="39" t="inlineStr">
        <is>
          <t>10-25 users</t>
        </is>
      </c>
      <c r="E3" s="39" t="inlineStr">
        <is>
          <t>50+ users</t>
        </is>
      </c>
      <c r="F3" s="38" t="inlineStr">
        <is>
          <t>Active development team size</t>
        </is>
      </c>
    </row>
    <row r="4" ht="26" customHeight="1">
      <c r="A4" s="40" t="inlineStr">
        <is>
          <t>Cloud Infrastructure</t>
        </is>
      </c>
      <c r="B4" s="41" t="inlineStr">
        <is>
          <t>Pipeline Complexity</t>
        </is>
      </c>
      <c r="C4" s="42" t="inlineStr">
        <is>
          <t>5-10 pipelines</t>
        </is>
      </c>
      <c r="D4" s="42" t="inlineStr">
        <is>
          <t>10-25 pipelines</t>
        </is>
      </c>
      <c r="E4" s="42" t="inlineStr">
        <is>
          <t>50+ pipelines</t>
        </is>
      </c>
      <c r="F4" s="41" t="inlineStr">
        <is>
          <t>CI/CD pipeline count</t>
        </is>
      </c>
    </row>
    <row r="5" ht="26" customHeight="1">
      <c r="A5" s="37" t="inlineStr">
        <is>
          <t>Cloud Infrastructure</t>
        </is>
      </c>
      <c r="B5" s="38" t="inlineStr">
        <is>
          <t>Container Registry Size</t>
        </is>
      </c>
      <c r="C5" s="39" t="inlineStr">
        <is>
          <t>50-100 GB</t>
        </is>
      </c>
      <c r="D5" s="39" t="inlineStr">
        <is>
          <t>100-500 GB</t>
        </is>
      </c>
      <c r="E5" s="39" t="inlineStr">
        <is>
          <t>1+ TB</t>
        </is>
      </c>
      <c r="F5" s="38" t="inlineStr">
        <is>
          <t>Docker image storage</t>
        </is>
      </c>
    </row>
    <row r="6" ht="26" customHeight="1">
      <c r="A6" s="40" t="inlineStr">
        <is>
          <t>Cloud Infrastructure</t>
        </is>
      </c>
      <c r="B6" s="41" t="inlineStr">
        <is>
          <t>Build/Deploy Frequency</t>
        </is>
      </c>
      <c r="C6" s="42" t="inlineStr">
        <is>
          <t>10-50 builds/day</t>
        </is>
      </c>
      <c r="D6" s="42" t="inlineStr">
        <is>
          <t>50-200 builds/day</t>
        </is>
      </c>
      <c r="E6" s="42" t="inlineStr">
        <is>
          <t>500+ builds/day</t>
        </is>
      </c>
      <c r="F6" s="41" t="inlineStr">
        <is>
          <t>Deployment velocity</t>
        </is>
      </c>
    </row>
    <row r="7" ht="26" customHeight="1">
      <c r="A7" s="37" t="inlineStr">
        <is>
          <t>Software Licenses</t>
        </is>
      </c>
      <c r="B7" s="38" t="inlineStr">
        <is>
          <t>Repository Count</t>
        </is>
      </c>
      <c r="C7" s="39" t="inlineStr">
        <is>
          <t>5-20 repos</t>
        </is>
      </c>
      <c r="D7" s="39" t="inlineStr">
        <is>
          <t>20-50 repos</t>
        </is>
      </c>
      <c r="E7" s="39" t="inlineStr">
        <is>
          <t>100+ repos</t>
        </is>
      </c>
      <c r="F7" s="38" t="inlineStr">
        <is>
          <t>Git repository count</t>
        </is>
      </c>
    </row>
    <row r="8" ht="26" customHeight="1">
      <c r="A8" s="40" t="inlineStr">
        <is>
          <t>Software Licenses</t>
        </is>
      </c>
      <c r="B8" s="41" t="inlineStr">
        <is>
          <t>Stakeholder Users</t>
        </is>
      </c>
      <c r="C8" s="42" t="inlineStr">
        <is>
          <t>5-10 users</t>
        </is>
      </c>
      <c r="D8" s="42" t="inlineStr">
        <is>
          <t>10-25 users</t>
        </is>
      </c>
      <c r="E8" s="42" t="inlineStr">
        <is>
          <t>50+ users</t>
        </is>
      </c>
      <c r="F8" s="41" t="inlineStr">
        <is>
          <t>View-only access users</t>
        </is>
      </c>
    </row>
    <row r="9" ht="26" customHeight="1">
      <c r="A9" s="37" t="inlineStr">
        <is>
          <t>Support &amp; Maintenance</t>
        </is>
      </c>
      <c r="B9" s="38" t="inlineStr">
        <is>
          <t>Support Level</t>
        </is>
      </c>
      <c r="C9" s="39" t="inlineStr">
        <is>
          <t>Business hours</t>
        </is>
      </c>
      <c r="D9" s="39" t="inlineStr">
        <is>
          <t>24x5 support</t>
        </is>
      </c>
      <c r="E9" s="39" t="inlineStr">
        <is>
          <t>24x7 premium</t>
        </is>
      </c>
      <c r="F9" s="38" t="inlineStr">
        <is>
          <t>SLA requirements</t>
        </is>
      </c>
    </row>
    <row r="10" ht="26" customHeight="1">
      <c r="A10" s="40" t="inlineStr">
        <is>
          <t>Professional Services</t>
        </is>
      </c>
      <c r="B10" s="41" t="inlineStr">
        <is>
          <t>Implementation Hours</t>
        </is>
      </c>
      <c r="C10" s="42" t="inlineStr">
        <is>
          <t>300-400 hours</t>
        </is>
      </c>
      <c r="D10" s="42" t="inlineStr">
        <is>
          <t>400-600 hours</t>
        </is>
      </c>
      <c r="E10" s="42" t="inlineStr">
        <is>
          <t>800+ hours</t>
        </is>
      </c>
      <c r="F10" s="41" t="inlineStr">
        <is>
          <t>Pipeline and IaC complexity</t>
        </is>
      </c>
    </row>
    <row r="11" ht="26" customHeight="1">
      <c r="A11" s="37" t="inlineStr">
        <is>
          <t>Professional Services</t>
        </is>
      </c>
      <c r="B11" s="38" t="inlineStr">
        <is>
          <t>Custom Pipeline Templates</t>
        </is>
      </c>
      <c r="C11" s="39" t="inlineStr">
        <is>
          <t>10-20 templates</t>
        </is>
      </c>
      <c r="D11" s="39" t="inlineStr">
        <is>
          <t>20-40 templates</t>
        </is>
      </c>
      <c r="E11" s="39" t="inlineStr">
        <is>
          <t>50+ templates</t>
        </is>
      </c>
      <c r="F11" s="38" t="inlineStr">
        <is>
          <t>Reusable automation count</t>
        </is>
      </c>
    </row>
    <row r="12" ht="26" customHeight="1">
      <c r="A12" s="40" t="inlineStr">
        <is>
          <t>Professional Services</t>
        </is>
      </c>
      <c r="B12" s="41" t="inlineStr">
        <is>
          <t>IaC Templates</t>
        </is>
      </c>
      <c r="C12" s="42" t="inlineStr">
        <is>
          <t>5-10 templates</t>
        </is>
      </c>
      <c r="D12" s="42" t="inlineStr">
        <is>
          <t>10-20 templates</t>
        </is>
      </c>
      <c r="E12" s="42" t="inlineStr">
        <is>
          <t>30+ templates</t>
        </is>
      </c>
      <c r="F12" s="41" t="inlineStr">
        <is>
          <t>Infrastructure automation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4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Infrastructure</t>
        </is>
      </c>
      <c r="B3" s="44" t="inlineStr">
        <is>
          <t>Azure DevOps Basic</t>
        </is>
      </c>
      <c r="C3" s="44" t="inlineStr">
        <is>
          <t>Basic tier for development team</t>
        </is>
      </c>
      <c r="D3" s="45" t="n">
        <v>10</v>
      </c>
      <c r="E3" s="44" t="inlineStr">
        <is>
          <t>Users/Month</t>
        </is>
      </c>
      <c r="F3" s="46" t="n">
        <v>30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Development licenses</t>
        </is>
      </c>
    </row>
    <row r="4" ht="26" customHeight="1">
      <c r="A4" s="47" t="inlineStr">
        <is>
          <t>Cloud Infrastructure</t>
        </is>
      </c>
      <c r="B4" s="48" t="inlineStr">
        <is>
          <t>DevOps Stakeholder</t>
        </is>
      </c>
      <c r="C4" s="48" t="inlineStr">
        <is>
          <t>Stakeholder view-only access</t>
        </is>
      </c>
      <c r="D4" s="49" t="n">
        <v>5</v>
      </c>
      <c r="E4" s="48" t="inlineStr">
        <is>
          <t>Users/Month</t>
        </is>
      </c>
      <c r="F4" s="50" t="n">
        <v>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Included access</t>
        </is>
      </c>
    </row>
    <row r="5" ht="26" customHeight="1">
      <c r="A5" s="43" t="inlineStr">
        <is>
          <t>Cloud Infrastructure</t>
        </is>
      </c>
      <c r="B5" s="44" t="inlineStr">
        <is>
          <t>Container Registry</t>
        </is>
      </c>
      <c r="C5" s="44" t="inlineStr">
        <is>
          <t>Premium tier for enterprise features</t>
        </is>
      </c>
      <c r="D5" s="45" t="n">
        <v>1</v>
      </c>
      <c r="E5" s="44" t="inlineStr">
        <is>
          <t>Service/Month</t>
        </is>
      </c>
      <c r="F5" s="46" t="n">
        <v>167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Docker registry</t>
        </is>
      </c>
    </row>
    <row r="6" ht="26" customHeight="1">
      <c r="A6" s="47" t="inlineStr">
        <is>
          <t>Cloud Infrastructure</t>
        </is>
      </c>
      <c r="B6" s="48" t="inlineStr">
        <is>
          <t>Key Vault</t>
        </is>
      </c>
      <c r="C6" s="48" t="inlineStr">
        <is>
          <t>Standard tier for secret management</t>
        </is>
      </c>
      <c r="D6" s="49" t="n">
        <v>1</v>
      </c>
      <c r="E6" s="48" t="inlineStr">
        <is>
          <t>Service/Month</t>
        </is>
      </c>
      <c r="F6" s="50" t="n">
        <v>10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Secrets management</t>
        </is>
      </c>
    </row>
    <row r="7" ht="26" customHeight="1">
      <c r="A7" s="43" t="inlineStr">
        <is>
          <t>Cloud Infrastructure</t>
        </is>
      </c>
      <c r="B7" s="44" t="inlineStr">
        <is>
          <t>Monitor Log Analytics</t>
        </is>
      </c>
      <c r="C7" s="44" t="inlineStr">
        <is>
          <t>Log Analytics for monitoring</t>
        </is>
      </c>
      <c r="D7" s="45" t="n">
        <v>5</v>
      </c>
      <c r="E7" s="44" t="inlineStr">
        <is>
          <t>GB/Month</t>
        </is>
      </c>
      <c r="F7" s="46" t="n">
        <v>8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Operational monitoring</t>
        </is>
      </c>
    </row>
    <row r="8" ht="26" customHeight="1">
      <c r="A8" s="47" t="inlineStr">
        <is>
          <t>Cloud Infrastructure</t>
        </is>
      </c>
      <c r="B8" s="48" t="inlineStr">
        <is>
          <t>App Service</t>
        </is>
      </c>
      <c r="C8" s="48" t="inlineStr">
        <is>
          <t>Optional B3 instances for CI/CD</t>
        </is>
      </c>
      <c r="D8" s="49" t="n">
        <v>0</v>
      </c>
      <c r="E8" s="48" t="inlineStr">
        <is>
          <t>Instances/Month</t>
        </is>
      </c>
      <c r="F8" s="50" t="n">
        <v>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Optional infrastructure</t>
        </is>
      </c>
    </row>
    <row r="9" ht="26" customHeight="1">
      <c r="A9" s="43" t="inlineStr">
        <is>
          <t>Support &amp; Maintenance</t>
        </is>
      </c>
      <c r="B9" s="44" t="inlineStr">
        <is>
          <t>Managed Services</t>
        </is>
      </c>
      <c r="C9" s="44" t="inlineStr">
        <is>
          <t>Ongoing platform optimization</t>
        </is>
      </c>
      <c r="D9" s="45" t="n">
        <v>1</v>
      </c>
      <c r="E9" s="44" t="inlineStr">
        <is>
          <t>Service/Month</t>
        </is>
      </c>
      <c r="F9" s="46" t="n">
        <v>127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15% of platform cost</t>
        </is>
      </c>
    </row>
    <row r="10" ht="26" customHeight="1">
      <c r="A10" s="47" t="inlineStr">
        <is>
          <t>Support &amp; Maintenance</t>
        </is>
      </c>
      <c r="B10" s="48" t="inlineStr">
        <is>
          <t>Azure Support</t>
        </is>
      </c>
      <c r="C10" s="48" t="inlineStr">
        <is>
          <t>Professional Direct support optional</t>
        </is>
      </c>
      <c r="D10" s="49" t="n">
        <v>0</v>
      </c>
      <c r="E10" s="48" t="inlineStr">
        <is>
          <t>Plan/Month</t>
        </is>
      </c>
      <c r="F10" s="50" t="n">
        <v>0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Optional upgrade</t>
        </is>
      </c>
    </row>
    <row r="11" ht="26" customHeight="1">
      <c r="A11" s="43" t="inlineStr">
        <is>
          <t>Professional Services</t>
        </is>
      </c>
      <c r="B11" s="44" t="inlineStr">
        <is>
          <t>Pipeline Templates</t>
        </is>
      </c>
      <c r="C11" s="44" t="inlineStr">
        <is>
          <t>CI/CD framework and reusable templates</t>
        </is>
      </c>
      <c r="D11" s="45" t="n">
        <v>120</v>
      </c>
      <c r="E11" s="44" t="inlineStr">
        <is>
          <t>Hours</t>
        </is>
      </c>
      <c r="F11" s="46" t="n">
        <v>200</v>
      </c>
      <c r="G11" s="46">
        <f>D11*F11</f>
        <v/>
      </c>
      <c r="H11" s="46">
        <f>0</f>
        <v/>
      </c>
      <c r="I11" s="46">
        <f>0</f>
        <v/>
      </c>
      <c r="J11" s="46">
        <f>G11</f>
        <v/>
      </c>
      <c r="K11" s="44" t="inlineStr">
        <is>
          <t>One-time automation</t>
        </is>
      </c>
    </row>
    <row r="12" ht="26" customHeight="1">
      <c r="A12" s="47" t="inlineStr">
        <is>
          <t>Professional Services</t>
        </is>
      </c>
      <c r="B12" s="48" t="inlineStr">
        <is>
          <t>Infrastructure as Code</t>
        </is>
      </c>
      <c r="C12" s="48" t="inlineStr">
        <is>
          <t>Terraform/ARM IaC setup</t>
        </is>
      </c>
      <c r="D12" s="49" t="n">
        <v>90</v>
      </c>
      <c r="E12" s="48" t="inlineStr">
        <is>
          <t>Hours</t>
        </is>
      </c>
      <c r="F12" s="50" t="n">
        <v>200</v>
      </c>
      <c r="G12" s="50">
        <f>D12*F12</f>
        <v/>
      </c>
      <c r="H12" s="50">
        <f>0</f>
        <v/>
      </c>
      <c r="I12" s="50">
        <f>0</f>
        <v/>
      </c>
      <c r="J12" s="50">
        <f>G12</f>
        <v/>
      </c>
      <c r="K12" s="48" t="inlineStr">
        <is>
          <t>One-time IaC templates</t>
        </is>
      </c>
    </row>
    <row r="13" ht="26" customHeight="1">
      <c r="A13" s="43" t="inlineStr">
        <is>
          <t>Professional Services</t>
        </is>
      </c>
      <c r="B13" s="44" t="inlineStr">
        <is>
          <t>Security Integration</t>
        </is>
      </c>
      <c r="C13" s="44" t="inlineStr">
        <is>
          <t>Security policies and compliance integration</t>
        </is>
      </c>
      <c r="D13" s="45" t="n">
        <v>60</v>
      </c>
      <c r="E13" s="44" t="inlineStr">
        <is>
          <t>Hours</t>
        </is>
      </c>
      <c r="F13" s="46" t="n">
        <v>200</v>
      </c>
      <c r="G13" s="46">
        <f>D13*F13</f>
        <v/>
      </c>
      <c r="H13" s="46">
        <f>0</f>
        <v/>
      </c>
      <c r="I13" s="46">
        <f>0</f>
        <v/>
      </c>
      <c r="J13" s="46">
        <f>G13</f>
        <v/>
      </c>
      <c r="K13" s="44" t="inlineStr">
        <is>
          <t>One-time security setup</t>
        </is>
      </c>
    </row>
    <row r="14" ht="26" customHeight="1">
      <c r="A14" s="47" t="inlineStr">
        <is>
          <t>Professional Services</t>
        </is>
      </c>
      <c r="B14" s="48" t="inlineStr">
        <is>
          <t>Training Knowledge Transfer</t>
        </is>
      </c>
      <c r="C14" s="48" t="inlineStr">
        <is>
          <t>Admin and end-user training</t>
        </is>
      </c>
      <c r="D14" s="49" t="n">
        <v>40</v>
      </c>
      <c r="E14" s="48" t="inlineStr">
        <is>
          <t>Hours</t>
        </is>
      </c>
      <c r="F14" s="50" t="n">
        <v>175</v>
      </c>
      <c r="G14" s="50">
        <f>D14*F14</f>
        <v/>
      </c>
      <c r="H14" s="50">
        <f>0</f>
        <v/>
      </c>
      <c r="I14" s="50">
        <f>0</f>
        <v/>
      </c>
      <c r="J14" s="50">
        <f>G14</f>
        <v/>
      </c>
      <c r="K14" s="48" t="inlineStr">
        <is>
          <t>One-time training</t>
        </is>
      </c>
    </row>
    <row r="15" ht="26" customHeight="1">
      <c r="A15" s="43" t="inlineStr">
        <is>
          <t>Professional Services</t>
        </is>
      </c>
      <c r="B15" s="44" t="inlineStr">
        <is>
          <t>Project Management</t>
        </is>
      </c>
      <c r="C15" s="44" t="inlineStr">
        <is>
          <t>Project coordination and stakeholder management</t>
        </is>
      </c>
      <c r="D15" s="45" t="n">
        <v>50</v>
      </c>
      <c r="E15" s="44" t="inlineStr">
        <is>
          <t>Hours</t>
        </is>
      </c>
      <c r="F15" s="46" t="n">
        <v>200</v>
      </c>
      <c r="G15" s="46">
        <f>D15*F15</f>
        <v/>
      </c>
      <c r="H15" s="46">
        <f>0</f>
        <v/>
      </c>
      <c r="I15" s="46">
        <f>0</f>
        <v/>
      </c>
      <c r="J15" s="46">
        <f>G15</f>
        <v/>
      </c>
      <c r="K15" s="44" t="inlineStr">
        <is>
          <t>One-time oversight</t>
        </is>
      </c>
    </row>
    <row r="16" ht="26" customHeight="1">
      <c r="A16" s="47" t="inlineStr">
        <is>
          <t>Professional Services</t>
        </is>
      </c>
      <c r="B16" s="48" t="inlineStr">
        <is>
          <t>Discovery Assessment</t>
        </is>
      </c>
      <c r="C16" s="48" t="inlineStr">
        <is>
          <t>Current state analysis and requirements</t>
        </is>
      </c>
      <c r="D16" s="49" t="n">
        <v>30</v>
      </c>
      <c r="E16" s="48" t="inlineStr">
        <is>
          <t>Hours</t>
        </is>
      </c>
      <c r="F16" s="50" t="n">
        <v>200</v>
      </c>
      <c r="G16" s="50">
        <f>D16*F16</f>
        <v/>
      </c>
      <c r="H16" s="50">
        <f>0</f>
        <v/>
      </c>
      <c r="I16" s="50">
        <f>0</f>
        <v/>
      </c>
      <c r="J16" s="50">
        <f>G16</f>
        <v/>
      </c>
      <c r="K16" s="48" t="inlineStr">
        <is>
          <t>One-time assessment</t>
        </is>
      </c>
    </row>
    <row r="17" ht="26" customHeight="1">
      <c r="A17" s="43" t="inlineStr">
        <is>
          <t>Professional Services</t>
        </is>
      </c>
      <c r="B17" s="44" t="inlineStr">
        <is>
          <t>Security Assessment</t>
        </is>
      </c>
      <c r="C17" s="44" t="inlineStr">
        <is>
          <t>Security audit and hardening recommendations</t>
        </is>
      </c>
      <c r="D17" s="45" t="n">
        <v>40</v>
      </c>
      <c r="E17" s="44" t="inlineStr">
        <is>
          <t>Hours</t>
        </is>
      </c>
      <c r="F17" s="46" t="n">
        <v>225</v>
      </c>
      <c r="G17" s="46">
        <f>D17*F17</f>
        <v/>
      </c>
      <c r="H17" s="46">
        <f>0</f>
        <v/>
      </c>
      <c r="I17" s="46">
        <f>0</f>
        <v/>
      </c>
      <c r="J17" s="46">
        <f>G17</f>
        <v/>
      </c>
      <c r="K17" s="44" t="inlineStr">
        <is>
          <t>One-time security audit</t>
        </is>
      </c>
    </row>
    <row r="18" ht="26" customHeight="1">
      <c r="A18" s="47" t="inlineStr">
        <is>
          <t>Professional Services</t>
        </is>
      </c>
      <c r="B18" s="48" t="inlineStr">
        <is>
          <t>Hypercare Support</t>
        </is>
      </c>
      <c r="C18" s="48" t="inlineStr">
        <is>
          <t>30 days post-launch production stabilization</t>
        </is>
      </c>
      <c r="D18" s="49" t="n">
        <v>80</v>
      </c>
      <c r="E18" s="48" t="inlineStr">
        <is>
          <t>Hours</t>
        </is>
      </c>
      <c r="F18" s="50" t="n">
        <v>175</v>
      </c>
      <c r="G18" s="50">
        <f>D18*F18</f>
        <v/>
      </c>
      <c r="H18" s="50">
        <f>0</f>
        <v/>
      </c>
      <c r="I18" s="50">
        <f>0</f>
        <v/>
      </c>
      <c r="J18" s="50">
        <f>G18</f>
        <v/>
      </c>
      <c r="K18" s="48" t="inlineStr">
        <is>
          <t>One-time hypercare</t>
        </is>
      </c>
    </row>
    <row r="19" ht="26" customHeight="1">
      <c r="A19" s="51" t="inlineStr">
        <is>
          <t>TOTAL</t>
        </is>
      </c>
      <c r="B19" s="52" t="n"/>
      <c r="C19" s="52" t="n"/>
      <c r="D19" s="52" t="n"/>
      <c r="E19" s="52" t="n"/>
      <c r="F19" s="52" t="n"/>
      <c r="G19" s="53">
        <f>SUM(G3:G18)</f>
        <v/>
      </c>
      <c r="H19" s="53">
        <f>SUM(H3:H18)</f>
        <v/>
      </c>
      <c r="I19" s="53">
        <f>SUM(I3:I18)</f>
        <v/>
      </c>
      <c r="J19" s="53">
        <f>SUM(J3:J18)</f>
        <v/>
      </c>
      <c r="K19" s="52" t="n"/>
    </row>
  </sheetData>
  <autoFilter ref="A2:K1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75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Infrastructure</t>
        </is>
      </c>
      <c r="B3" s="44" t="inlineStr">
        <is>
          <t>Azure DevOps Credit</t>
        </is>
      </c>
      <c r="C3" s="46" t="n">
        <v>0</v>
      </c>
      <c r="D3" s="44" t="inlineStr">
        <is>
          <t>No infrastructure credits available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Hardware/Equipment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  <row r="7" ht="26" customHeight="1">
      <c r="A7" s="43" t="inlineStr">
        <is>
          <t>Professional Services</t>
        </is>
      </c>
      <c r="B7" s="44" t="inlineStr">
        <is>
          <t>Partner Services Credit</t>
        </is>
      </c>
      <c r="C7" s="46" t="n">
        <v>-8000</v>
      </c>
      <c r="D7" s="44" t="inlineStr">
        <is>
          <t>Azure or Microsoft partner services credit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2025-11-22T17:43:13Z</dcterms:modified>
  <cp:lastModifiedBy>Kishan Siram</cp:lastModifiedBy>
</cp:coreProperties>
</file>