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Costs'!$A$2:$K$11</definedName>
    <definedName name="_xlnm._FilterDatabase" localSheetId="3" hidden="1">'Credits'!$A$2:$D$7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Enterprise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DevOps Users</t>
        </is>
      </c>
      <c r="C3" s="39" t="inlineStr">
        <is>
          <t>5-10 users</t>
        </is>
      </c>
      <c r="D3" s="39" t="inlineStr">
        <is>
          <t>10-25 users</t>
        </is>
      </c>
      <c r="E3" s="39" t="inlineStr">
        <is>
          <t>50+ users</t>
        </is>
      </c>
      <c r="F3" s="38" t="inlineStr">
        <is>
          <t>Active development team size</t>
        </is>
      </c>
    </row>
    <row r="4" ht="26" customHeight="1">
      <c r="A4" s="40" t="inlineStr">
        <is>
          <t>Cloud Services</t>
        </is>
      </c>
      <c r="B4" s="41" t="inlineStr">
        <is>
          <t>Pipeline Complexity</t>
        </is>
      </c>
      <c r="C4" s="42" t="inlineStr">
        <is>
          <t>5-10 pipelines</t>
        </is>
      </c>
      <c r="D4" s="42" t="inlineStr">
        <is>
          <t>10-25 pipelines</t>
        </is>
      </c>
      <c r="E4" s="42" t="inlineStr">
        <is>
          <t>50+ pipelines</t>
        </is>
      </c>
      <c r="F4" s="41" t="inlineStr">
        <is>
          <t>CI/CD pipeline count</t>
        </is>
      </c>
    </row>
    <row r="5" ht="26" customHeight="1">
      <c r="A5" s="37" t="inlineStr">
        <is>
          <t>Cloud Services</t>
        </is>
      </c>
      <c r="B5" s="38" t="inlineStr">
        <is>
          <t>Container Registry Size</t>
        </is>
      </c>
      <c r="C5" s="39" t="inlineStr">
        <is>
          <t>50-100 GB</t>
        </is>
      </c>
      <c r="D5" s="39" t="inlineStr">
        <is>
          <t>100-500 GB</t>
        </is>
      </c>
      <c r="E5" s="39" t="inlineStr">
        <is>
          <t>1+ TB</t>
        </is>
      </c>
      <c r="F5" s="38" t="inlineStr">
        <is>
          <t>Docker image storage</t>
        </is>
      </c>
    </row>
    <row r="6" ht="26" customHeight="1">
      <c r="A6" s="40" t="inlineStr">
        <is>
          <t>Cloud Services</t>
        </is>
      </c>
      <c r="B6" s="41" t="inlineStr">
        <is>
          <t>Build/Deploy Frequency</t>
        </is>
      </c>
      <c r="C6" s="42" t="inlineStr">
        <is>
          <t>10-50 builds/day</t>
        </is>
      </c>
      <c r="D6" s="42" t="inlineStr">
        <is>
          <t>50-200 builds/day</t>
        </is>
      </c>
      <c r="E6" s="42" t="inlineStr">
        <is>
          <t>500+ builds/day</t>
        </is>
      </c>
      <c r="F6" s="41" t="inlineStr">
        <is>
          <t>Deployment velocity</t>
        </is>
      </c>
    </row>
    <row r="7" ht="26" customHeight="1">
      <c r="A7" s="37" t="inlineStr">
        <is>
          <t>Software Licenses</t>
        </is>
      </c>
      <c r="B7" s="38" t="inlineStr">
        <is>
          <t>Repository Count</t>
        </is>
      </c>
      <c r="C7" s="39" t="inlineStr">
        <is>
          <t>5-20 repos</t>
        </is>
      </c>
      <c r="D7" s="39" t="inlineStr">
        <is>
          <t>20-50 repos</t>
        </is>
      </c>
      <c r="E7" s="39" t="inlineStr">
        <is>
          <t>100+ repos</t>
        </is>
      </c>
      <c r="F7" s="38" t="inlineStr">
        <is>
          <t>Git repository count</t>
        </is>
      </c>
    </row>
    <row r="8" ht="26" customHeight="1">
      <c r="A8" s="40" t="inlineStr">
        <is>
          <t>Software Licenses</t>
        </is>
      </c>
      <c r="B8" s="41" t="inlineStr">
        <is>
          <t>Stakeholder Users</t>
        </is>
      </c>
      <c r="C8" s="42" t="inlineStr">
        <is>
          <t>5-10 users</t>
        </is>
      </c>
      <c r="D8" s="42" t="inlineStr">
        <is>
          <t>10-25 users</t>
        </is>
      </c>
      <c r="E8" s="42" t="inlineStr">
        <is>
          <t>50+ users</t>
        </is>
      </c>
      <c r="F8" s="41" t="inlineStr">
        <is>
          <t>View-only access users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  <row r="10" ht="26" customHeight="1">
      <c r="A10" s="40" t="inlineStr">
        <is>
          <t>Professional Services</t>
        </is>
      </c>
      <c r="B10" s="41" t="inlineStr">
        <is>
          <t>Implementation Hours</t>
        </is>
      </c>
      <c r="C10" s="42" t="inlineStr">
        <is>
          <t>300-400 hours</t>
        </is>
      </c>
      <c r="D10" s="42" t="inlineStr">
        <is>
          <t>400-600 hours</t>
        </is>
      </c>
      <c r="E10" s="42" t="inlineStr">
        <is>
          <t>800+ hours</t>
        </is>
      </c>
      <c r="F10" s="41" t="inlineStr">
        <is>
          <t>Pipeline and IaC complexity</t>
        </is>
      </c>
    </row>
    <row r="11" ht="26" customHeight="1">
      <c r="A11" s="37" t="inlineStr">
        <is>
          <t>Professional Services</t>
        </is>
      </c>
      <c r="B11" s="38" t="inlineStr">
        <is>
          <t>Custom Pipeline Templates</t>
        </is>
      </c>
      <c r="C11" s="39" t="inlineStr">
        <is>
          <t>10-20 templates</t>
        </is>
      </c>
      <c r="D11" s="39" t="inlineStr">
        <is>
          <t>20-40 templates</t>
        </is>
      </c>
      <c r="E11" s="39" t="inlineStr">
        <is>
          <t>50+ templates</t>
        </is>
      </c>
      <c r="F11" s="38" t="inlineStr">
        <is>
          <t>Reusable automation count</t>
        </is>
      </c>
    </row>
    <row r="12" ht="26" customHeight="1">
      <c r="A12" s="40" t="inlineStr">
        <is>
          <t>Professional Services</t>
        </is>
      </c>
      <c r="B12" s="41" t="inlineStr">
        <is>
          <t>IaC Templates</t>
        </is>
      </c>
      <c r="C12" s="42" t="inlineStr">
        <is>
          <t>5-10 templates</t>
        </is>
      </c>
      <c r="D12" s="42" t="inlineStr">
        <is>
          <t>10-20 templates</t>
        </is>
      </c>
      <c r="E12" s="42" t="inlineStr">
        <is>
          <t>30+ templates</t>
        </is>
      </c>
      <c r="F12" s="41" t="inlineStr">
        <is>
          <t>Infrastructure automation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Azure DevOps Basic</t>
        </is>
      </c>
      <c r="C3" s="44" t="inlineStr">
        <is>
          <t>Basic tier for development team</t>
        </is>
      </c>
      <c r="D3" s="45" t="n">
        <v>10</v>
      </c>
      <c r="E3" s="44" t="inlineStr">
        <is>
          <t>Users/Month</t>
        </is>
      </c>
      <c r="F3" s="46" t="n">
        <v>30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Development licenses</t>
        </is>
      </c>
    </row>
    <row r="4" ht="26" customHeight="1">
      <c r="A4" s="47" t="inlineStr">
        <is>
          <t>Cloud Services</t>
        </is>
      </c>
      <c r="B4" s="48" t="inlineStr">
        <is>
          <t>DevOps Stakeholder</t>
        </is>
      </c>
      <c r="C4" s="48" t="inlineStr">
        <is>
          <t>Stakeholder view-only access</t>
        </is>
      </c>
      <c r="D4" s="49" t="n">
        <v>5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access</t>
        </is>
      </c>
    </row>
    <row r="5" ht="26" customHeight="1">
      <c r="A5" s="43" t="inlineStr">
        <is>
          <t>Cloud Services</t>
        </is>
      </c>
      <c r="B5" s="44" t="inlineStr">
        <is>
          <t>Container Registry</t>
        </is>
      </c>
      <c r="C5" s="44" t="inlineStr">
        <is>
          <t>Premium tier for enterprise features</t>
        </is>
      </c>
      <c r="D5" s="45" t="n">
        <v>1</v>
      </c>
      <c r="E5" s="44" t="inlineStr">
        <is>
          <t>Service/Month</t>
        </is>
      </c>
      <c r="F5" s="46" t="n">
        <v>167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registry</t>
        </is>
      </c>
    </row>
    <row r="6" ht="26" customHeight="1">
      <c r="A6" s="47" t="inlineStr">
        <is>
          <t>Cloud Services</t>
        </is>
      </c>
      <c r="B6" s="48" t="inlineStr">
        <is>
          <t>Key Vault</t>
        </is>
      </c>
      <c r="C6" s="48" t="inlineStr">
        <is>
          <t>Standard tier for secret management</t>
        </is>
      </c>
      <c r="D6" s="49" t="n">
        <v>1</v>
      </c>
      <c r="E6" s="48" t="inlineStr">
        <is>
          <t>Service/Month</t>
        </is>
      </c>
      <c r="F6" s="50" t="n">
        <v>10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Secrets management</t>
        </is>
      </c>
    </row>
    <row r="7" ht="26" customHeight="1">
      <c r="A7" s="43" t="inlineStr">
        <is>
          <t>Cloud Services</t>
        </is>
      </c>
      <c r="B7" s="44" t="inlineStr">
        <is>
          <t>Monitor Log Analytics</t>
        </is>
      </c>
      <c r="C7" s="44" t="inlineStr">
        <is>
          <t>Log Analytics for monitoring</t>
        </is>
      </c>
      <c r="D7" s="45" t="n">
        <v>5</v>
      </c>
      <c r="E7" s="44" t="inlineStr">
        <is>
          <t>GB/Month</t>
        </is>
      </c>
      <c r="F7" s="46" t="n">
        <v>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Operational monitoring</t>
        </is>
      </c>
    </row>
    <row r="8" ht="26" customHeight="1">
      <c r="A8" s="47" t="inlineStr">
        <is>
          <t>Cloud Services</t>
        </is>
      </c>
      <c r="B8" s="48" t="inlineStr">
        <is>
          <t>App Service</t>
        </is>
      </c>
      <c r="C8" s="48" t="inlineStr">
        <is>
          <t>Optional B3 instances for CI/CD</t>
        </is>
      </c>
      <c r="D8" s="49" t="n">
        <v>0</v>
      </c>
      <c r="E8" s="48" t="inlineStr">
        <is>
          <t>Instances/Month</t>
        </is>
      </c>
      <c r="F8" s="50" t="n">
        <v>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Optional infrastructure</t>
        </is>
      </c>
    </row>
    <row r="9" ht="26" customHeight="1">
      <c r="A9" s="43" t="inlineStr">
        <is>
          <t>Support &amp; Maintenance</t>
        </is>
      </c>
      <c r="B9" s="44" t="inlineStr">
        <is>
          <t>Managed Services</t>
        </is>
      </c>
      <c r="C9" s="44" t="inlineStr">
        <is>
          <t>Ongoing platform optimization</t>
        </is>
      </c>
      <c r="D9" s="45" t="n">
        <v>1</v>
      </c>
      <c r="E9" s="44" t="inlineStr">
        <is>
          <t>Service/Month</t>
        </is>
      </c>
      <c r="F9" s="46" t="n">
        <v>127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15% of platform cost</t>
        </is>
      </c>
    </row>
    <row r="10" ht="26" customHeight="1">
      <c r="A10" s="47" t="inlineStr">
        <is>
          <t>Support &amp; Maintenance</t>
        </is>
      </c>
      <c r="B10" s="48" t="inlineStr">
        <is>
          <t>Azure Support</t>
        </is>
      </c>
      <c r="C10" s="48" t="inlineStr">
        <is>
          <t>Professional Direct support optional</t>
        </is>
      </c>
      <c r="D10" s="49" t="n">
        <v>0</v>
      </c>
      <c r="E10" s="48" t="inlineStr">
        <is>
          <t>Plan/Month</t>
        </is>
      </c>
      <c r="F10" s="50" t="n">
        <v>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upgrade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Azure DevOps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Partner Services Credit</t>
        </is>
      </c>
      <c r="C7" s="46" t="n">
        <v>-8000</v>
      </c>
      <c r="D7" s="44" t="inlineStr">
        <is>
          <t>Azure or Microsoft partner services credit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Hardware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Support &amp; Maintenance</t>
        </is>
      </c>
      <c r="B6" s="53">
        <f>SUMIF('Infrastructure Costs'!$A:$A,A6,'Infrastructure Costs'!$G:$G)</f>
        <v/>
      </c>
      <c r="C6" s="53">
        <f>SUMIF(Credits!$A:$A,A6,Credits!$C:$C)</f>
        <v/>
      </c>
      <c r="D6" s="53">
        <f>B6+C6</f>
        <v/>
      </c>
      <c r="E6" s="53">
        <f>SUMIF('Infrastructure Costs'!$A:$A,A6,'Infrastructure Costs'!$H:$H)</f>
        <v/>
      </c>
      <c r="F6" s="53">
        <f>SUMIF('Infrastructure Costs'!$A:$A,A6,'Infrastructure Costs'!$I:$I)</f>
        <v/>
      </c>
      <c r="G6" s="53">
        <f>D6+E6+F6</f>
        <v/>
      </c>
    </row>
    <row r="7">
      <c r="A7" t="inlineStr">
        <is>
          <t>Professional Services</t>
        </is>
      </c>
      <c r="B7">
        <f>SUMIF('Infrastructure Costs'!$A:$A,A7,'Infrastructure Costs'!$G:$G)</f>
        <v/>
      </c>
      <c r="C7">
        <f>SUMIF(Credits!$A:$A,A7,Credits!$C:$C)</f>
        <v/>
      </c>
      <c r="D7">
        <f>B7+C7</f>
        <v/>
      </c>
      <c r="E7">
        <f>SUMIF('Infrastructure Costs'!$A:$A,A7,'Infrastructure Costs'!$H:$H)</f>
        <v/>
      </c>
      <c r="F7">
        <f>SUMIF('Infrastructure Costs'!$A:$A,A7,'Infrastructure Costs'!$I:$I)</f>
        <v/>
      </c>
      <c r="G7">
        <f>D7+E7+F7</f>
        <v/>
      </c>
    </row>
    <row r="8">
      <c r="A8" t="inlineStr">
        <is>
          <t>TOTAL</t>
        </is>
      </c>
      <c r="B8">
        <f>SUM(B3:B7)</f>
        <v/>
      </c>
      <c r="C8">
        <f>SUM(C3:C7)</f>
        <v/>
      </c>
      <c r="D8">
        <f>SUM(D3:D7)</f>
        <v/>
      </c>
      <c r="E8">
        <f>SUM(E3:E7)</f>
        <v/>
      </c>
      <c r="F8">
        <f>SUM(F3:F7)</f>
        <v/>
      </c>
      <c r="G8">
        <f>SUM(G3:G7)</f>
        <v/>
      </c>
    </row>
    <row r="9"/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2025-11-26T16:03:58Z</dcterms:modified>
  <cp:lastModifiedBy>Kishan Siram</cp:lastModifiedBy>
</cp:coreProperties>
</file>