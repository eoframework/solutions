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16, 2025</t>
        </is>
      </c>
    </row>
    <row r="8" ht="18" customHeight="1">
      <c r="B8" s="5" t="inlineStr">
        <is>
          <t>Solution:</t>
        </is>
      </c>
      <c r="C8" s="6" t="inlineStr">
        <is>
          <t>Enterprise Platform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Projects/Repositories</t>
        </is>
      </c>
      <c r="C2" s="20" t="inlineStr">
        <is>
          <t>10-20 repositories</t>
        </is>
      </c>
      <c r="D2" s="10" t="inlineStr">
        <is>
          <t>10-20 repositories</t>
        </is>
      </c>
      <c r="E2" s="10" t="inlineStr">
        <is>
          <t>Enhanced projects/repositories</t>
        </is>
      </c>
      <c r="F2" s="10" t="inlineStr">
        <is>
          <t>Enterprise-scale projects/repositories</t>
        </is>
      </c>
      <c r="G2" s="10" t="inlineStr">
        <is>
          <t>Sizing parameter for Projects/Repositories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CI/CD Pipelines</t>
        </is>
      </c>
      <c r="C3" s="20" t="inlineStr">
        <is>
          <t>25-50 pipelines</t>
        </is>
      </c>
      <c r="D3" s="21" t="inlineStr">
        <is>
          <t>25-50 pipelines</t>
        </is>
      </c>
      <c r="E3" s="21" t="inlineStr">
        <is>
          <t>Enhanced ci/cd pipelines</t>
        </is>
      </c>
      <c r="F3" s="21" t="inlineStr">
        <is>
          <t>Enterprise-scale ci/cd pipelines</t>
        </is>
      </c>
      <c r="G3" s="21" t="inlineStr">
        <is>
          <t>Sizing parameter for CI/CD Pipelines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External Integrations</t>
        </is>
      </c>
      <c r="C4" s="20" t="inlineStr">
        <is>
          <t>GitHub SonarQube Artifactory</t>
        </is>
      </c>
      <c r="D4" s="10" t="inlineStr">
        <is>
          <t>GitHub SonarQube Artifactory</t>
        </is>
      </c>
      <c r="E4" s="10" t="inlineStr">
        <is>
          <t>Enhanced external integrations</t>
        </is>
      </c>
      <c r="F4" s="10" t="inlineStr">
        <is>
          <t>Enterprise-scale external integrations</t>
        </is>
      </c>
      <c r="G4" s="10" t="inlineStr">
        <is>
          <t>Sizing parameter for External Integrations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Deployment Targets</t>
        </is>
      </c>
      <c r="C5" s="20" t="inlineStr">
        <is>
          <t>Azure Kubernetes Service VMs</t>
        </is>
      </c>
      <c r="D5" s="21" t="inlineStr">
        <is>
          <t>Azure Kubernetes Service VMs</t>
        </is>
      </c>
      <c r="E5" s="21" t="inlineStr">
        <is>
          <t>Enhanced deployment targets</t>
        </is>
      </c>
      <c r="F5" s="21" t="inlineStr">
        <is>
          <t>Enterprise-scale deployment targets</t>
        </is>
      </c>
      <c r="G5" s="21" t="inlineStr">
        <is>
          <t>Sizing parameter for Deployment Targets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50 developers</t>
        </is>
      </c>
      <c r="D6" s="10" t="inlineStr">
        <is>
          <t>50 developers</t>
        </is>
      </c>
      <c r="E6" s="10" t="inlineStr">
        <is>
          <t>Enhanced total users</t>
        </is>
      </c>
      <c r="F6" s="10" t="inlineStr">
        <is>
          <t>Enterprise-scale total users</t>
        </is>
      </c>
      <c r="G6" s="10" t="inlineStr">
        <is>
          <t>Sizing parameter for Total Users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4 roles (dev lead ops admin)</t>
        </is>
      </c>
      <c r="D7" s="21" t="inlineStr">
        <is>
          <t>4 roles (dev lead ops admin)</t>
        </is>
      </c>
      <c r="E7" s="21" t="inlineStr">
        <is>
          <t>Enhanced user roles</t>
        </is>
      </c>
      <c r="F7" s="21" t="inlineStr">
        <is>
          <t>Enterprise-scale user roles</t>
        </is>
      </c>
      <c r="G7" s="21" t="inlineStr">
        <is>
          <t>Sizing parameter for User Roles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Build Artifacts</t>
        </is>
      </c>
      <c r="C8" s="20" t="inlineStr">
        <is>
          <t>100 GB storage</t>
        </is>
      </c>
      <c r="D8" s="10" t="inlineStr">
        <is>
          <t>100 GB storage</t>
        </is>
      </c>
      <c r="E8" s="10" t="inlineStr">
        <is>
          <t>Enhanced build artifacts</t>
        </is>
      </c>
      <c r="F8" s="10" t="inlineStr">
        <is>
          <t>Enterprise-scale build artifacts</t>
        </is>
      </c>
      <c r="G8" s="10" t="inlineStr">
        <is>
          <t>Sizing parameter for Build Artifacts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Pipeline Runs</t>
        </is>
      </c>
      <c r="C9" s="20" t="inlineStr">
        <is>
          <t>500 runs/month</t>
        </is>
      </c>
      <c r="D9" s="21" t="inlineStr">
        <is>
          <t>500 runs/month</t>
        </is>
      </c>
      <c r="E9" s="21" t="inlineStr">
        <is>
          <t>Enhanced pipeline runs</t>
        </is>
      </c>
      <c r="F9" s="21" t="inlineStr">
        <is>
          <t>Enterprise-scale pipeline runs</t>
        </is>
      </c>
      <c r="G9" s="21" t="inlineStr">
        <is>
          <t>Sizing parameter for Pipeline Runs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Azure region</t>
        </is>
      </c>
      <c r="D10" s="10" t="inlineStr">
        <is>
          <t>Single Azure region</t>
        </is>
      </c>
      <c r="E10" s="10" t="inlineStr">
        <is>
          <t>Enhanced deployment regions</t>
        </is>
      </c>
      <c r="F10" s="10" t="inlineStr">
        <is>
          <t>Enterprise-scale deployment regions</t>
        </is>
      </c>
      <c r="G10" s="10" t="inlineStr">
        <is>
          <t>Sizing parameter for Deployment Regions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Enhanced availability requirements</t>
        </is>
      </c>
      <c r="F11" s="21" t="inlineStr">
        <is>
          <t>Enterprise-scale availability requirements</t>
        </is>
      </c>
      <c r="G11" s="21" t="inlineStr">
        <is>
          <t>Sizing parameter for Availability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Azure DevOps + self-hosted agents</t>
        </is>
      </c>
      <c r="D12" s="10" t="inlineStr">
        <is>
          <t>Azure DevOps + self-hosted agents</t>
        </is>
      </c>
      <c r="E12" s="10" t="inlineStr">
        <is>
          <t>Enhanced infrastructure complexity</t>
        </is>
      </c>
      <c r="F12" s="10" t="inlineStr">
        <is>
          <t>Enterprise-scale infrastructure complexity</t>
        </is>
      </c>
      <c r="G12" s="10" t="inlineStr">
        <is>
          <t>Sizing parameter for Infrastructure Complexity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Service connections branch policies</t>
        </is>
      </c>
      <c r="D13" s="21" t="inlineStr">
        <is>
          <t>Service connections branch policies</t>
        </is>
      </c>
      <c r="E13" s="21" t="inlineStr">
        <is>
          <t>Enhanced security requirements</t>
        </is>
      </c>
      <c r="F13" s="21" t="inlineStr">
        <is>
          <t>Enterprise-scale security requirements</t>
        </is>
      </c>
      <c r="G13" s="21" t="inlineStr">
        <is>
          <t>Sizing parameter for Security Requirements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SOC2</t>
        </is>
      </c>
      <c r="E14" s="10" t="inlineStr">
        <is>
          <t>Enhanced compliance frameworks</t>
        </is>
      </c>
      <c r="F14" s="10" t="inlineStr">
        <is>
          <t>Enterprise-scale compliance frameworks</t>
        </is>
      </c>
      <c r="G14" s="10" t="inlineStr">
        <is>
          <t>Sizing parameter for Compliance Frameworks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Build Performance</t>
        </is>
      </c>
      <c r="C15" s="20" t="inlineStr">
        <is>
          <t>Standard build times</t>
        </is>
      </c>
      <c r="D15" s="21" t="inlineStr">
        <is>
          <t>Standard build times</t>
        </is>
      </c>
      <c r="E15" s="21" t="inlineStr">
        <is>
          <t>Enhanced build performance</t>
        </is>
      </c>
      <c r="F15" s="21" t="inlineStr">
        <is>
          <t>Enterprise-scale build performance</t>
        </is>
      </c>
      <c r="G15" s="21" t="inlineStr">
        <is>
          <t>Sizing parameter for Build Performance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Performance</t>
        </is>
      </c>
      <c r="B16" s="10" t="inlineStr">
        <is>
          <t>Deployment Frequency</t>
        </is>
      </c>
      <c r="C16" s="20" t="inlineStr">
        <is>
          <t>Daily deployments</t>
        </is>
      </c>
      <c r="D16" s="10" t="inlineStr">
        <is>
          <t>Daily deployments</t>
        </is>
      </c>
      <c r="E16" s="10" t="inlineStr">
        <is>
          <t>Enhanced deployment frequency</t>
        </is>
      </c>
      <c r="F16" s="10" t="inlineStr">
        <is>
          <t>Enterprise-scale deployment frequency</t>
        </is>
      </c>
      <c r="G16" s="10" t="inlineStr">
        <is>
          <t>Sizing parameter for Deployment Frequency</t>
        </is>
      </c>
      <c r="H16" s="10" t="inlineStr"/>
      <c r="I16" s="10" t="inlineStr"/>
      <c r="J16" s="10" t="inlineStr"/>
      <c r="K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3 environments (dev staging prod)</t>
        </is>
      </c>
      <c r="D17" s="21" t="inlineStr">
        <is>
          <t>3 environments (dev staging prod)</t>
        </is>
      </c>
      <c r="E17" s="21" t="inlineStr">
        <is>
          <t>Enhanced deployment environments</t>
        </is>
      </c>
      <c r="F17" s="21" t="inlineStr">
        <is>
          <t>Enterprise-scale deployment environments</t>
        </is>
      </c>
      <c r="G17" s="21" t="inlineStr">
        <is>
          <t>Sizing parameter for Deployment Environments</t>
        </is>
      </c>
      <c r="H17" s="21" t="inlineStr"/>
      <c r="I17" s="21" t="inlineStr"/>
      <c r="J17" s="21" t="inlineStr"/>
      <c r="K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Azure Requirements Gathering</t>
        </is>
      </c>
      <c r="C2" s="10" t="inlineStr">
        <is>
          <t>Conduct stakeholder interviews for Azure cloud strategy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</f>
        <v/>
      </c>
      <c r="J2" s="10" t="inlineStr">
        <is>
          <t>$#</t>
        </is>
      </c>
      <c r="K2" s="10" t="inlineStr">
        <is>
          <t>##0"")</t>
        </is>
      </c>
      <c r="L2" s="10" t="inlineStr">
        <is>
          <t>$#</t>
        </is>
      </c>
      <c r="M2" s="10" t="inlineStr"/>
    </row>
    <row r="3">
      <c r="A3" s="21" t="inlineStr">
        <is>
          <t>Discovery</t>
        </is>
      </c>
      <c r="B3" s="21" t="inlineStr">
        <is>
          <t>Current Environment Assessment</t>
        </is>
      </c>
      <c r="C3" s="21" t="inlineStr">
        <is>
          <t>Analyze existing infrastructure and Azure readiness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</f>
        <v/>
      </c>
      <c r="J3" s="21" t="inlineStr">
        <is>
          <t>$#</t>
        </is>
      </c>
      <c r="K3" s="21" t="inlineStr">
        <is>
          <t>##0"")</t>
        </is>
      </c>
      <c r="L3" s="21" t="inlineStr">
        <is>
          <t>$#</t>
        </is>
      </c>
      <c r="M3" s="21" t="inlineStr"/>
    </row>
    <row r="4">
      <c r="A4" s="10" t="inlineStr">
        <is>
          <t>Discovery</t>
        </is>
      </c>
      <c r="B4" s="10" t="inlineStr">
        <is>
          <t>Azure Services Assessment</t>
        </is>
      </c>
      <c r="C4" s="10" t="inlineStr">
        <is>
          <t>Evaluate Azure services and landing zone requirements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</f>
        <v/>
      </c>
      <c r="J4" s="10" t="inlineStr">
        <is>
          <t>$#</t>
        </is>
      </c>
      <c r="K4" s="10" t="inlineStr">
        <is>
          <t>##0"")</t>
        </is>
      </c>
      <c r="L4" s="10" t="inlineStr">
        <is>
          <t>$#</t>
        </is>
      </c>
      <c r="M4" s="10" t="inlineStr"/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governance security and regulatory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</f>
        <v/>
      </c>
      <c r="J5" s="21" t="inlineStr">
        <is>
          <t>$#</t>
        </is>
      </c>
      <c r="K5" s="21" t="inlineStr">
        <is>
          <t>##0"")</t>
        </is>
      </c>
      <c r="L5" s="21" t="inlineStr">
        <is>
          <t>$#</t>
        </is>
      </c>
      <c r="M5" s="21" t="inlineStr"/>
    </row>
    <row r="6">
      <c r="A6" s="10" t="inlineStr">
        <is>
          <t>Planning</t>
        </is>
      </c>
      <c r="B6" s="10" t="inlineStr">
        <is>
          <t>Azure Landing Zone Design</t>
        </is>
      </c>
      <c r="C6" s="10" t="inlineStr">
        <is>
          <t>Design Azure landing zone architecture and governance model</t>
        </is>
      </c>
      <c r="D6" s="10" t="inlineStr">
        <is>
          <t>EO Engineer</t>
        </is>
      </c>
      <c r="E6" s="27" t="n">
        <v>48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</f>
        <v/>
      </c>
      <c r="J6" s="10" t="inlineStr">
        <is>
          <t>$#</t>
        </is>
      </c>
      <c r="K6" s="10" t="inlineStr">
        <is>
          <t>##0"")</t>
        </is>
      </c>
      <c r="L6" s="10" t="inlineStr">
        <is>
          <t>$#</t>
        </is>
      </c>
      <c r="M6" s="10" t="inlineStr"/>
    </row>
    <row r="7">
      <c r="A7" s="21" t="inlineStr">
        <is>
          <t>Planning</t>
        </is>
      </c>
      <c r="B7" s="21" t="inlineStr">
        <is>
          <t>Identity and Access Design</t>
        </is>
      </c>
      <c r="C7" s="21" t="inlineStr">
        <is>
          <t>Design Azure AD integration and access management strategy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</f>
        <v/>
      </c>
      <c r="J7" s="21" t="inlineStr">
        <is>
          <t>$#</t>
        </is>
      </c>
      <c r="K7" s="21" t="inlineStr">
        <is>
          <t>##0"")</t>
        </is>
      </c>
      <c r="L7" s="21" t="inlineStr">
        <is>
          <t>$#</t>
        </is>
      </c>
      <c r="M7" s="21" t="inlineStr"/>
    </row>
    <row r="8">
      <c r="A8" s="10" t="inlineStr">
        <is>
          <t>Planning</t>
        </is>
      </c>
      <c r="B8" s="10" t="inlineStr">
        <is>
          <t>Network Architecture Design</t>
        </is>
      </c>
      <c r="C8" s="10" t="inlineStr">
        <is>
          <t>Design Azure networking security and hybrid connectivity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</f>
        <v/>
      </c>
      <c r="J8" s="10" t="inlineStr">
        <is>
          <t>$#</t>
        </is>
      </c>
      <c r="K8" s="10" t="inlineStr">
        <is>
          <t>##0"")</t>
        </is>
      </c>
      <c r="L8" s="10" t="inlineStr">
        <is>
          <t>$#</t>
        </is>
      </c>
      <c r="M8" s="10" t="inlineStr"/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Azure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</f>
        <v/>
      </c>
      <c r="J9" s="21" t="inlineStr">
        <is>
          <t>$#</t>
        </is>
      </c>
      <c r="K9" s="21" t="inlineStr">
        <is>
          <t>##0"")</t>
        </is>
      </c>
      <c r="L9" s="21" t="inlineStr">
        <is>
          <t>$#</t>
        </is>
      </c>
      <c r="M9" s="21" t="inlineStr"/>
    </row>
    <row r="10">
      <c r="A10" s="10" t="inlineStr">
        <is>
          <t>Development</t>
        </is>
      </c>
      <c r="B10" s="10" t="inlineStr">
        <is>
          <t>Management Groups and Subscriptions</t>
        </is>
      </c>
      <c r="C10" s="10" t="inlineStr">
        <is>
          <t>Configure Azure management groups subscription structure and policies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</f>
        <v/>
      </c>
      <c r="J10" s="10" t="inlineStr">
        <is>
          <t>$#</t>
        </is>
      </c>
      <c r="K10" s="10" t="inlineStr">
        <is>
          <t>##0"")</t>
        </is>
      </c>
      <c r="L10" s="10" t="inlineStr">
        <is>
          <t>$#</t>
        </is>
      </c>
      <c r="M10" s="10" t="inlineStr"/>
    </row>
    <row r="11">
      <c r="A11" s="21" t="inlineStr">
        <is>
          <t>Development</t>
        </is>
      </c>
      <c r="B11" s="21" t="inlineStr">
        <is>
          <t>Azure Policy Implementation</t>
        </is>
      </c>
      <c r="C11" s="21" t="inlineStr">
        <is>
          <t>Implement Azure policies governance controls and compliance</t>
        </is>
      </c>
      <c r="D11" s="21" t="inlineStr">
        <is>
          <t>EO Engineer</t>
        </is>
      </c>
      <c r="E11" s="30" t="n">
        <v>60</v>
      </c>
      <c r="F11" s="28">
        <f>'Estimate Settings'!$C$26</f>
        <v/>
      </c>
      <c r="G11" s="21">
        <f>$E11*$F11</f>
        <v/>
      </c>
      <c r="H11" s="31" t="n">
        <v>145</v>
      </c>
      <c r="I11" s="21">
        <f>TEXT($G11*$H11</f>
        <v/>
      </c>
      <c r="J11" s="21" t="inlineStr">
        <is>
          <t>$#</t>
        </is>
      </c>
      <c r="K11" s="21" t="inlineStr">
        <is>
          <t>##0"")</t>
        </is>
      </c>
      <c r="L11" s="21" t="inlineStr">
        <is>
          <t>$#</t>
        </is>
      </c>
      <c r="M11" s="21" t="inlineStr"/>
    </row>
    <row r="12">
      <c r="A12" s="10" t="inlineStr">
        <is>
          <t>Development</t>
        </is>
      </c>
      <c r="B12" s="10" t="inlineStr">
        <is>
          <t>Network Infrastructure</t>
        </is>
      </c>
      <c r="C12" s="10" t="inlineStr">
        <is>
          <t>Build Azure networking VNet peering and hybrid connectivity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140</v>
      </c>
      <c r="I12" s="10">
        <f>TEXT($G12*$H12</f>
        <v/>
      </c>
      <c r="J12" s="10" t="inlineStr">
        <is>
          <t>$#</t>
        </is>
      </c>
      <c r="K12" s="10" t="inlineStr">
        <is>
          <t>##0"")</t>
        </is>
      </c>
      <c r="L12" s="10" t="inlineStr">
        <is>
          <t>$#</t>
        </is>
      </c>
      <c r="M12" s="10" t="inlineStr"/>
    </row>
    <row r="13">
      <c r="A13" s="21" t="inlineStr">
        <is>
          <t>Development</t>
        </is>
      </c>
      <c r="B13" s="21" t="inlineStr">
        <is>
          <t>Identity and Access Implementation</t>
        </is>
      </c>
      <c r="C13" s="21" t="inlineStr">
        <is>
          <t>Implement Azure AD integration access controls and SSO</t>
        </is>
      </c>
      <c r="D13" s="21" t="inlineStr">
        <is>
          <t>EO Engineer</t>
        </is>
      </c>
      <c r="E13" s="30" t="n">
        <v>40</v>
      </c>
      <c r="F13" s="28">
        <f>'Estimate Settings'!$C$26</f>
        <v/>
      </c>
      <c r="G13" s="21">
        <f>$E13*$F13</f>
        <v/>
      </c>
      <c r="H13" s="31" t="n">
        <v>155</v>
      </c>
      <c r="I13" s="21">
        <f>TEXT($G13*$H13</f>
        <v/>
      </c>
      <c r="J13" s="21" t="inlineStr">
        <is>
          <t>$#</t>
        </is>
      </c>
      <c r="K13" s="21" t="inlineStr">
        <is>
          <t>##0"")</t>
        </is>
      </c>
      <c r="L13" s="21" t="inlineStr">
        <is>
          <t>$#</t>
        </is>
      </c>
      <c r="M13" s="21" t="inlineStr"/>
    </row>
    <row r="14">
      <c r="A14" s="10" t="inlineStr">
        <is>
          <t>Development</t>
        </is>
      </c>
      <c r="B14" s="10" t="inlineStr">
        <is>
          <t>Monitoring and Operations</t>
        </is>
      </c>
      <c r="C14" s="10" t="inlineStr">
        <is>
          <t>Build Azure monitoring logging alerting and operational tools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</f>
        <v/>
      </c>
      <c r="J14" s="10" t="inlineStr">
        <is>
          <t>$#</t>
        </is>
      </c>
      <c r="K14" s="10" t="inlineStr">
        <is>
          <t>##0"")</t>
        </is>
      </c>
      <c r="L14" s="10" t="inlineStr">
        <is>
          <t>$#</t>
        </is>
      </c>
      <c r="M14" s="10" t="inlineStr"/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Settings'!$C$27</f>
        <v/>
      </c>
      <c r="G15" s="21">
        <f>$E15*$F15</f>
        <v/>
      </c>
      <c r="H15" s="31" t="n">
        <v>120</v>
      </c>
      <c r="I15" s="21">
        <f>TEXT($G15*$H15</f>
        <v/>
      </c>
      <c r="J15" s="21" t="inlineStr">
        <is>
          <t>$#</t>
        </is>
      </c>
      <c r="K15" s="21" t="inlineStr">
        <is>
          <t>##0"")</t>
        </is>
      </c>
      <c r="L15" s="21" t="inlineStr">
        <is>
          <t>$#</t>
        </is>
      </c>
      <c r="M15" s="21" t="inlineStr"/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Settings'!$C$27</f>
        <v/>
      </c>
      <c r="G16" s="10">
        <f>$E16*$F16</f>
        <v/>
      </c>
      <c r="H16" s="29" t="n">
        <v>120</v>
      </c>
      <c r="I16" s="10">
        <f>TEXT($G16*$H16</f>
        <v/>
      </c>
      <c r="J16" s="10" t="inlineStr">
        <is>
          <t>$#</t>
        </is>
      </c>
      <c r="K16" s="10" t="inlineStr">
        <is>
          <t>##0"")</t>
        </is>
      </c>
      <c r="L16" s="10" t="inlineStr">
        <is>
          <t>$#</t>
        </is>
      </c>
      <c r="M16" s="10" t="inlineStr"/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Settings'!$C$27</f>
        <v/>
      </c>
      <c r="G17" s="21">
        <f>$E17*$F17</f>
        <v/>
      </c>
      <c r="H17" s="31" t="n">
        <v>140</v>
      </c>
      <c r="I17" s="21">
        <f>TEXT($G17*$H17</f>
        <v/>
      </c>
      <c r="J17" s="21" t="inlineStr">
        <is>
          <t>$#</t>
        </is>
      </c>
      <c r="K17" s="21" t="inlineStr">
        <is>
          <t>##0"")</t>
        </is>
      </c>
      <c r="L17" s="21" t="inlineStr">
        <is>
          <t>$#</t>
        </is>
      </c>
      <c r="M17" s="21" t="inlineStr"/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Settings'!$C$27</f>
        <v/>
      </c>
      <c r="G18" s="10">
        <f>$E18*$F18</f>
        <v/>
      </c>
      <c r="H18" s="29" t="n">
        <v>175</v>
      </c>
      <c r="I18" s="10">
        <f>TEXT($G18*$H18</f>
        <v/>
      </c>
      <c r="J18" s="10" t="inlineStr">
        <is>
          <t>$#</t>
        </is>
      </c>
      <c r="K18" s="10" t="inlineStr">
        <is>
          <t>##0"")</t>
        </is>
      </c>
      <c r="L18" s="10" t="inlineStr">
        <is>
          <t>$#</t>
        </is>
      </c>
      <c r="M18" s="10" t="inlineStr"/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Settings'!$C$27</f>
        <v/>
      </c>
      <c r="G19" s="21">
        <f>$E19*$F19</f>
        <v/>
      </c>
      <c r="H19" s="31" t="n">
        <v>150</v>
      </c>
      <c r="I19" s="21">
        <f>TEXT($G19*$H19</f>
        <v/>
      </c>
      <c r="J19" s="21" t="inlineStr">
        <is>
          <t>$#</t>
        </is>
      </c>
      <c r="K19" s="21" t="inlineStr">
        <is>
          <t>##0"")</t>
        </is>
      </c>
      <c r="L19" s="21" t="inlineStr">
        <is>
          <t>$#</t>
        </is>
      </c>
      <c r="M19" s="21" t="inlineStr"/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Settings'!$C$28</f>
        <v/>
      </c>
      <c r="G20" s="10">
        <f>$E20*$F20</f>
        <v/>
      </c>
      <c r="H20" s="29" t="n">
        <v>160</v>
      </c>
      <c r="I20" s="10">
        <f>TEXT($G20*$H20</f>
        <v/>
      </c>
      <c r="J20" s="10" t="inlineStr">
        <is>
          <t>$#</t>
        </is>
      </c>
      <c r="K20" s="10" t="inlineStr">
        <is>
          <t>##0"")</t>
        </is>
      </c>
      <c r="L20" s="10" t="inlineStr">
        <is>
          <t>$#</t>
        </is>
      </c>
      <c r="M20" s="10" t="inlineStr"/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Settings'!$C$28</f>
        <v/>
      </c>
      <c r="G21" s="21">
        <f>$E21*$F21</f>
        <v/>
      </c>
      <c r="H21" s="31" t="n">
        <v>110</v>
      </c>
      <c r="I21" s="21">
        <f>TEXT($G21*$H21</f>
        <v/>
      </c>
      <c r="J21" s="21" t="inlineStr">
        <is>
          <t>$#</t>
        </is>
      </c>
      <c r="K21" s="21" t="inlineStr">
        <is>
          <t>##0"")</t>
        </is>
      </c>
      <c r="L21" s="21" t="inlineStr">
        <is>
          <t>$#</t>
        </is>
      </c>
      <c r="M21" s="21" t="inlineStr"/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Settings'!$C$29</f>
        <v/>
      </c>
      <c r="G22" s="10">
        <f>$E22*$F22</f>
        <v/>
      </c>
      <c r="H22" s="29" t="n">
        <v>130</v>
      </c>
      <c r="I22" s="10">
        <f>TEXT($G22*$H22</f>
        <v/>
      </c>
      <c r="J22" s="10" t="inlineStr">
        <is>
          <t>$#</t>
        </is>
      </c>
      <c r="K22" s="10" t="inlineStr">
        <is>
          <t>##0"")</t>
        </is>
      </c>
      <c r="L22" s="10" t="inlineStr">
        <is>
          <t>$#</t>
        </is>
      </c>
      <c r="M22" s="10" t="inlineStr"/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Settings'!$C$29</f>
        <v/>
      </c>
      <c r="G23" s="21">
        <f>$E23*$F23</f>
        <v/>
      </c>
      <c r="H23" s="31" t="n">
        <v>120</v>
      </c>
      <c r="I23" s="21">
        <f>TEXT($G23*$H23</f>
        <v/>
      </c>
      <c r="J23" s="21" t="inlineStr">
        <is>
          <t>$#</t>
        </is>
      </c>
      <c r="K23" s="21" t="inlineStr">
        <is>
          <t>##0"")</t>
        </is>
      </c>
      <c r="L23" s="21" t="inlineStr">
        <is>
          <t>$#</t>
        </is>
      </c>
      <c r="M23" s="21" t="inlineStr"/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Settings'!$C$29</f>
        <v/>
      </c>
      <c r="G24" s="10">
        <f>$E24*$F24</f>
        <v/>
      </c>
      <c r="H24" s="29" t="n">
        <v>110</v>
      </c>
      <c r="I24" s="10">
        <f>TEXT($G24*$H24</f>
        <v/>
      </c>
      <c r="J24" s="10" t="inlineStr">
        <is>
          <t>$#</t>
        </is>
      </c>
      <c r="K24" s="10" t="inlineStr">
        <is>
          <t>##0"")</t>
        </is>
      </c>
      <c r="L24" s="10" t="inlineStr">
        <is>
          <t>$#</t>
        </is>
      </c>
      <c r="M24" s="10" t="inlineStr"/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Settings'!$C$30</f>
        <v/>
      </c>
      <c r="G25" s="21">
        <f>$E25*$F25</f>
        <v/>
      </c>
      <c r="H25" s="31" t="n">
        <v>140</v>
      </c>
      <c r="I25" s="21">
        <f>TEXT($G25*$H25</f>
        <v/>
      </c>
      <c r="J25" s="21" t="inlineStr">
        <is>
          <t>$#</t>
        </is>
      </c>
      <c r="K25" s="21" t="inlineStr">
        <is>
          <t>##0"")</t>
        </is>
      </c>
      <c r="L25" s="21" t="inlineStr">
        <is>
          <t>$#</t>
        </is>
      </c>
      <c r="M25" s="21" t="inlineStr"/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Settings'!$C$30</f>
        <v/>
      </c>
      <c r="G26" s="10">
        <f>$E26*$F26</f>
        <v/>
      </c>
      <c r="H26" s="29" t="n">
        <v>130</v>
      </c>
      <c r="I26" s="10">
        <f>TEXT($G26*$H26</f>
        <v/>
      </c>
      <c r="J26" s="10" t="inlineStr">
        <is>
          <t>$#</t>
        </is>
      </c>
      <c r="K26" s="10" t="inlineStr">
        <is>
          <t>##0"")</t>
        </is>
      </c>
      <c r="L26" s="10" t="inlineStr">
        <is>
          <t>$#</t>
        </is>
      </c>
      <c r="M26" s="10" t="inlineStr"/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21">
        <f>ROUND(SUM(E2:E26)*0.25,='Estimate Settings'!$C$31,=$E27*$F27,0)</f>
        <v/>
      </c>
      <c r="F27" s="28">
        <f>TEXT($G27*$H27</f>
        <v/>
      </c>
      <c r="G27" s="21" t="inlineStr">
        <is>
          <t>$#</t>
        </is>
      </c>
      <c r="H27" s="21" t="inlineStr">
        <is>
          <t>##0"")</t>
        </is>
      </c>
      <c r="I27" s="21">
        <f>TEXT(E27*F27,##0")</f>
        <v/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10">
        <f>ROUND(SUM(E2:E26)*0.20,='Estimate Settings'!$C$31,=$E28*$F28,0)</f>
        <v/>
      </c>
      <c r="F28" s="28">
        <f>TEXT($G28*$H28</f>
        <v/>
      </c>
      <c r="G28" s="10" t="inlineStr">
        <is>
          <t>$#</t>
        </is>
      </c>
      <c r="H28" s="10" t="inlineStr">
        <is>
          <t>##0"")</t>
        </is>
      </c>
      <c r="I28" s="10">
        <f>TEXT(E28*F28,##0")</f>
        <v/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SUM($G$2:$G$28)</f>
        <v/>
      </c>
      <c r="H29" s="16" t="inlineStr">
        <is>
          <t>TOTAL COST</t>
        </is>
      </c>
      <c r="I29" s="16">
        <f>TEXT(SUMPRODUCT($G$2:$G$28</f>
        <v/>
      </c>
      <c r="J29" s="16" t="inlineStr">
        <is>
          <t>$H$33:$H$59)</t>
        </is>
      </c>
      <c r="K29" s="16" t="inlineStr">
        <is>
          <t>$#</t>
        </is>
      </c>
      <c r="L29" s="16" t="inlineStr">
        <is>
          <t>##0"")</t>
        </is>
      </c>
      <c r="M29" s="28" t="inlineStr"/>
      <c r="N29" s="16" t="inlineStr">
        <is>
          <t>EO Sales Engineer: Update multipliers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2025-11-17T04:58:01Z</dcterms:modified>
</cp:coreProperties>
</file>