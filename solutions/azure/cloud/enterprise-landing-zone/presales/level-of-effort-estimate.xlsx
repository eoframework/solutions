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Cloud - Enterprise Landing Zone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Management Groups</t>
        </is>
      </c>
      <c r="C3" s="39" t="inlineStr">
        <is>
          <t>3-tier hierarchy</t>
        </is>
      </c>
      <c r="D3" s="38" t="inlineStr">
        <is>
          <t>3-tier hierarchy</t>
        </is>
      </c>
      <c r="E3" s="38" t="inlineStr">
        <is>
          <t>4-5 tier hierarchy</t>
        </is>
      </c>
      <c r="F3" s="38" t="inlineStr">
        <is>
          <t>6+ tier complex hierarchy</t>
        </is>
      </c>
      <c r="G3" s="38" t="inlineStr">
        <is>
          <t>Azure management group structure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Subscriptions</t>
        </is>
      </c>
      <c r="C4" s="39" t="inlineStr">
        <is>
          <t>5-10 subscriptions</t>
        </is>
      </c>
      <c r="D4" s="41" t="inlineStr">
        <is>
          <t>5-10 subscriptions</t>
        </is>
      </c>
      <c r="E4" s="41" t="inlineStr">
        <is>
          <t>10-25 subscriptions</t>
        </is>
      </c>
      <c r="F4" s="41" t="inlineStr">
        <is>
          <t>25+ subscriptions</t>
        </is>
      </c>
      <c r="G4" s="41" t="inlineStr">
        <is>
          <t>Subscription organization model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Hybrid Connectivity</t>
        </is>
      </c>
      <c r="C5" s="39" t="inlineStr">
        <is>
          <t>ExpressRoute circuit</t>
        </is>
      </c>
      <c r="D5" s="38" t="inlineStr">
        <is>
          <t>VPN only</t>
        </is>
      </c>
      <c r="E5" s="38" t="inlineStr">
        <is>
          <t>ExpressRoute</t>
        </is>
      </c>
      <c r="F5" s="38" t="inlineStr">
        <is>
          <t>ExpressRoute + VPN redundancy</t>
        </is>
      </c>
      <c r="G5" s="38" t="inlineStr">
        <is>
          <t>On-premises to Azure connectivity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Identity Federation</t>
        </is>
      </c>
      <c r="C6" s="39" t="inlineStr">
        <is>
          <t>Azure AD Connect sync</t>
        </is>
      </c>
      <c r="D6" s="41" t="inlineStr">
        <is>
          <t>Basic AD sync</t>
        </is>
      </c>
      <c r="E6" s="41" t="inlineStr">
        <is>
          <t>AD Connect with PTA</t>
        </is>
      </c>
      <c r="F6" s="41" t="inlineStr">
        <is>
          <t>AD FS federation</t>
        </is>
      </c>
      <c r="G6" s="41" t="inlineStr">
        <is>
          <t>Identity synchronization method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500 Azure users</t>
        </is>
      </c>
      <c r="D7" s="38" t="inlineStr">
        <is>
          <t>100-500 users</t>
        </is>
      </c>
      <c r="E7" s="38" t="inlineStr">
        <is>
          <t>500-2000 users</t>
        </is>
      </c>
      <c r="F7" s="38" t="inlineStr">
        <is>
          <t>2000+ users</t>
        </is>
      </c>
      <c r="G7" s="38" t="inlineStr">
        <is>
          <t>Users with Azure access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10 custom RBAC roles</t>
        </is>
      </c>
      <c r="D8" s="41" t="inlineStr">
        <is>
          <t>5-10 roles</t>
        </is>
      </c>
      <c r="E8" s="41" t="inlineStr">
        <is>
          <t>10-20 roles</t>
        </is>
      </c>
      <c r="F8" s="41" t="inlineStr">
        <is>
          <t>20+ roles with PIM</t>
        </is>
      </c>
      <c r="G8" s="41" t="inlineStr">
        <is>
          <t>Role-based access control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Workloads to Onboard</t>
        </is>
      </c>
      <c r="C9" s="39" t="inlineStr">
        <is>
          <t>20-30 applications</t>
        </is>
      </c>
      <c r="D9" s="38" t="inlineStr">
        <is>
          <t>10-30 apps</t>
        </is>
      </c>
      <c r="E9" s="38" t="inlineStr">
        <is>
          <t>30-50 apps</t>
        </is>
      </c>
      <c r="F9" s="38" t="inlineStr">
        <is>
          <t>50+ applications</t>
        </is>
      </c>
      <c r="G9" s="38" t="inlineStr">
        <is>
          <t>Applications deploying to landing zone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Policy Assignments</t>
        </is>
      </c>
      <c r="C10" s="39" t="inlineStr">
        <is>
          <t>50 policy assignments</t>
        </is>
      </c>
      <c r="D10" s="41" t="inlineStr">
        <is>
          <t>25-50 policies</t>
        </is>
      </c>
      <c r="E10" s="41" t="inlineStr">
        <is>
          <t>50-100 policies</t>
        </is>
      </c>
      <c r="F10" s="41" t="inlineStr">
        <is>
          <t>100+ policies</t>
        </is>
      </c>
      <c r="G10" s="41" t="inlineStr">
        <is>
          <t>Azure Policy governance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Target Azure Regions</t>
        </is>
      </c>
      <c r="C11" s="39" t="inlineStr">
        <is>
          <t>2 regions (East US West US)</t>
        </is>
      </c>
      <c r="D11" s="38" t="inlineStr">
        <is>
          <t>Single region</t>
        </is>
      </c>
      <c r="E11" s="38" t="inlineStr">
        <is>
          <t>2-3 regions</t>
        </is>
      </c>
      <c r="F11" s="38" t="inlineStr">
        <is>
          <t>4+ global regions</t>
        </is>
      </c>
      <c r="G11" s="38" t="inlineStr">
        <is>
          <t>Azure region deployment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(99.9%)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Platform availability SLA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Hub-spoke network topology</t>
        </is>
      </c>
      <c r="D13" s="38" t="inlineStr">
        <is>
          <t>Basic hub-spoke</t>
        </is>
      </c>
      <c r="E13" s="38" t="inlineStr">
        <is>
          <t>Advanced hub-spoke with FW</t>
        </is>
      </c>
      <c r="F13" s="38" t="inlineStr">
        <is>
          <t>Multi-hub global mesh</t>
        </is>
      </c>
      <c r="G13" s="38" t="inlineStr">
        <is>
          <t>Network architecture complexity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Azure Defender Standard</t>
        </is>
      </c>
      <c r="D14" s="41" t="inlineStr">
        <is>
          <t>Basic security center</t>
        </is>
      </c>
      <c r="E14" s="41" t="inlineStr">
        <is>
          <t>Azure Defender Standard</t>
        </is>
      </c>
      <c r="F14" s="41" t="inlineStr">
        <is>
          <t>Defender for Cloud advanced</t>
        </is>
      </c>
      <c r="G14" s="41" t="inlineStr">
        <is>
          <t>Cloud security posture management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 ISO27001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requirements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Cost Management</t>
        </is>
      </c>
      <c r="C16" s="39" t="inlineStr">
        <is>
          <t>Azure Cost Management</t>
        </is>
      </c>
      <c r="D16" s="41" t="inlineStr">
        <is>
          <t>Basic budgets</t>
        </is>
      </c>
      <c r="E16" s="41" t="inlineStr">
        <is>
          <t>Cost Management + optimization</t>
        </is>
      </c>
      <c r="F16" s="41" t="inlineStr">
        <is>
          <t>FinOps practice</t>
        </is>
      </c>
      <c r="G16" s="41" t="inlineStr">
        <is>
          <t>Cloud cost governance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Governance Automation</t>
        </is>
      </c>
      <c r="C17" s="39" t="inlineStr">
        <is>
          <t>Policy-driven governance</t>
        </is>
      </c>
      <c r="D17" s="38" t="inlineStr">
        <is>
          <t>Manual governance</t>
        </is>
      </c>
      <c r="E17" s="38" t="inlineStr">
        <is>
          <t>Policy automation</t>
        </is>
      </c>
      <c r="F17" s="38" t="inlineStr">
        <is>
          <t>GitOps policy management</t>
        </is>
      </c>
      <c r="G17" s="38" t="inlineStr">
        <is>
          <t>Governance automation level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Landing zones for dev staging prod</t>
        </is>
      </c>
      <c r="D18" s="41" t="inlineStr">
        <is>
          <t>2 landing zones</t>
        </is>
      </c>
      <c r="E18" s="41" t="inlineStr">
        <is>
          <t>3-4 landing zones</t>
        </is>
      </c>
      <c r="F18" s="41" t="inlineStr">
        <is>
          <t>5+ specialized landing zones</t>
        </is>
      </c>
      <c r="G18" s="41" t="inlineStr">
        <is>
          <t>Landing zone segregation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Environment Assessment, Azure Services Assessment,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(Landing Zone Design, Identity Design, Network Architecture,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(Management Groups, Policy Implementation, Network Infrastructure, Identity Implementation, Monitoring)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Integration Testing, Performance Testing, Security Testing, UAT)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End User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- 20%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- 25% of actual engineering hours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Azure Requirements Gathering</t>
        </is>
      </c>
      <c r="C3" s="47" t="inlineStr">
        <is>
          <t>Conduct stakeholder interviews for Azure cloud strategy</t>
        </is>
      </c>
      <c r="D3" s="47" t="inlineStr">
        <is>
          <t>EO Engineer</t>
        </is>
      </c>
      <c r="E3" s="48" t="n">
        <v>40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TEXT($G3*$H3,"$#,##0")</f>
        <v/>
      </c>
      <c r="J3" s="47" t="inlineStr"/>
      <c r="K3" s="47" t="inlineStr">
        <is>
          <t>Focus on governance scalability and business alignment</t>
        </is>
      </c>
    </row>
    <row r="4" ht="26" customHeight="1">
      <c r="A4" s="52" t="inlineStr">
        <is>
          <t>Discovery</t>
        </is>
      </c>
      <c r="B4" s="53" t="inlineStr">
        <is>
          <t>Current Environment Assessment</t>
        </is>
      </c>
      <c r="C4" s="53" t="inlineStr">
        <is>
          <t>Analyze existing infrastructure and Azure readiness</t>
        </is>
      </c>
      <c r="D4" s="53" t="inlineStr">
        <is>
          <t>EO Engineer</t>
        </is>
      </c>
      <c r="E4" s="54" t="n">
        <v>32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TEXT($G4*$H4,"$#,##0")</f>
        <v/>
      </c>
      <c r="J4" s="53" t="inlineStr"/>
      <c r="K4" s="53" t="inlineStr">
        <is>
          <t>Include identity networking and application assessment</t>
        </is>
      </c>
    </row>
    <row r="5" ht="26" customHeight="1">
      <c r="A5" s="46" t="inlineStr">
        <is>
          <t>Discovery</t>
        </is>
      </c>
      <c r="B5" s="47" t="inlineStr">
        <is>
          <t>Azure Services Assessment</t>
        </is>
      </c>
      <c r="C5" s="47" t="inlineStr">
        <is>
          <t>Evaluate Azure services and landing zone requirements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TEXT($G5*$H5,"$#,##0")</f>
        <v/>
      </c>
      <c r="J5" s="47" t="inlineStr"/>
      <c r="K5" s="47" t="inlineStr">
        <is>
          <t>Focus on management groups policies and compliance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governance security and regulatory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TEXT($G6*$H6,"$#,##0")</f>
        <v/>
      </c>
      <c r="J6" s="53" t="inlineStr"/>
      <c r="K6" s="53" t="inlineStr">
        <is>
          <t>Include Azure Policy and compliance frameworks</t>
        </is>
      </c>
    </row>
    <row r="7" ht="26" customHeight="1">
      <c r="A7" s="46" t="inlineStr">
        <is>
          <t>Planning</t>
        </is>
      </c>
      <c r="B7" s="47" t="inlineStr">
        <is>
          <t>Azure Landing Zone Design</t>
        </is>
      </c>
      <c r="C7" s="47" t="inlineStr">
        <is>
          <t>Design Azure landing zone architecture and governance model</t>
        </is>
      </c>
      <c r="D7" s="47" t="inlineStr">
        <is>
          <t>EO Engineer</t>
        </is>
      </c>
      <c r="E7" s="48" t="n">
        <v>48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TEXT($G7*$H7,"$#,##0")</f>
        <v/>
      </c>
      <c r="J7" s="47" t="inlineStr">
        <is>
          <t>Requirements Gathering</t>
        </is>
      </c>
      <c r="K7" s="47" t="inlineStr">
        <is>
          <t>Include management groups policies and blueprints</t>
        </is>
      </c>
    </row>
    <row r="8" ht="26" customHeight="1">
      <c r="A8" s="52" t="inlineStr">
        <is>
          <t>Planning</t>
        </is>
      </c>
      <c r="B8" s="53" t="inlineStr">
        <is>
          <t>Identity and Access Design</t>
        </is>
      </c>
      <c r="C8" s="53" t="inlineStr">
        <is>
          <t>Design Azure AD integration and access management strategy</t>
        </is>
      </c>
      <c r="D8" s="53" t="inlineStr">
        <is>
          <t>EO Engineer</t>
        </is>
      </c>
      <c r="E8" s="54" t="n">
        <v>32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TEXT($G8*$H8,"$#,##0")</f>
        <v/>
      </c>
      <c r="J8" s="53" t="inlineStr">
        <is>
          <t>Environment Assessment</t>
        </is>
      </c>
      <c r="K8" s="53" t="inlineStr">
        <is>
          <t>Include SSO RBAC conditional access and PIM</t>
        </is>
      </c>
    </row>
    <row r="9" ht="26" customHeight="1">
      <c r="A9" s="46" t="inlineStr">
        <is>
          <t>Planning</t>
        </is>
      </c>
      <c r="B9" s="47" t="inlineStr">
        <is>
          <t>Network Architecture Design</t>
        </is>
      </c>
      <c r="C9" s="47" t="inlineStr">
        <is>
          <t>Design Azure networking security and hybrid connectivity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TEXT($G9*$H9,"$#,##0")</f>
        <v/>
      </c>
      <c r="J9" s="47" t="inlineStr">
        <is>
          <t>Azure Services Assessment</t>
        </is>
      </c>
      <c r="K9" s="47" t="inlineStr">
        <is>
          <t>Include hub-spoke VNet peering and security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Azure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TEXT($G10*$H10,"$#,##0")</f>
        <v/>
      </c>
      <c r="J10" s="53" t="inlineStr">
        <is>
          <t>Landing Zone Design</t>
        </is>
      </c>
      <c r="K10" s="53" t="inlineStr">
        <is>
          <t>Coordinate with infrastructure security and compliance teams</t>
        </is>
      </c>
    </row>
    <row r="11" ht="26" customHeight="1">
      <c r="A11" s="46" t="inlineStr">
        <is>
          <t>Development</t>
        </is>
      </c>
      <c r="B11" s="47" t="inlineStr">
        <is>
          <t>Management Groups and Subscriptions</t>
        </is>
      </c>
      <c r="C11" s="47" t="inlineStr">
        <is>
          <t>Configure Azure management groups subscription structure and policies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TEXT($G11*$H11,"$#,##0")</f>
        <v/>
      </c>
      <c r="J11" s="47" t="inlineStr">
        <is>
          <t>Landing Zone Design</t>
        </is>
      </c>
      <c r="K11" s="47" t="inlineStr">
        <is>
          <t>Include policy inheritance governance and billing</t>
        </is>
      </c>
    </row>
    <row r="12" ht="26" customHeight="1">
      <c r="A12" s="52" t="inlineStr">
        <is>
          <t>Development</t>
        </is>
      </c>
      <c r="B12" s="53" t="inlineStr">
        <is>
          <t>Azure Policy Implementation</t>
        </is>
      </c>
      <c r="C12" s="53" t="inlineStr">
        <is>
          <t>Implement Azure policies governance controls and compliance</t>
        </is>
      </c>
      <c r="D12" s="53" t="inlineStr">
        <is>
          <t>EO Engineer</t>
        </is>
      </c>
      <c r="E12" s="54" t="n">
        <v>60</v>
      </c>
      <c r="F12" s="55">
        <f>'Estimate Settings'!$C$26</f>
        <v/>
      </c>
      <c r="G12" s="56">
        <f>$E12*$F12</f>
        <v/>
      </c>
      <c r="H12" s="57" t="n">
        <v>145</v>
      </c>
      <c r="I12" s="56">
        <f>TEXT($G12*$H12,"$#,##0")</f>
        <v/>
      </c>
      <c r="J12" s="53" t="inlineStr">
        <is>
          <t>Management Groups</t>
        </is>
      </c>
      <c r="K12" s="53" t="inlineStr">
        <is>
          <t>Include policy definitions initiatives and remediation</t>
        </is>
      </c>
    </row>
    <row r="13" ht="26" customHeight="1">
      <c r="A13" s="46" t="inlineStr">
        <is>
          <t>Development</t>
        </is>
      </c>
      <c r="B13" s="47" t="inlineStr">
        <is>
          <t>Network Infrastructure</t>
        </is>
      </c>
      <c r="C13" s="47" t="inlineStr">
        <is>
          <t>Build Azure networking VNet peering and hybrid connectivity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140</v>
      </c>
      <c r="I13" s="50">
        <f>TEXT($G13*$H13,"$#,##0")</f>
        <v/>
      </c>
      <c r="J13" s="47" t="inlineStr">
        <is>
          <t>Network Architecture</t>
        </is>
      </c>
      <c r="K13" s="47" t="inlineStr">
        <is>
          <t>Include ExpressRoute VPN and network security</t>
        </is>
      </c>
    </row>
    <row r="14" ht="26" customHeight="1">
      <c r="A14" s="52" t="inlineStr">
        <is>
          <t>Development</t>
        </is>
      </c>
      <c r="B14" s="53" t="inlineStr">
        <is>
          <t>Identity and Access Implementation</t>
        </is>
      </c>
      <c r="C14" s="53" t="inlineStr">
        <is>
          <t>Implement Azure AD integration access controls and SSO</t>
        </is>
      </c>
      <c r="D14" s="53" t="inlineStr">
        <is>
          <t>EO Engineer</t>
        </is>
      </c>
      <c r="E14" s="54" t="n">
        <v>40</v>
      </c>
      <c r="F14" s="55">
        <f>'Estimate Settings'!$C$26</f>
        <v/>
      </c>
      <c r="G14" s="56">
        <f>$E14*$F14</f>
        <v/>
      </c>
      <c r="H14" s="57" t="n">
        <v>155</v>
      </c>
      <c r="I14" s="56">
        <f>TEXT($G14*$H14,"$#,##0")</f>
        <v/>
      </c>
      <c r="J14" s="53" t="inlineStr">
        <is>
          <t>Identity Design</t>
        </is>
      </c>
      <c r="K14" s="53" t="inlineStr">
        <is>
          <t>Include MFA conditional access and privileged access</t>
        </is>
      </c>
    </row>
    <row r="15" ht="26" customHeight="1">
      <c r="A15" s="46" t="inlineStr">
        <is>
          <t>Development</t>
        </is>
      </c>
      <c r="B15" s="47" t="inlineStr">
        <is>
          <t>Monitoring and Operations</t>
        </is>
      </c>
      <c r="C15" s="47" t="inlineStr">
        <is>
          <t>Build Azure monitoring logging alerting and operational tools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TEXT($G15*$H15,"$#,##0")</f>
        <v/>
      </c>
      <c r="J15" s="47" t="inlineStr">
        <is>
          <t>Policy Implementation</t>
        </is>
      </c>
      <c r="K15" s="47" t="inlineStr">
        <is>
          <t>Include Azure Monitor Log Analytics and automation</t>
        </is>
      </c>
    </row>
    <row r="16" ht="26" customHeight="1">
      <c r="A16" s="52" t="inlineStr">
        <is>
          <t>Testing</t>
        </is>
      </c>
      <c r="B16" s="53" t="inlineStr">
        <is>
          <t>Unit Testing</t>
        </is>
      </c>
      <c r="C16" s="53" t="inlineStr">
        <is>
          <t>Develop automated tests for all solution components</t>
        </is>
      </c>
      <c r="D16" s="53" t="inlineStr">
        <is>
          <t>EO Engineer</t>
        </is>
      </c>
      <c r="E16" s="54" t="n">
        <v>32</v>
      </c>
      <c r="F16" s="55">
        <f>'Estimate Settings'!$C$27</f>
        <v/>
      </c>
      <c r="G16" s="56">
        <f>$E16*$F16</f>
        <v/>
      </c>
      <c r="H16" s="57" t="n">
        <v>120</v>
      </c>
      <c r="I16" s="56">
        <f>TEXT($G16*$H16,"$#,##0")</f>
        <v/>
      </c>
      <c r="J16" s="53" t="inlineStr">
        <is>
          <t>Policy Implementation</t>
        </is>
      </c>
      <c r="K16" s="53" t="inlineStr">
        <is>
          <t>Include technology-specific testing frameworks</t>
        </is>
      </c>
    </row>
    <row r="17" ht="26" customHeight="1">
      <c r="A17" s="46" t="inlineStr">
        <is>
          <t>Testing</t>
        </is>
      </c>
      <c r="B17" s="47" t="inlineStr">
        <is>
          <t>Integration Testing</t>
        </is>
      </c>
      <c r="C17" s="47" t="inlineStr">
        <is>
          <t>Test system integrations data flows and external dependencies</t>
        </is>
      </c>
      <c r="D17" s="47" t="inlineStr">
        <is>
          <t>EO Engineer</t>
        </is>
      </c>
      <c r="E17" s="48" t="n">
        <v>40</v>
      </c>
      <c r="F17" s="49">
        <f>'Estimate Settings'!$C$27</f>
        <v/>
      </c>
      <c r="G17" s="50">
        <f>$E17*$F17</f>
        <v/>
      </c>
      <c r="H17" s="51" t="n">
        <v>120</v>
      </c>
      <c r="I17" s="50">
        <f>TEXT($G17*$H17,"$#,##0")</f>
        <v/>
      </c>
      <c r="J17" s="47" t="inlineStr">
        <is>
          <t>Monitoring Setup</t>
        </is>
      </c>
      <c r="K17" s="47" t="inlineStr">
        <is>
          <t>Include end-to-end workflow validation</t>
        </is>
      </c>
    </row>
    <row r="18" ht="26" customHeight="1">
      <c r="A18" s="52" t="inlineStr">
        <is>
          <t>Testing</t>
        </is>
      </c>
      <c r="B18" s="53" t="inlineStr">
        <is>
          <t>Performance Testing</t>
        </is>
      </c>
      <c r="C18" s="53" t="inlineStr">
        <is>
          <t>Conduct load performance and scalability testing</t>
        </is>
      </c>
      <c r="D18" s="53" t="inlineStr">
        <is>
          <t>EO Engineer</t>
        </is>
      </c>
      <c r="E18" s="54" t="n">
        <v>24</v>
      </c>
      <c r="F18" s="55">
        <f>'Estimate Settings'!$C$27</f>
        <v/>
      </c>
      <c r="G18" s="56">
        <f>$E18*$F18</f>
        <v/>
      </c>
      <c r="H18" s="57" t="n">
        <v>140</v>
      </c>
      <c r="I18" s="56">
        <f>TEXT($G18*$H18,"$#,##0")</f>
        <v/>
      </c>
      <c r="J18" s="53" t="inlineStr">
        <is>
          <t>Integration Testing</t>
        </is>
      </c>
      <c r="K18" s="53" t="inlineStr">
        <is>
          <t>Include production-like environment and stress testing</t>
        </is>
      </c>
    </row>
    <row r="19" ht="26" customHeight="1">
      <c r="A19" s="46" t="inlineStr">
        <is>
          <t>Testing</t>
        </is>
      </c>
      <c r="B19" s="47" t="inlineStr">
        <is>
          <t>Security Testing</t>
        </is>
      </c>
      <c r="C19" s="47" t="inlineStr">
        <is>
          <t>Perform security assessments penetration testing and compliance validation</t>
        </is>
      </c>
      <c r="D19" s="47" t="inlineStr">
        <is>
          <t>EO Engineer</t>
        </is>
      </c>
      <c r="E19" s="48" t="n">
        <v>16</v>
      </c>
      <c r="F19" s="49">
        <f>'Estimate Settings'!$C$27</f>
        <v/>
      </c>
      <c r="G19" s="50">
        <f>$E19*$F19</f>
        <v/>
      </c>
      <c r="H19" s="51" t="n">
        <v>175</v>
      </c>
      <c r="I19" s="50">
        <f>TEXT($G19*$H19,"$#,##0")</f>
        <v/>
      </c>
      <c r="J19" s="47" t="inlineStr">
        <is>
          <t>Performance Testing</t>
        </is>
      </c>
      <c r="K19" s="47" t="inlineStr">
        <is>
          <t>Include vulnerability scanning and compliance checks</t>
        </is>
      </c>
    </row>
    <row r="20" ht="26" customHeight="1">
      <c r="A20" s="52" t="inlineStr">
        <is>
          <t>Testing</t>
        </is>
      </c>
      <c r="B20" s="53" t="inlineStr">
        <is>
          <t>User Acceptance Testing</t>
        </is>
      </c>
      <c r="C20" s="53" t="inlineStr">
        <is>
          <t>Coordinate UAT with business users and stakeholders</t>
        </is>
      </c>
      <c r="D20" s="53" t="inlineStr">
        <is>
          <t>EO Engineer</t>
        </is>
      </c>
      <c r="E20" s="54" t="n">
        <v>32</v>
      </c>
      <c r="F20" s="55">
        <f>'Estimate Settings'!$C$27</f>
        <v/>
      </c>
      <c r="G20" s="56">
        <f>$E20*$F20</f>
        <v/>
      </c>
      <c r="H20" s="57" t="n">
        <v>150</v>
      </c>
      <c r="I20" s="56">
        <f>TEXT($G20*$H20,"$#,##0")</f>
        <v/>
      </c>
      <c r="J20" s="53" t="inlineStr">
        <is>
          <t>Security Testing</t>
        </is>
      </c>
      <c r="K20" s="53" t="inlineStr">
        <is>
          <t>Include training feedback collection and sign-off</t>
        </is>
      </c>
    </row>
    <row r="21" ht="26" customHeight="1">
      <c r="A21" s="46" t="inlineStr">
        <is>
          <t>Deployment</t>
        </is>
      </c>
      <c r="B21" s="47" t="inlineStr">
        <is>
          <t>Production Deployment</t>
        </is>
      </c>
      <c r="C21" s="47" t="inlineStr">
        <is>
          <t>Deploy landing zone to production environment</t>
        </is>
      </c>
      <c r="D21" s="47" t="inlineStr">
        <is>
          <t>EO Engineer</t>
        </is>
      </c>
      <c r="E21" s="48" t="n">
        <v>24</v>
      </c>
      <c r="F21" s="49">
        <f>'Estimate Settings'!$C$28</f>
        <v/>
      </c>
      <c r="G21" s="50">
        <f>$E21*$F21</f>
        <v/>
      </c>
      <c r="H21" s="51" t="n">
        <v>160</v>
      </c>
      <c r="I21" s="50">
        <f>TEXT($G21*$H21,"$#,##0")</f>
        <v/>
      </c>
      <c r="J21" s="47" t="inlineStr">
        <is>
          <t>UAT</t>
        </is>
      </c>
      <c r="K21" s="47" t="inlineStr">
        <is>
          <t>Include blue-green deployment rollback and validation</t>
        </is>
      </c>
    </row>
    <row r="22" ht="26" customHeight="1">
      <c r="A22" s="52" t="inlineStr">
        <is>
          <t>Deployment</t>
        </is>
      </c>
      <c r="B22" s="53" t="inlineStr">
        <is>
          <t>Go-Live Support</t>
        </is>
      </c>
      <c r="C22" s="53" t="inlineStr">
        <is>
          <t>Provide comprehensive support during initial production rollout</t>
        </is>
      </c>
      <c r="D22" s="53" t="inlineStr">
        <is>
          <t>EO Engineer</t>
        </is>
      </c>
      <c r="E22" s="54" t="n">
        <v>48</v>
      </c>
      <c r="F22" s="55">
        <f>'Estimate Settings'!$C$28</f>
        <v/>
      </c>
      <c r="G22" s="56">
        <f>$E22*$F22</f>
        <v/>
      </c>
      <c r="H22" s="57" t="n">
        <v>110</v>
      </c>
      <c r="I22" s="56">
        <f>TEXT($G22*$H22,"$#,##0")</f>
        <v/>
      </c>
      <c r="J22" s="53" t="inlineStr">
        <is>
          <t>Production Deployment</t>
        </is>
      </c>
      <c r="K22" s="53" t="inlineStr">
        <is>
          <t>Include 24/7 support monitoring and issue resolution</t>
        </is>
      </c>
    </row>
    <row r="23" ht="26" customHeight="1">
      <c r="A23" s="46" t="inlineStr">
        <is>
          <t>Training</t>
        </is>
      </c>
      <c r="B23" s="47" t="inlineStr">
        <is>
          <t>Administrator Training</t>
        </is>
      </c>
      <c r="C23" s="47" t="inlineStr">
        <is>
          <t>Train system administrators and technical support teams</t>
        </is>
      </c>
      <c r="D23" s="47" t="inlineStr">
        <is>
          <t>EO Engineer</t>
        </is>
      </c>
      <c r="E23" s="48" t="n">
        <v>16</v>
      </c>
      <c r="F23" s="49">
        <f>'Estimate Settings'!$C$29</f>
        <v/>
      </c>
      <c r="G23" s="50">
        <f>$E23*$F23</f>
        <v/>
      </c>
      <c r="H23" s="51" t="n">
        <v>130</v>
      </c>
      <c r="I23" s="50">
        <f>TEXT($G23*$H23,"$#,##0")</f>
        <v/>
      </c>
      <c r="J23" s="47" t="inlineStr">
        <is>
          <t>Production Deployment</t>
        </is>
      </c>
      <c r="K23" s="47" t="inlineStr">
        <is>
          <t>Include hands-on technical training and certification</t>
        </is>
      </c>
    </row>
    <row r="24" ht="26" customHeight="1">
      <c r="A24" s="52" t="inlineStr">
        <is>
          <t>Training</t>
        </is>
      </c>
      <c r="B24" s="53" t="inlineStr">
        <is>
          <t>End User Training</t>
        </is>
      </c>
      <c r="C24" s="53" t="inlineStr">
        <is>
          <t>Train business users on solution functionality and workflows</t>
        </is>
      </c>
      <c r="D24" s="53" t="inlineStr">
        <is>
          <t>EO Engineer</t>
        </is>
      </c>
      <c r="E24" s="54" t="n">
        <v>24</v>
      </c>
      <c r="F24" s="55">
        <f>'Estimate Settings'!$C$29</f>
        <v/>
      </c>
      <c r="G24" s="56">
        <f>$E24*$F24</f>
        <v/>
      </c>
      <c r="H24" s="57" t="n">
        <v>120</v>
      </c>
      <c r="I24" s="56">
        <f>TEXT($G24*$H24,"$#,##0")</f>
        <v/>
      </c>
      <c r="J24" s="53" t="inlineStr">
        <is>
          <t>Administrator Training</t>
        </is>
      </c>
      <c r="K24" s="53" t="inlineStr">
        <is>
          <t>Include role-based training documentation and support</t>
        </is>
      </c>
    </row>
    <row r="25" ht="26" customHeight="1">
      <c r="A25" s="46" t="inlineStr">
        <is>
          <t>Training</t>
        </is>
      </c>
      <c r="B25" s="47" t="inlineStr">
        <is>
          <t>Documentation</t>
        </is>
      </c>
      <c r="C25" s="47" t="inlineStr">
        <is>
          <t>Create comprehensive technical and user documentation</t>
        </is>
      </c>
      <c r="D25" s="47" t="inlineStr">
        <is>
          <t>EO Engineer</t>
        </is>
      </c>
      <c r="E25" s="48" t="n">
        <v>32</v>
      </c>
      <c r="F25" s="49">
        <f>'Estimate Settings'!$C$29</f>
        <v/>
      </c>
      <c r="G25" s="50">
        <f>$E25*$F25</f>
        <v/>
      </c>
      <c r="H25" s="51" t="n">
        <v>110</v>
      </c>
      <c r="I25" s="50">
        <f>TEXT($G25*$H25,"$#,##0")</f>
        <v/>
      </c>
      <c r="J25" s="47" t="inlineStr">
        <is>
          <t>End User Training</t>
        </is>
      </c>
      <c r="K25" s="47" t="inlineStr">
        <is>
          <t>Include runbooks troubleshooting guides and best practices</t>
        </is>
      </c>
    </row>
    <row r="26" ht="26" customHeight="1">
      <c r="A26" s="52" t="inlineStr">
        <is>
          <t>Closeout</t>
        </is>
      </c>
      <c r="B26" s="53" t="inlineStr">
        <is>
          <t>Knowledge Transfer</t>
        </is>
      </c>
      <c r="C26" s="53" t="inlineStr">
        <is>
          <t>Transfer solution ownership to operations and support teams</t>
        </is>
      </c>
      <c r="D26" s="53" t="inlineStr">
        <is>
          <t>EO Engineer</t>
        </is>
      </c>
      <c r="E26" s="54" t="n">
        <v>16</v>
      </c>
      <c r="F26" s="55">
        <f>'Estimate Settings'!$C$30</f>
        <v/>
      </c>
      <c r="G26" s="56">
        <f>$E26*$F26</f>
        <v/>
      </c>
      <c r="H26" s="57" t="n">
        <v>140</v>
      </c>
      <c r="I26" s="56">
        <f>TEXT($G26*$H26,"$#,##0")</f>
        <v/>
      </c>
      <c r="J26" s="53" t="inlineStr">
        <is>
          <t>Documentation</t>
        </is>
      </c>
      <c r="K26" s="53" t="inlineStr">
        <is>
          <t>Include operational procedures escalation and maintenance</t>
        </is>
      </c>
    </row>
    <row r="27" ht="26" customHeight="1">
      <c r="A27" s="46" t="inlineStr">
        <is>
          <t>Closeout</t>
        </is>
      </c>
      <c r="B27" s="47" t="inlineStr">
        <is>
          <t>Performance Baseline</t>
        </is>
      </c>
      <c r="C27" s="47" t="inlineStr">
        <is>
          <t>Establish performance metrics monitoring baselines and SLAs</t>
        </is>
      </c>
      <c r="D27" s="47" t="inlineStr">
        <is>
          <t>EO Engineer</t>
        </is>
      </c>
      <c r="E27" s="48" t="n">
        <v>8</v>
      </c>
      <c r="F27" s="49">
        <f>'Estimate Settings'!$C$30</f>
        <v/>
      </c>
      <c r="G27" s="50">
        <f>$E27*$F27</f>
        <v/>
      </c>
      <c r="H27" s="51" t="n">
        <v>130</v>
      </c>
      <c r="I27" s="50">
        <f>TEXT($G27*$H27,"$#,##0")</f>
        <v/>
      </c>
      <c r="J27" s="47" t="inlineStr">
        <is>
          <t>Knowledge Transfer</t>
        </is>
      </c>
      <c r="K27" s="47" t="inlineStr">
        <is>
          <t>Include KPI definition monitoring setup and reporting</t>
        </is>
      </c>
    </row>
    <row r="28" ht="26" customHeight="1">
      <c r="A28" s="52" t="inlineStr">
        <is>
          <t>Management</t>
        </is>
      </c>
      <c r="B28" s="53" t="inlineStr">
        <is>
          <t>Technical Leadership</t>
        </is>
      </c>
      <c r="C28" s="53" t="inlineStr">
        <is>
          <t>Quarterback technical oversight and architecture review</t>
        </is>
      </c>
      <c r="D28" s="53" t="inlineStr">
        <is>
          <t>EO Quarterback</t>
        </is>
      </c>
      <c r="E28" s="56">
        <f>ROUND(SUM($G$33:$G$57)*0.10,0)</f>
        <v/>
      </c>
      <c r="F28" s="55">
        <f>'Estimate Settings'!$C$32</f>
        <v/>
      </c>
      <c r="G28" s="56">
        <f>$E28*$F28</f>
        <v/>
      </c>
      <c r="H28" s="57" t="n">
        <v>200</v>
      </c>
      <c r="I28" s="56">
        <f>TEXT($G28*$H28,"$#,##0")</f>
        <v/>
      </c>
      <c r="J28" s="53" t="inlineStr"/>
      <c r="K28" s="53" t="inlineStr">
        <is>
          <t>Azure architecture review and technical escalation support</t>
        </is>
      </c>
    </row>
    <row r="29" ht="26" customHeight="1">
      <c r="A29" s="46" t="inlineStr">
        <is>
          <t>Management</t>
        </is>
      </c>
      <c r="B29" s="47" t="inlineStr">
        <is>
          <t>Project Management</t>
        </is>
      </c>
      <c r="C29" s="47" t="inlineStr">
        <is>
          <t>Project coordination planning and management activities</t>
        </is>
      </c>
      <c r="D29" s="47" t="inlineStr">
        <is>
          <t>EO Project Manager</t>
        </is>
      </c>
      <c r="E29" s="50">
        <f>ROUND(SUM($G$33:$G$57)*0.10,0)</f>
        <v/>
      </c>
      <c r="F29" s="49">
        <f>'Estimate Settings'!$C$31</f>
        <v/>
      </c>
      <c r="G29" s="50">
        <f>$E29*$F29</f>
        <v/>
      </c>
      <c r="H29" s="51" t="n">
        <v>150</v>
      </c>
      <c r="I29" s="50">
        <f>TEXT($G29*$H29,"$#,##0")</f>
        <v/>
      </c>
      <c r="J29" s="47" t="inlineStr"/>
      <c r="K29" s="47" t="inlineStr">
        <is>
          <t>Includes weekly status reporting risk management and stakeholder coordination</t>
        </is>
      </c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SUM($G$33:$G$59)</f>
        <v/>
      </c>
      <c r="H30" s="59" t="inlineStr">
        <is>
          <t>TOTAL COST</t>
        </is>
      </c>
      <c r="I30" s="59">
        <f>TEXT(SUMPRODUCT($G$33:$G$59,$H$33:$H$59),"$#,##0")</f>
        <v/>
      </c>
      <c r="J30" s="58" t="inlineStr"/>
      <c r="K30" s="58" t="inlineStr">
        <is>
          <t>EO Sales Engineer: Update phase-based multipliers in Estimate Settings based on customer landing zone scope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Microsoft Partner Services Credit</t>
        </is>
      </c>
      <c r="B3" s="60" t="n">
        <v>-15000</v>
      </c>
      <c r="C3" s="38" t="inlineStr">
        <is>
          <t>Microsoft Partner Network credit for Azure architecture and landing zone implementation services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SUMPRODUCT($G$40:$G$65,$H$40:$H$65)-15000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2025-11-23T00:22:06Z</dcterms:modified>
  <cp:lastModifiedBy>Kishan Siram</cp:lastModifiedBy>
</cp:coreProperties>
</file>