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Cloud - Enterprise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Management Groups</t>
        </is>
      </c>
      <c r="C3" s="39" t="inlineStr">
        <is>
          <t>3-tier hierarchy</t>
        </is>
      </c>
      <c r="D3" s="38" t="inlineStr">
        <is>
          <t>3-tier hierarchy</t>
        </is>
      </c>
      <c r="E3" s="38" t="inlineStr">
        <is>
          <t>4-5 tier hierarchy</t>
        </is>
      </c>
      <c r="F3" s="38" t="inlineStr">
        <is>
          <t>6+ tier complex hierarchy</t>
        </is>
      </c>
      <c r="G3" s="38" t="inlineStr">
        <is>
          <t>Azure management group structure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Subscriptions</t>
        </is>
      </c>
      <c r="C4" s="39" t="inlineStr">
        <is>
          <t>5-10 subscriptions</t>
        </is>
      </c>
      <c r="D4" s="41" t="inlineStr">
        <is>
          <t>5-10 subscriptions</t>
        </is>
      </c>
      <c r="E4" s="41" t="inlineStr">
        <is>
          <t>10-25 subscriptions</t>
        </is>
      </c>
      <c r="F4" s="41" t="inlineStr">
        <is>
          <t>25+ subscriptions</t>
        </is>
      </c>
      <c r="G4" s="41" t="inlineStr">
        <is>
          <t>Subscription organization model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ExpressRoute circuit</t>
        </is>
      </c>
      <c r="D5" s="38" t="inlineStr">
        <is>
          <t>VPN only</t>
        </is>
      </c>
      <c r="E5" s="38" t="inlineStr">
        <is>
          <t>ExpressRoute</t>
        </is>
      </c>
      <c r="F5" s="38" t="inlineStr">
        <is>
          <t>ExpressRoute + VPN redundancy</t>
        </is>
      </c>
      <c r="G5" s="38" t="inlineStr">
        <is>
          <t>On-premises to Azure connectivity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Identity Federation</t>
        </is>
      </c>
      <c r="C6" s="39" t="inlineStr">
        <is>
          <t>Azure AD Connect sync</t>
        </is>
      </c>
      <c r="D6" s="41" t="inlineStr">
        <is>
          <t>Basic AD sync</t>
        </is>
      </c>
      <c r="E6" s="41" t="inlineStr">
        <is>
          <t>AD Connect with PTA</t>
        </is>
      </c>
      <c r="F6" s="41" t="inlineStr">
        <is>
          <t>AD FS federation</t>
        </is>
      </c>
      <c r="G6" s="41" t="inlineStr">
        <is>
          <t>Identity synchronization method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500 Azure users</t>
        </is>
      </c>
      <c r="D7" s="38" t="inlineStr">
        <is>
          <t>100-500 users</t>
        </is>
      </c>
      <c r="E7" s="38" t="inlineStr">
        <is>
          <t>500-2000 users</t>
        </is>
      </c>
      <c r="F7" s="38" t="inlineStr">
        <is>
          <t>2000+ users</t>
        </is>
      </c>
      <c r="G7" s="38" t="inlineStr">
        <is>
          <t>Users with Azure access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10 custom RBAC roles</t>
        </is>
      </c>
      <c r="D8" s="41" t="inlineStr">
        <is>
          <t>5-10 roles</t>
        </is>
      </c>
      <c r="E8" s="41" t="inlineStr">
        <is>
          <t>10-20 roles</t>
        </is>
      </c>
      <c r="F8" s="41" t="inlineStr">
        <is>
          <t>20+ roles with PIM</t>
        </is>
      </c>
      <c r="G8" s="41" t="inlineStr">
        <is>
          <t>Role-based access control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Workloads to Onboard</t>
        </is>
      </c>
      <c r="C9" s="39" t="inlineStr">
        <is>
          <t>20-30 applications</t>
        </is>
      </c>
      <c r="D9" s="38" t="inlineStr">
        <is>
          <t>10-30 apps</t>
        </is>
      </c>
      <c r="E9" s="38" t="inlineStr">
        <is>
          <t>30-50 apps</t>
        </is>
      </c>
      <c r="F9" s="38" t="inlineStr">
        <is>
          <t>50+ applications</t>
        </is>
      </c>
      <c r="G9" s="38" t="inlineStr">
        <is>
          <t>Applications deploying to landing zone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Policy Assignments</t>
        </is>
      </c>
      <c r="C10" s="39" t="inlineStr">
        <is>
          <t>50 policy assignments</t>
        </is>
      </c>
      <c r="D10" s="41" t="inlineStr">
        <is>
          <t>25-50 policies</t>
        </is>
      </c>
      <c r="E10" s="41" t="inlineStr">
        <is>
          <t>50-100 policies</t>
        </is>
      </c>
      <c r="F10" s="41" t="inlineStr">
        <is>
          <t>100+ policies</t>
        </is>
      </c>
      <c r="G10" s="41" t="inlineStr">
        <is>
          <t>Azure Policy governance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Azure Regions</t>
        </is>
      </c>
      <c r="C11" s="39" t="inlineStr">
        <is>
          <t>2 regions (East US West US)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4+ global regions</t>
        </is>
      </c>
      <c r="G11" s="38" t="inlineStr">
        <is>
          <t>Azure region deployment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Platform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network topology</t>
        </is>
      </c>
      <c r="D13" s="38" t="inlineStr">
        <is>
          <t>Basic hub-spoke</t>
        </is>
      </c>
      <c r="E13" s="38" t="inlineStr">
        <is>
          <t>Advanced hub-spoke with FW</t>
        </is>
      </c>
      <c r="F13" s="38" t="inlineStr">
        <is>
          <t>Multi-hub global mesh</t>
        </is>
      </c>
      <c r="G13" s="38" t="inlineStr">
        <is>
          <t>Network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Defender Standard</t>
        </is>
      </c>
      <c r="D14" s="41" t="inlineStr">
        <is>
          <t>Basic security center</t>
        </is>
      </c>
      <c r="E14" s="41" t="inlineStr">
        <is>
          <t>Azure Defender Standard</t>
        </is>
      </c>
      <c r="F14" s="41" t="inlineStr">
        <is>
          <t>Defender for Cloud advanced</t>
        </is>
      </c>
      <c r="G14" s="41" t="inlineStr">
        <is>
          <t>Cloud security posture management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Cost Management</t>
        </is>
      </c>
      <c r="C16" s="39" t="inlineStr">
        <is>
          <t>Azure Cost Management</t>
        </is>
      </c>
      <c r="D16" s="41" t="inlineStr">
        <is>
          <t>Basic budgets</t>
        </is>
      </c>
      <c r="E16" s="41" t="inlineStr">
        <is>
          <t>Cost Management + optimization</t>
        </is>
      </c>
      <c r="F16" s="41" t="inlineStr">
        <is>
          <t>FinOps practice</t>
        </is>
      </c>
      <c r="G16" s="41" t="inlineStr">
        <is>
          <t>Cloud cost governance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Governance Automation</t>
        </is>
      </c>
      <c r="C17" s="39" t="inlineStr">
        <is>
          <t>Policy-driven governance</t>
        </is>
      </c>
      <c r="D17" s="38" t="inlineStr">
        <is>
          <t>Manual governance</t>
        </is>
      </c>
      <c r="E17" s="38" t="inlineStr">
        <is>
          <t>Policy automation</t>
        </is>
      </c>
      <c r="F17" s="38" t="inlineStr">
        <is>
          <t>GitOps policy management</t>
        </is>
      </c>
      <c r="G17" s="38" t="inlineStr">
        <is>
          <t>Governance automation level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Landing zones for dev staging prod</t>
        </is>
      </c>
      <c r="D18" s="41" t="inlineStr">
        <is>
          <t>2 landing zones</t>
        </is>
      </c>
      <c r="E18" s="41" t="inlineStr">
        <is>
          <t>3-4 landing zones</t>
        </is>
      </c>
      <c r="F18" s="41" t="inlineStr">
        <is>
          <t>5+ specialized landing zones</t>
        </is>
      </c>
      <c r="G18" s="41" t="inlineStr">
        <is>
          <t>Landing zone segregation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Azure Services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Design, Network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(Management Groups, Policy Implementation, Network Infrastructure, Identity Implementation, Monitoring)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- 20%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- 25%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governance scalability and business alignment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identity networking and application assessment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management groups policies and compliance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Azure Policy and compliance frameworks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Include management groups policies and blueprints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Environment Assessment</t>
        </is>
      </c>
      <c r="K8" s="53" t="inlineStr">
        <is>
          <t>Include SSO RBAC conditional access and PIM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Azure Services Assessment</t>
        </is>
      </c>
      <c r="K9" s="47" t="inlineStr">
        <is>
          <t>Include hub-spoke VNet peering and security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Landing Zone Design</t>
        </is>
      </c>
      <c r="K10" s="53" t="inlineStr">
        <is>
          <t>Coordinate with infrastructure security and compliance teams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Landing Zone Design</t>
        </is>
      </c>
      <c r="K11" s="47" t="inlineStr">
        <is>
          <t>Include policy inheritance governance and billing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TEXT($G12*$H12,"$#,##0")</f>
        <v/>
      </c>
      <c r="J12" s="53" t="inlineStr">
        <is>
          <t>Management Groups</t>
        </is>
      </c>
      <c r="K12" s="53" t="inlineStr">
        <is>
          <t>Include policy definitions initiatives and remediation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TEXT($G13*$H13,"$#,##0")</f>
        <v/>
      </c>
      <c r="J13" s="47" t="inlineStr">
        <is>
          <t>Network Architecture</t>
        </is>
      </c>
      <c r="K13" s="47" t="inlineStr">
        <is>
          <t>Include ExpressRoute VPN and network security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TEXT($G14*$H14,"$#,##0")</f>
        <v/>
      </c>
      <c r="J14" s="53" t="inlineStr">
        <is>
          <t>Identity Design</t>
        </is>
      </c>
      <c r="K14" s="53" t="inlineStr">
        <is>
          <t>Include MFA conditional access and privileged access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Policy Implementation</t>
        </is>
      </c>
      <c r="K15" s="47" t="inlineStr">
        <is>
          <t>Include Azure Monitor Log Analytics and automation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>
        <is>
          <t>Policy Implementation</t>
        </is>
      </c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>
        <is>
          <t>Monitoring Setup</t>
        </is>
      </c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>
        <is>
          <t>Integration Testing</t>
        </is>
      </c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>
        <is>
          <t>Performance Testing</t>
        </is>
      </c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>
        <is>
          <t>Security Testing</t>
        </is>
      </c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landing zone to production environment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>
        <is>
          <t>UAT</t>
        </is>
      </c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>
        <is>
          <t>Production Deployment</t>
        </is>
      </c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>
        <is>
          <t>Production Deployment</t>
        </is>
      </c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>
        <is>
          <t>Administrator Training</t>
        </is>
      </c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End User Training</t>
        </is>
      </c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>
        <is>
          <t>Documentation</t>
        </is>
      </c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>
        <is>
          <t>Knowledge Transfer</t>
        </is>
      </c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ROUND(SUM($G$33:$G$57)*0.10,0)</f>
        <v/>
      </c>
      <c r="F28" s="55">
        <f>'Estimate Settings'!$C$32</f>
        <v/>
      </c>
      <c r="G28" s="56">
        <f>$E28*$F28</f>
        <v/>
      </c>
      <c r="H28" s="57" t="n">
        <v>200</v>
      </c>
      <c r="I28" s="56">
        <f>TEXT($G28*$H28,"$#,##0")</f>
        <v/>
      </c>
      <c r="J28" s="53" t="inlineStr"/>
      <c r="K28" s="53" t="inlineStr">
        <is>
          <t>Azure architecture review and technical escalation support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planning and management activities</t>
        </is>
      </c>
      <c r="D29" s="47" t="inlineStr">
        <is>
          <t>EO Project Manager</t>
        </is>
      </c>
      <c r="E29" s="50">
        <f>ROUND(SUM($G$33:$G$57)*0.10,0)</f>
        <v/>
      </c>
      <c r="F29" s="49">
        <f>'Estimate Settings'!$C$31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Includes weekly status reporting risk management and stakeholder coordination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TEXT(SUMPRODUCT($G$33:$G$59,$H$33:$H$59),"$#,##0")</f>
        <v/>
      </c>
      <c r="J30" s="58" t="inlineStr"/>
      <c r="K30" s="58" t="inlineStr">
        <is>
          <t>EO Sales Engineer: Update phase-based multipliers in Estimate Settings based on customer landing zone scope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-15000</v>
      </c>
      <c r="C3" s="38" t="inlineStr">
        <is>
          <t>Microsoft Partner Network credit for Azure architecture and landing zone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SUMPRODUCT($G$40:$G$65,$H$40:$H$65)-15000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2025-11-25T04:28:57Z</dcterms:modified>
  <cp:lastModifiedBy>Kishan Siram</cp:lastModifiedBy>
</cp:coreProperties>
</file>