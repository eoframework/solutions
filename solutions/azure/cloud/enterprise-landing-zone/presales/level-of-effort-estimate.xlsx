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PE ASSUMPTIONS" sheetId="1" state="visible" r:id="rId1"/>
    <sheet xmlns:r="http://schemas.openxmlformats.org/officeDocument/2006/relationships" name="ESTIMATE SETTINGS" sheetId="2" state="visible" r:id="rId2"/>
    <sheet xmlns:r="http://schemas.openxmlformats.org/officeDocument/2006/relationships" name="EFFORT ESTIMATE" sheetId="3" state="visible" r:id="rId3"/>
  </sheets>
  <definedNames>
    <definedName name="_xlnm._FilterDatabase" localSheetId="0" hidden="1">'SCOPE ASSUMPTIONS'!$A$2:$H$19</definedName>
    <definedName name="_xlnm._FilterDatabase" localSheetId="1" hidden="1">'ESTIMATE SETTINGS'!$A$2:$E$12</definedName>
    <definedName name="_xlnm._FilterDatabase" localSheetId="2" hidden="1">'EFFORT ESTIMATE'!$A$2:$K$30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  <col width="15" customWidth="1" min="8" max="8"/>
  </cols>
  <sheetData>
    <row r="1" ht="25" customHeight="1">
      <c r="A1" s="1" t="inlineStr">
        <is>
          <t># SCOPE ASSUMPTIONS - BASELINE (MULTIPLIER 1.0),,,,,,,,,,</t>
        </is>
      </c>
    </row>
    <row r="2" ht="30" customHeight="1">
      <c r="A2" s="2" t="inlineStr">
        <is>
          <t>Category</t>
        </is>
      </c>
      <c r="B2" s="2" t="inlineStr">
        <is>
          <t>Baseline Assumption</t>
        </is>
      </c>
      <c r="C2" s="2" t="inlineStr">
        <is>
          <t>Current Scope</t>
        </is>
      </c>
      <c r="D2" s="2" t="inlineStr">
        <is>
          <t>Small (1x)</t>
        </is>
      </c>
      <c r="E2" s="2" t="inlineStr">
        <is>
          <t>Medium (2x)</t>
        </is>
      </c>
      <c r="F2" s="2" t="inlineStr">
        <is>
          <t>Large (3x)</t>
        </is>
      </c>
      <c r="G2" s="2" t="inlineStr">
        <is>
          <t>Notes</t>
        </is>
      </c>
      <c r="H2" s="2" t="inlineStr"/>
    </row>
    <row r="3">
      <c r="A3" s="3" t="inlineStr">
        <is>
          <t>Solution Scope</t>
        </is>
      </c>
      <c r="B3" s="4" t="inlineStr">
        <is>
          <t>Management Groups</t>
        </is>
      </c>
      <c r="C3" s="4" t="inlineStr">
        <is>
          <t>3-tier hierarchy</t>
        </is>
      </c>
      <c r="D3" s="4" t="inlineStr">
        <is>
          <t>3-tier hierarchy</t>
        </is>
      </c>
      <c r="E3" s="4" t="inlineStr">
        <is>
          <t>4-5 tier hierarchy</t>
        </is>
      </c>
      <c r="F3" s="4" t="inlineStr">
        <is>
          <t>6+ tier complex hierarchy</t>
        </is>
      </c>
      <c r="G3" s="4" t="inlineStr">
        <is>
          <t>Azure management group structure</t>
        </is>
      </c>
      <c r="H3" s="4" t="inlineStr"/>
    </row>
    <row r="4">
      <c r="A4" s="3" t="inlineStr">
        <is>
          <t>Solution Scope</t>
        </is>
      </c>
      <c r="B4" s="4" t="inlineStr">
        <is>
          <t>Subscriptions</t>
        </is>
      </c>
      <c r="C4" s="4" t="inlineStr">
        <is>
          <t>5-10 subscriptions</t>
        </is>
      </c>
      <c r="D4" s="4" t="inlineStr">
        <is>
          <t>5-10 subscriptions</t>
        </is>
      </c>
      <c r="E4" s="4" t="inlineStr">
        <is>
          <t>10-25 subscriptions</t>
        </is>
      </c>
      <c r="F4" s="4" t="inlineStr">
        <is>
          <t>25+ subscriptions</t>
        </is>
      </c>
      <c r="G4" s="4" t="inlineStr">
        <is>
          <t>Subscription organization model</t>
        </is>
      </c>
      <c r="H4" s="4" t="inlineStr"/>
    </row>
    <row r="5">
      <c r="A5" s="3" t="inlineStr">
        <is>
          <t>Integration</t>
        </is>
      </c>
      <c r="B5" s="4" t="inlineStr">
        <is>
          <t>Hybrid Connectivity</t>
        </is>
      </c>
      <c r="C5" s="4" t="inlineStr">
        <is>
          <t>ExpressRoute circuit</t>
        </is>
      </c>
      <c r="D5" s="4" t="inlineStr">
        <is>
          <t>VPN only</t>
        </is>
      </c>
      <c r="E5" s="4" t="inlineStr">
        <is>
          <t>ExpressRoute</t>
        </is>
      </c>
      <c r="F5" s="4" t="inlineStr">
        <is>
          <t>ExpressRoute + VPN redundancy</t>
        </is>
      </c>
      <c r="G5" s="4" t="inlineStr">
        <is>
          <t>On-premises to Azure connectivity</t>
        </is>
      </c>
      <c r="H5" s="4" t="inlineStr"/>
    </row>
    <row r="6">
      <c r="A6" s="3" t="inlineStr">
        <is>
          <t>Integration</t>
        </is>
      </c>
      <c r="B6" s="4" t="inlineStr">
        <is>
          <t>Identity Federation</t>
        </is>
      </c>
      <c r="C6" s="4" t="inlineStr">
        <is>
          <t>Azure AD Connect sync</t>
        </is>
      </c>
      <c r="D6" s="4" t="inlineStr">
        <is>
          <t>Basic AD sync</t>
        </is>
      </c>
      <c r="E6" s="4" t="inlineStr">
        <is>
          <t>AD Connect with PTA</t>
        </is>
      </c>
      <c r="F6" s="4" t="inlineStr">
        <is>
          <t>AD FS federation</t>
        </is>
      </c>
      <c r="G6" s="4" t="inlineStr">
        <is>
          <t>Identity synchronization method</t>
        </is>
      </c>
      <c r="H6" s="4" t="inlineStr"/>
    </row>
    <row r="7">
      <c r="A7" s="3" t="inlineStr">
        <is>
          <t>User Base</t>
        </is>
      </c>
      <c r="B7" s="4" t="inlineStr">
        <is>
          <t>Total Users</t>
        </is>
      </c>
      <c r="C7" s="4" t="inlineStr">
        <is>
          <t>500 Azure users</t>
        </is>
      </c>
      <c r="D7" s="4" t="inlineStr">
        <is>
          <t>100-500 users</t>
        </is>
      </c>
      <c r="E7" s="4" t="inlineStr">
        <is>
          <t>500-2000 users</t>
        </is>
      </c>
      <c r="F7" s="4" t="inlineStr">
        <is>
          <t>2000+ users</t>
        </is>
      </c>
      <c r="G7" s="4" t="inlineStr">
        <is>
          <t>Users with Azure access</t>
        </is>
      </c>
      <c r="H7" s="4" t="inlineStr"/>
    </row>
    <row r="8">
      <c r="A8" s="3" t="inlineStr">
        <is>
          <t>User Base</t>
        </is>
      </c>
      <c r="B8" s="4" t="inlineStr">
        <is>
          <t>User Roles</t>
        </is>
      </c>
      <c r="C8" s="4" t="inlineStr">
        <is>
          <t>10 custom RBAC roles</t>
        </is>
      </c>
      <c r="D8" s="4" t="inlineStr">
        <is>
          <t>5-10 roles</t>
        </is>
      </c>
      <c r="E8" s="4" t="inlineStr">
        <is>
          <t>10-20 roles</t>
        </is>
      </c>
      <c r="F8" s="4" t="inlineStr">
        <is>
          <t>20+ roles with PIM</t>
        </is>
      </c>
      <c r="G8" s="4" t="inlineStr">
        <is>
          <t>Role-based access control</t>
        </is>
      </c>
      <c r="H8" s="4" t="inlineStr"/>
    </row>
    <row r="9">
      <c r="A9" s="3" t="inlineStr">
        <is>
          <t>Data Volume</t>
        </is>
      </c>
      <c r="B9" s="4" t="inlineStr">
        <is>
          <t>Workloads to Onboard</t>
        </is>
      </c>
      <c r="C9" s="4" t="inlineStr">
        <is>
          <t>20-30 applications</t>
        </is>
      </c>
      <c r="D9" s="4" t="inlineStr">
        <is>
          <t>10-30 apps</t>
        </is>
      </c>
      <c r="E9" s="4" t="inlineStr">
        <is>
          <t>30-50 apps</t>
        </is>
      </c>
      <c r="F9" s="4" t="inlineStr">
        <is>
          <t>50+ applications</t>
        </is>
      </c>
      <c r="G9" s="4" t="inlineStr">
        <is>
          <t>Applications deploying to landing zone</t>
        </is>
      </c>
      <c r="H9" s="4" t="inlineStr"/>
    </row>
    <row r="10">
      <c r="A10" s="3" t="inlineStr">
        <is>
          <t>Data Volume</t>
        </is>
      </c>
      <c r="B10" s="4" t="inlineStr">
        <is>
          <t>Policy Assignments</t>
        </is>
      </c>
      <c r="C10" s="4" t="inlineStr">
        <is>
          <t>50 policy assignments</t>
        </is>
      </c>
      <c r="D10" s="4" t="inlineStr">
        <is>
          <t>25-50 policies</t>
        </is>
      </c>
      <c r="E10" s="4" t="inlineStr">
        <is>
          <t>50-100 policies</t>
        </is>
      </c>
      <c r="F10" s="4" t="inlineStr">
        <is>
          <t>100+ policies</t>
        </is>
      </c>
      <c r="G10" s="4" t="inlineStr">
        <is>
          <t>Azure Policy governance</t>
        </is>
      </c>
      <c r="H10" s="4" t="inlineStr"/>
    </row>
    <row r="11">
      <c r="A11" s="3" t="inlineStr">
        <is>
          <t>Technical Environment</t>
        </is>
      </c>
      <c r="B11" s="4" t="inlineStr">
        <is>
          <t>Target Azure Regions</t>
        </is>
      </c>
      <c r="C11" s="4" t="inlineStr">
        <is>
          <t>2 regions (East US West US)</t>
        </is>
      </c>
      <c r="D11" s="4" t="inlineStr">
        <is>
          <t>Single region</t>
        </is>
      </c>
      <c r="E11" s="4" t="inlineStr">
        <is>
          <t>2-3 regions</t>
        </is>
      </c>
      <c r="F11" s="4" t="inlineStr">
        <is>
          <t>4+ global regions</t>
        </is>
      </c>
      <c r="G11" s="4" t="inlineStr">
        <is>
          <t>Azure region deployment</t>
        </is>
      </c>
      <c r="H11" s="4" t="inlineStr"/>
    </row>
    <row r="12">
      <c r="A12" s="3" t="inlineStr">
        <is>
          <t>Technical Environment</t>
        </is>
      </c>
      <c r="B12" s="4" t="inlineStr">
        <is>
          <t>Availability Requirements</t>
        </is>
      </c>
      <c r="C12" s="4" t="inlineStr">
        <is>
          <t>Standard (99.9%)</t>
        </is>
      </c>
      <c r="D12" s="4" t="inlineStr">
        <is>
          <t>Standard (99.5%)</t>
        </is>
      </c>
      <c r="E12" s="4" t="inlineStr">
        <is>
          <t>High availability (99.9%)</t>
        </is>
      </c>
      <c r="F12" s="4" t="inlineStr">
        <is>
          <t>Mission critical (99.95%+)</t>
        </is>
      </c>
      <c r="G12" s="4" t="inlineStr">
        <is>
          <t>Platform availability SLA</t>
        </is>
      </c>
      <c r="H12" s="4" t="inlineStr"/>
    </row>
    <row r="13">
      <c r="A13" s="3" t="inlineStr">
        <is>
          <t>Technical Environment</t>
        </is>
      </c>
      <c r="B13" s="4" t="inlineStr">
        <is>
          <t>Infrastructure Complexity</t>
        </is>
      </c>
      <c r="C13" s="4" t="inlineStr">
        <is>
          <t>Hub-spoke network topology</t>
        </is>
      </c>
      <c r="D13" s="4" t="inlineStr">
        <is>
          <t>Basic hub-spoke</t>
        </is>
      </c>
      <c r="E13" s="4" t="inlineStr">
        <is>
          <t>Advanced hub-spoke with FW</t>
        </is>
      </c>
      <c r="F13" s="4" t="inlineStr">
        <is>
          <t>Multi-hub global mesh</t>
        </is>
      </c>
      <c r="G13" s="4" t="inlineStr">
        <is>
          <t>Network architecture complexity</t>
        </is>
      </c>
      <c r="H13" s="4" t="inlineStr"/>
    </row>
    <row r="14">
      <c r="A14" s="3" t="inlineStr">
        <is>
          <t>Security &amp; Compliance</t>
        </is>
      </c>
      <c r="B14" s="4" t="inlineStr">
        <is>
          <t>Security Requirements</t>
        </is>
      </c>
      <c r="C14" s="4" t="inlineStr">
        <is>
          <t>Azure Defender Standard</t>
        </is>
      </c>
      <c r="D14" s="4" t="inlineStr">
        <is>
          <t>Basic security center</t>
        </is>
      </c>
      <c r="E14" s="4" t="inlineStr">
        <is>
          <t>Azure Defender Standard</t>
        </is>
      </c>
      <c r="F14" s="4" t="inlineStr">
        <is>
          <t>Defender for Cloud advanced</t>
        </is>
      </c>
      <c r="G14" s="4" t="inlineStr">
        <is>
          <t>Cloud security posture management</t>
        </is>
      </c>
      <c r="H14" s="4" t="inlineStr"/>
    </row>
    <row r="15">
      <c r="A15" s="3" t="inlineStr">
        <is>
          <t>Security &amp; Compliance</t>
        </is>
      </c>
      <c r="B15" s="4" t="inlineStr">
        <is>
          <t>Compliance Frameworks</t>
        </is>
      </c>
      <c r="C15" s="4" t="inlineStr">
        <is>
          <t>SOC2 ISO27001</t>
        </is>
      </c>
      <c r="D15" s="4" t="inlineStr">
        <is>
          <t>1-2 basic standards</t>
        </is>
      </c>
      <c r="E15" s="4" t="inlineStr">
        <is>
          <t>2-3 industry standards</t>
        </is>
      </c>
      <c r="F15" s="4" t="inlineStr">
        <is>
          <t>Multiple complex frameworks</t>
        </is>
      </c>
      <c r="G15" s="4" t="inlineStr">
        <is>
          <t>Regulatory compliance requirements</t>
        </is>
      </c>
      <c r="H15" s="4" t="inlineStr"/>
    </row>
    <row r="16">
      <c r="A16" s="3" t="inlineStr">
        <is>
          <t>Performance</t>
        </is>
      </c>
      <c r="B16" s="4" t="inlineStr">
        <is>
          <t>Cost Management</t>
        </is>
      </c>
      <c r="C16" s="4" t="inlineStr">
        <is>
          <t>Azure Cost Management</t>
        </is>
      </c>
      <c r="D16" s="4" t="inlineStr">
        <is>
          <t>Basic budgets</t>
        </is>
      </c>
      <c r="E16" s="4" t="inlineStr">
        <is>
          <t>Cost Management + optimization</t>
        </is>
      </c>
      <c r="F16" s="4" t="inlineStr">
        <is>
          <t>FinOps practice</t>
        </is>
      </c>
      <c r="G16" s="4" t="inlineStr">
        <is>
          <t>Cloud cost governance</t>
        </is>
      </c>
      <c r="H16" s="4" t="inlineStr"/>
    </row>
    <row r="17">
      <c r="A17" s="3" t="inlineStr">
        <is>
          <t>Performance</t>
        </is>
      </c>
      <c r="B17" s="4" t="inlineStr">
        <is>
          <t>Governance Automation</t>
        </is>
      </c>
      <c r="C17" s="4" t="inlineStr">
        <is>
          <t>Policy-driven governance</t>
        </is>
      </c>
      <c r="D17" s="4" t="inlineStr">
        <is>
          <t>Manual governance</t>
        </is>
      </c>
      <c r="E17" s="4" t="inlineStr">
        <is>
          <t>Policy automation</t>
        </is>
      </c>
      <c r="F17" s="4" t="inlineStr">
        <is>
          <t>GitOps policy management</t>
        </is>
      </c>
      <c r="G17" s="4" t="inlineStr">
        <is>
          <t>Governance automation level</t>
        </is>
      </c>
      <c r="H17" s="4" t="inlineStr"/>
    </row>
    <row r="18">
      <c r="A18" s="3" t="inlineStr">
        <is>
          <t>Environment</t>
        </is>
      </c>
      <c r="B18" s="4" t="inlineStr">
        <is>
          <t>Deployment Environments</t>
        </is>
      </c>
      <c r="C18" s="4" t="inlineStr">
        <is>
          <t>Landing zones for dev staging prod</t>
        </is>
      </c>
      <c r="D18" s="4" t="inlineStr">
        <is>
          <t>2 landing zones</t>
        </is>
      </c>
      <c r="E18" s="4" t="inlineStr">
        <is>
          <t>3-4 landing zones</t>
        </is>
      </c>
      <c r="F18" s="4" t="inlineStr">
        <is>
          <t>5+ specialized landing zones</t>
        </is>
      </c>
      <c r="G18" s="4" t="inlineStr">
        <is>
          <t>Landing zone segregation</t>
        </is>
      </c>
      <c r="H18" s="4" t="inlineStr"/>
    </row>
    <row r="19">
      <c r="A19" s="3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60" customWidth="1" min="4" max="4"/>
    <col width="15" customWidth="1" min="5" max="5"/>
  </cols>
  <sheetData>
    <row r="1" ht="25" customHeight="1">
      <c r="A1" s="1" t="inlineStr">
        <is>
          <t># ESTIMATE SETTINGS - EO Sales Engineer Updates Multipliers Based on Customer Scope,,,,,,,,,,</t>
        </is>
      </c>
    </row>
    <row r="2" ht="30" customHeight="1">
      <c r="A2" s="2" t="inlineStr">
        <is>
          <t>Phase</t>
        </is>
      </c>
      <c r="B2" s="2" t="inlineStr">
        <is>
          <t>Variable Name</t>
        </is>
      </c>
      <c r="C2" s="2" t="inlineStr">
        <is>
          <t>Multiplier</t>
        </is>
      </c>
      <c r="D2" s="2" t="inlineStr">
        <is>
          <t>Description / Applies To Tasks</t>
        </is>
      </c>
      <c r="E2" s="2" t="inlineStr"/>
    </row>
    <row r="3">
      <c r="A3" s="3" t="inlineStr">
        <is>
          <t>Discovery</t>
        </is>
      </c>
      <c r="B3" s="4" t="inlineStr">
        <is>
          <t>DISCOVERY_MX</t>
        </is>
      </c>
      <c r="C3" s="5" t="n">
        <v>1</v>
      </c>
      <c r="D3" s="4" t="inlineStr">
        <is>
          <t>All Discovery phase tasks (Requirements Gathering</t>
        </is>
      </c>
      <c r="E3" s="4" t="inlineStr"/>
    </row>
    <row r="4">
      <c r="A4" s="3" t="inlineStr">
        <is>
          <t>Planning</t>
        </is>
      </c>
      <c r="B4" s="4" t="inlineStr">
        <is>
          <t>PLANNING_MX</t>
        </is>
      </c>
      <c r="C4" s="5" t="n">
        <v>1</v>
      </c>
      <c r="D4" s="4" t="inlineStr">
        <is>
          <t>All Planning phase tasks (Landing Zone Design</t>
        </is>
      </c>
      <c r="E4" s="4" t="inlineStr"/>
    </row>
    <row r="5">
      <c r="A5" s="3" t="inlineStr">
        <is>
          <t>Development</t>
        </is>
      </c>
      <c r="B5" s="4" t="inlineStr">
        <is>
          <t>DEVELOPMENT_MX</t>
        </is>
      </c>
      <c r="C5" s="5" t="n">
        <v>1</v>
      </c>
      <c r="D5" s="4" t="inlineStr">
        <is>
          <t>All Development phase tasks (Management Groups</t>
        </is>
      </c>
      <c r="E5" s="4" t="inlineStr"/>
    </row>
    <row r="6">
      <c r="A6" s="3" t="inlineStr">
        <is>
          <t>Testing</t>
        </is>
      </c>
      <c r="B6" s="4" t="inlineStr">
        <is>
          <t>TESTING_MX</t>
        </is>
      </c>
      <c r="C6" s="5" t="n">
        <v>1</v>
      </c>
      <c r="D6" s="4" t="inlineStr">
        <is>
          <t>All Testing phase tasks (Unit Testing</t>
        </is>
      </c>
      <c r="E6" s="4" t="inlineStr"/>
    </row>
    <row r="7">
      <c r="A7" s="3" t="inlineStr">
        <is>
          <t>Deployment</t>
        </is>
      </c>
      <c r="B7" s="4" t="inlineStr">
        <is>
          <t>DEPLOYMENT_MX</t>
        </is>
      </c>
      <c r="C7" s="5" t="n">
        <v>1</v>
      </c>
      <c r="D7" s="4" t="inlineStr">
        <is>
          <t>All Deployment phase tasks (Production Deployment</t>
        </is>
      </c>
      <c r="E7" s="4" t="inlineStr"/>
    </row>
    <row r="8">
      <c r="A8" s="3" t="inlineStr">
        <is>
          <t>Training</t>
        </is>
      </c>
      <c r="B8" s="4" t="inlineStr">
        <is>
          <t>TRAINING_MX</t>
        </is>
      </c>
      <c r="C8" s="5" t="n">
        <v>1</v>
      </c>
      <c r="D8" s="4" t="inlineStr">
        <is>
          <t>All Training phase tasks (Administrator Training</t>
        </is>
      </c>
      <c r="E8" s="4" t="inlineStr"/>
    </row>
    <row r="9">
      <c r="A9" s="3" t="inlineStr">
        <is>
          <t>Closeout</t>
        </is>
      </c>
      <c r="B9" s="4" t="inlineStr">
        <is>
          <t>CLOSEOUT_MX</t>
        </is>
      </c>
      <c r="C9" s="5" t="n">
        <v>1</v>
      </c>
      <c r="D9" s="4" t="inlineStr">
        <is>
          <t>All Closeout phase tasks (Knowledge Transfer</t>
        </is>
      </c>
      <c r="E9" s="4" t="inlineStr"/>
    </row>
    <row r="10">
      <c r="A10" s="3" t="inlineStr">
        <is>
          <t>Management</t>
        </is>
      </c>
      <c r="B10" s="4" t="inlineStr">
        <is>
          <t>MANAGEMENT_MX</t>
        </is>
      </c>
      <c r="C10" s="5" t="n">
        <v>1.5</v>
      </c>
      <c r="D10" s="4" t="inlineStr">
        <is>
          <t>Project Management overhead - 20% of actual engineering hours</t>
        </is>
      </c>
      <c r="E10" s="4" t="inlineStr"/>
    </row>
    <row r="11">
      <c r="A11" s="3" t="inlineStr">
        <is>
          <t>Leadership</t>
        </is>
      </c>
      <c r="B11" s="4" t="inlineStr">
        <is>
          <t>LEADERSHIP_MX</t>
        </is>
      </c>
      <c r="C11" s="5" t="n">
        <v>1.5</v>
      </c>
      <c r="D11" s="4" t="inlineStr">
        <is>
          <t>Quarterback/Technical Leadership overhead - 25% of actual engineering hours</t>
        </is>
      </c>
      <c r="E11" s="4" t="inlineStr"/>
    </row>
    <row r="12">
      <c r="A12" s="3" t="inlineStr"/>
      <c r="B12" s="4" t="inlineStr"/>
      <c r="C12" s="4" t="inlineStr"/>
      <c r="D12" s="4" t="inlineStr"/>
      <c r="E12" s="4" t="inlineStr"/>
    </row>
  </sheetData>
  <autoFilter ref="A2:E12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2" customWidth="1" min="6" max="6"/>
    <col width="12" customWidth="1" min="7" max="7"/>
    <col width="10" customWidth="1" min="8" max="8"/>
    <col width="15" customWidth="1" min="9" max="9"/>
    <col width="25" customWidth="1" min="10" max="10"/>
    <col width="40" customWidth="1" min="11" max="11"/>
  </cols>
  <sheetData>
    <row r="1" ht="25" customHeight="1">
      <c r="A1" s="1" t="inlineStr">
        <is>
          <t># EFFORT ESTIMATE</t>
        </is>
      </c>
    </row>
    <row r="2" ht="30" customHeight="1">
      <c r="A2" s="2" t="inlineStr">
        <is>
          <t>Phase</t>
        </is>
      </c>
      <c r="B2" s="2" t="inlineStr">
        <is>
          <t>Work Package</t>
        </is>
      </c>
      <c r="C2" s="2" t="inlineStr">
        <is>
          <t>Task Description</t>
        </is>
      </c>
      <c r="D2" s="2" t="inlineStr">
        <is>
          <t>Resource Type</t>
        </is>
      </c>
      <c r="E2" s="2" t="inlineStr">
        <is>
          <t>Base Hours</t>
        </is>
      </c>
      <c r="F2" s="2" t="inlineStr">
        <is>
          <t>Effort Multiplier</t>
        </is>
      </c>
      <c r="G2" s="2" t="inlineStr">
        <is>
          <t>Actual Hours</t>
        </is>
      </c>
      <c r="H2" s="2" t="inlineStr">
        <is>
          <t>Rate</t>
        </is>
      </c>
      <c r="I2" s="2" t="inlineStr">
        <is>
          <t>Cost Estimate</t>
        </is>
      </c>
      <c r="J2" s="2" t="inlineStr">
        <is>
          <t>Dependencies</t>
        </is>
      </c>
      <c r="K2" s="2" t="inlineStr">
        <is>
          <t>Notes</t>
        </is>
      </c>
    </row>
    <row r="3">
      <c r="A3" s="3" t="inlineStr">
        <is>
          <t>Discovery</t>
        </is>
      </c>
      <c r="B3" s="4" t="inlineStr">
        <is>
          <t>Azure Requirements Gathering</t>
        </is>
      </c>
      <c r="C3" s="4" t="inlineStr">
        <is>
          <t>Conduct stakeholder interviews for Azure cloud strategy</t>
        </is>
      </c>
      <c r="D3" s="4" t="inlineStr">
        <is>
          <t>EO Engineer</t>
        </is>
      </c>
      <c r="E3" s="6" t="n">
        <v>40</v>
      </c>
      <c r="F3" s="4">
        <f>'Estimate Settings'!$C$24</f>
        <v/>
      </c>
      <c r="G3" s="4">
        <f>$E33*$F33</f>
        <v/>
      </c>
      <c r="H3" s="7" t="n">
        <v>150</v>
      </c>
      <c r="I3" s="4">
        <f>TEXT($G33*$H33</f>
        <v/>
      </c>
      <c r="J3" s="4" t="inlineStr">
        <is>
          <t>$#</t>
        </is>
      </c>
      <c r="K3" s="4" t="inlineStr">
        <is>
          <t>##0"")</t>
        </is>
      </c>
    </row>
    <row r="4">
      <c r="A4" s="3" t="inlineStr">
        <is>
          <t>Discovery</t>
        </is>
      </c>
      <c r="B4" s="4" t="inlineStr">
        <is>
          <t>Current Environment Assessment</t>
        </is>
      </c>
      <c r="C4" s="4" t="inlineStr">
        <is>
          <t>Analyze existing infrastructure and Azure readiness</t>
        </is>
      </c>
      <c r="D4" s="4" t="inlineStr">
        <is>
          <t>EO Engineer</t>
        </is>
      </c>
      <c r="E4" s="6" t="n">
        <v>32</v>
      </c>
      <c r="F4" s="4">
        <f>'Estimate Settings'!$C$24</f>
        <v/>
      </c>
      <c r="G4" s="4">
        <f>$E34*$F34</f>
        <v/>
      </c>
      <c r="H4" s="7" t="n">
        <v>200</v>
      </c>
      <c r="I4" s="4">
        <f>TEXT($G34*$H34</f>
        <v/>
      </c>
      <c r="J4" s="4" t="inlineStr">
        <is>
          <t>$#</t>
        </is>
      </c>
      <c r="K4" s="4" t="inlineStr">
        <is>
          <t>##0"")</t>
        </is>
      </c>
    </row>
    <row r="5">
      <c r="A5" s="3" t="inlineStr">
        <is>
          <t>Discovery</t>
        </is>
      </c>
      <c r="B5" s="4" t="inlineStr">
        <is>
          <t>Azure Services Assessment</t>
        </is>
      </c>
      <c r="C5" s="4" t="inlineStr">
        <is>
          <t>Evaluate Azure services and landing zone requirements</t>
        </is>
      </c>
      <c r="D5" s="4" t="inlineStr">
        <is>
          <t>EO Engineer</t>
        </is>
      </c>
      <c r="E5" s="6" t="n">
        <v>24</v>
      </c>
      <c r="F5" s="4">
        <f>'Estimate Settings'!$C$24</f>
        <v/>
      </c>
      <c r="G5" s="4">
        <f>$E35*$F35</f>
        <v/>
      </c>
      <c r="H5" s="7" t="n">
        <v>200</v>
      </c>
      <c r="I5" s="4">
        <f>TEXT($G35*$H35</f>
        <v/>
      </c>
      <c r="J5" s="4" t="inlineStr">
        <is>
          <t>$#</t>
        </is>
      </c>
      <c r="K5" s="4" t="inlineStr">
        <is>
          <t>##0"")</t>
        </is>
      </c>
    </row>
    <row r="6">
      <c r="A6" s="3" t="inlineStr">
        <is>
          <t>Discovery</t>
        </is>
      </c>
      <c r="B6" s="4" t="inlineStr">
        <is>
          <t>Compliance Review</t>
        </is>
      </c>
      <c r="C6" s="4" t="inlineStr">
        <is>
          <t>Assess governance security and regulatory requirements</t>
        </is>
      </c>
      <c r="D6" s="4" t="inlineStr">
        <is>
          <t>EO Engineer</t>
        </is>
      </c>
      <c r="E6" s="6" t="n">
        <v>16</v>
      </c>
      <c r="F6" s="4">
        <f>'Estimate Settings'!$C$24</f>
        <v/>
      </c>
      <c r="G6" s="4">
        <f>$E36*$F36</f>
        <v/>
      </c>
      <c r="H6" s="7" t="n">
        <v>175</v>
      </c>
      <c r="I6" s="4">
        <f>TEXT($G36*$H36</f>
        <v/>
      </c>
      <c r="J6" s="4" t="inlineStr">
        <is>
          <t>$#</t>
        </is>
      </c>
      <c r="K6" s="4" t="inlineStr">
        <is>
          <t>##0"")</t>
        </is>
      </c>
    </row>
    <row r="7">
      <c r="A7" s="3" t="inlineStr">
        <is>
          <t>Planning</t>
        </is>
      </c>
      <c r="B7" s="4" t="inlineStr">
        <is>
          <t>Azure Landing Zone Design</t>
        </is>
      </c>
      <c r="C7" s="4" t="inlineStr">
        <is>
          <t>Design Azure landing zone architecture and governance model</t>
        </is>
      </c>
      <c r="D7" s="4" t="inlineStr">
        <is>
          <t>EO Engineer</t>
        </is>
      </c>
      <c r="E7" s="6" t="n">
        <v>48</v>
      </c>
      <c r="F7" s="4">
        <f>'Estimate Settings'!$C$25</f>
        <v/>
      </c>
      <c r="G7" s="4">
        <f>$E37*$F37</f>
        <v/>
      </c>
      <c r="H7" s="7" t="n">
        <v>200</v>
      </c>
      <c r="I7" s="4">
        <f>TEXT($G37*$H37</f>
        <v/>
      </c>
      <c r="J7" s="4" t="inlineStr">
        <is>
          <t>$#</t>
        </is>
      </c>
      <c r="K7" s="4" t="inlineStr">
        <is>
          <t>##0"")</t>
        </is>
      </c>
    </row>
    <row r="8">
      <c r="A8" s="3" t="inlineStr">
        <is>
          <t>Planning</t>
        </is>
      </c>
      <c r="B8" s="4" t="inlineStr">
        <is>
          <t>Identity and Access Design</t>
        </is>
      </c>
      <c r="C8" s="4" t="inlineStr">
        <is>
          <t>Design Azure AD integration and access management strategy</t>
        </is>
      </c>
      <c r="D8" s="4" t="inlineStr">
        <is>
          <t>EO Engineer</t>
        </is>
      </c>
      <c r="E8" s="6" t="n">
        <v>32</v>
      </c>
      <c r="F8" s="4">
        <f>'Estimate Settings'!$C$25</f>
        <v/>
      </c>
      <c r="G8" s="4">
        <f>$E38*$F38</f>
        <v/>
      </c>
      <c r="H8" s="7" t="n">
        <v>180</v>
      </c>
      <c r="I8" s="4">
        <f>TEXT($G38*$H38</f>
        <v/>
      </c>
      <c r="J8" s="4" t="inlineStr">
        <is>
          <t>$#</t>
        </is>
      </c>
      <c r="K8" s="4" t="inlineStr">
        <is>
          <t>##0"")</t>
        </is>
      </c>
    </row>
    <row r="9">
      <c r="A9" s="3" t="inlineStr">
        <is>
          <t>Planning</t>
        </is>
      </c>
      <c r="B9" s="4" t="inlineStr">
        <is>
          <t>Network Architecture Design</t>
        </is>
      </c>
      <c r="C9" s="4" t="inlineStr">
        <is>
          <t>Design Azure networking security and hybrid connectivity</t>
        </is>
      </c>
      <c r="D9" s="4" t="inlineStr">
        <is>
          <t>EO Engineer</t>
        </is>
      </c>
      <c r="E9" s="6" t="n">
        <v>24</v>
      </c>
      <c r="F9" s="4">
        <f>'Estimate Settings'!$C$25</f>
        <v/>
      </c>
      <c r="G9" s="4">
        <f>$E39*$F39</f>
        <v/>
      </c>
      <c r="H9" s="7" t="n">
        <v>175</v>
      </c>
      <c r="I9" s="4">
        <f>TEXT($G39*$H39</f>
        <v/>
      </c>
      <c r="J9" s="4" t="inlineStr">
        <is>
          <t>$#</t>
        </is>
      </c>
      <c r="K9" s="4" t="inlineStr">
        <is>
          <t>##0"")</t>
        </is>
      </c>
    </row>
    <row r="10">
      <c r="A10" s="3" t="inlineStr">
        <is>
          <t>Planning</t>
        </is>
      </c>
      <c r="B10" s="4" t="inlineStr">
        <is>
          <t>Project Planning</t>
        </is>
      </c>
      <c r="C10" s="4" t="inlineStr">
        <is>
          <t>Develop Azure implementation timeline and resource allocation</t>
        </is>
      </c>
      <c r="D10" s="4" t="inlineStr">
        <is>
          <t>EO Engineer</t>
        </is>
      </c>
      <c r="E10" s="6" t="n">
        <v>24</v>
      </c>
      <c r="F10" s="4">
        <f>'Estimate Settings'!$C$25</f>
        <v/>
      </c>
      <c r="G10" s="4">
        <f>$E40*$F40</f>
        <v/>
      </c>
      <c r="H10" s="7" t="n">
        <v>140</v>
      </c>
      <c r="I10" s="4">
        <f>TEXT($G40*$H40</f>
        <v/>
      </c>
      <c r="J10" s="4" t="inlineStr">
        <is>
          <t>$#</t>
        </is>
      </c>
      <c r="K10" s="4" t="inlineStr">
        <is>
          <t>##0"")</t>
        </is>
      </c>
    </row>
    <row r="11">
      <c r="A11" s="3" t="inlineStr">
        <is>
          <t>Development</t>
        </is>
      </c>
      <c r="B11" s="4" t="inlineStr">
        <is>
          <t>Management Groups and Subscriptions</t>
        </is>
      </c>
      <c r="C11" s="4" t="inlineStr">
        <is>
          <t>Configure Azure management groups subscription structure and policies</t>
        </is>
      </c>
      <c r="D11" s="4" t="inlineStr">
        <is>
          <t>EO Engineer</t>
        </is>
      </c>
      <c r="E11" s="6" t="n">
        <v>40</v>
      </c>
      <c r="F11" s="4">
        <f>'Estimate Settings'!$C$26</f>
        <v/>
      </c>
      <c r="G11" s="4">
        <f>$E41*$F41</f>
        <v/>
      </c>
      <c r="H11" s="7" t="n">
        <v>160</v>
      </c>
      <c r="I11" s="4">
        <f>TEXT($G41*$H41</f>
        <v/>
      </c>
      <c r="J11" s="4" t="inlineStr">
        <is>
          <t>$#</t>
        </is>
      </c>
      <c r="K11" s="4" t="inlineStr">
        <is>
          <t>##0"")</t>
        </is>
      </c>
    </row>
    <row r="12">
      <c r="A12" s="3" t="inlineStr">
        <is>
          <t>Development</t>
        </is>
      </c>
      <c r="B12" s="4" t="inlineStr">
        <is>
          <t>Azure Policy Implementation</t>
        </is>
      </c>
      <c r="C12" s="4" t="inlineStr">
        <is>
          <t>Implement Azure policies governance controls and compliance</t>
        </is>
      </c>
      <c r="D12" s="4" t="inlineStr">
        <is>
          <t>EO Engineer</t>
        </is>
      </c>
      <c r="E12" s="6" t="n">
        <v>60</v>
      </c>
      <c r="F12" s="4">
        <f>'Estimate Settings'!$C$26</f>
        <v/>
      </c>
      <c r="G12" s="4">
        <f>$E42*$F42</f>
        <v/>
      </c>
      <c r="H12" s="7" t="n">
        <v>145</v>
      </c>
      <c r="I12" s="4">
        <f>TEXT($G42*$H42</f>
        <v/>
      </c>
      <c r="J12" s="4" t="inlineStr">
        <is>
          <t>$#</t>
        </is>
      </c>
      <c r="K12" s="4" t="inlineStr">
        <is>
          <t>##0"")</t>
        </is>
      </c>
    </row>
    <row r="13">
      <c r="A13" s="3" t="inlineStr">
        <is>
          <t>Development</t>
        </is>
      </c>
      <c r="B13" s="4" t="inlineStr">
        <is>
          <t>Network Infrastructure</t>
        </is>
      </c>
      <c r="C13" s="4" t="inlineStr">
        <is>
          <t>Build Azure networking VNet peering and hybrid connectivity</t>
        </is>
      </c>
      <c r="D13" s="4" t="inlineStr">
        <is>
          <t>EO Engineer</t>
        </is>
      </c>
      <c r="E13" s="6" t="n">
        <v>48</v>
      </c>
      <c r="F13" s="4">
        <f>'Estimate Settings'!$C$26</f>
        <v/>
      </c>
      <c r="G13" s="4">
        <f>$E43*$F43</f>
        <v/>
      </c>
      <c r="H13" s="7" t="n">
        <v>140</v>
      </c>
      <c r="I13" s="4">
        <f>TEXT($G43*$H43</f>
        <v/>
      </c>
      <c r="J13" s="4" t="inlineStr">
        <is>
          <t>$#</t>
        </is>
      </c>
      <c r="K13" s="4" t="inlineStr">
        <is>
          <t>##0"")</t>
        </is>
      </c>
    </row>
    <row r="14">
      <c r="A14" s="3" t="inlineStr">
        <is>
          <t>Development</t>
        </is>
      </c>
      <c r="B14" s="4" t="inlineStr">
        <is>
          <t>Identity and Access Implementation</t>
        </is>
      </c>
      <c r="C14" s="4" t="inlineStr">
        <is>
          <t>Implement Azure AD integration access controls and SSO</t>
        </is>
      </c>
      <c r="D14" s="4" t="inlineStr">
        <is>
          <t>EO Engineer</t>
        </is>
      </c>
      <c r="E14" s="6" t="n">
        <v>40</v>
      </c>
      <c r="F14" s="4">
        <f>'Estimate Settings'!$C$26</f>
        <v/>
      </c>
      <c r="G14" s="4">
        <f>$E44*$F44</f>
        <v/>
      </c>
      <c r="H14" s="7" t="n">
        <v>155</v>
      </c>
      <c r="I14" s="4">
        <f>TEXT($G44*$H44</f>
        <v/>
      </c>
      <c r="J14" s="4" t="inlineStr">
        <is>
          <t>$#</t>
        </is>
      </c>
      <c r="K14" s="4" t="inlineStr">
        <is>
          <t>##0"")</t>
        </is>
      </c>
    </row>
    <row r="15">
      <c r="A15" s="3" t="inlineStr">
        <is>
          <t>Development</t>
        </is>
      </c>
      <c r="B15" s="4" t="inlineStr">
        <is>
          <t>Monitoring and Operations</t>
        </is>
      </c>
      <c r="C15" s="4" t="inlineStr">
        <is>
          <t>Build Azure monitoring logging alerting and operational tools</t>
        </is>
      </c>
      <c r="D15" s="4" t="inlineStr">
        <is>
          <t>EO Engineer</t>
        </is>
      </c>
      <c r="E15" s="6" t="n">
        <v>32</v>
      </c>
      <c r="F15" s="4">
        <f>'Estimate Settings'!$C$26</f>
        <v/>
      </c>
      <c r="G15" s="4">
        <f>$E45*$F45</f>
        <v/>
      </c>
      <c r="H15" s="7" t="n">
        <v>130</v>
      </c>
      <c r="I15" s="4">
        <f>TEXT($G45*$H45</f>
        <v/>
      </c>
      <c r="J15" s="4" t="inlineStr">
        <is>
          <t>$#</t>
        </is>
      </c>
      <c r="K15" s="4" t="inlineStr">
        <is>
          <t>##0"")</t>
        </is>
      </c>
    </row>
    <row r="16">
      <c r="A16" s="3" t="inlineStr">
        <is>
          <t>Testing</t>
        </is>
      </c>
      <c r="B16" s="4" t="inlineStr">
        <is>
          <t>Unit Testing</t>
        </is>
      </c>
      <c r="C16" s="4" t="inlineStr">
        <is>
          <t>Develop automated tests for all solution components</t>
        </is>
      </c>
      <c r="D16" s="4" t="inlineStr">
        <is>
          <t>EO Engineer</t>
        </is>
      </c>
      <c r="E16" s="6" t="n">
        <v>32</v>
      </c>
      <c r="F16" s="4">
        <f>'Estimate Settings'!$C$27</f>
        <v/>
      </c>
      <c r="G16" s="4">
        <f>$E46*$F46</f>
        <v/>
      </c>
      <c r="H16" s="7" t="n">
        <v>120</v>
      </c>
      <c r="I16" s="4">
        <f>TEXT($G46*$H46</f>
        <v/>
      </c>
      <c r="J16" s="4" t="inlineStr">
        <is>
          <t>$#</t>
        </is>
      </c>
      <c r="K16" s="4" t="inlineStr">
        <is>
          <t>##0"")</t>
        </is>
      </c>
    </row>
    <row r="17">
      <c r="A17" s="3" t="inlineStr">
        <is>
          <t>Testing</t>
        </is>
      </c>
      <c r="B17" s="4" t="inlineStr">
        <is>
          <t>Integration Testing</t>
        </is>
      </c>
      <c r="C17" s="4" t="inlineStr">
        <is>
          <t>Test system integrations data flows and external dependencies</t>
        </is>
      </c>
      <c r="D17" s="4" t="inlineStr">
        <is>
          <t>EO Engineer</t>
        </is>
      </c>
      <c r="E17" s="6" t="n">
        <v>40</v>
      </c>
      <c r="F17" s="4">
        <f>'Estimate Settings'!$C$27</f>
        <v/>
      </c>
      <c r="G17" s="4">
        <f>$E47*$F47</f>
        <v/>
      </c>
      <c r="H17" s="7" t="n">
        <v>120</v>
      </c>
      <c r="I17" s="4">
        <f>TEXT($G47*$H47</f>
        <v/>
      </c>
      <c r="J17" s="4" t="inlineStr">
        <is>
          <t>$#</t>
        </is>
      </c>
      <c r="K17" s="4" t="inlineStr">
        <is>
          <t>##0"")</t>
        </is>
      </c>
    </row>
    <row r="18">
      <c r="A18" s="3" t="inlineStr">
        <is>
          <t>Testing</t>
        </is>
      </c>
      <c r="B18" s="4" t="inlineStr">
        <is>
          <t>Performance Testing</t>
        </is>
      </c>
      <c r="C18" s="4" t="inlineStr">
        <is>
          <t>Conduct load performance and scalability testing</t>
        </is>
      </c>
      <c r="D18" s="4" t="inlineStr">
        <is>
          <t>EO Engineer</t>
        </is>
      </c>
      <c r="E18" s="6" t="n">
        <v>24</v>
      </c>
      <c r="F18" s="4">
        <f>'Estimate Settings'!$C$27</f>
        <v/>
      </c>
      <c r="G18" s="4">
        <f>$E48*$F48</f>
        <v/>
      </c>
      <c r="H18" s="7" t="n">
        <v>140</v>
      </c>
      <c r="I18" s="4">
        <f>TEXT($G48*$H48</f>
        <v/>
      </c>
      <c r="J18" s="4" t="inlineStr">
        <is>
          <t>$#</t>
        </is>
      </c>
      <c r="K18" s="4" t="inlineStr">
        <is>
          <t>##0"")</t>
        </is>
      </c>
    </row>
    <row r="19">
      <c r="A19" s="3" t="inlineStr">
        <is>
          <t>Testing</t>
        </is>
      </c>
      <c r="B19" s="4" t="inlineStr">
        <is>
          <t>Security Testing</t>
        </is>
      </c>
      <c r="C19" s="4" t="inlineStr">
        <is>
          <t>Perform security assessments penetration testing and compliance validation</t>
        </is>
      </c>
      <c r="D19" s="4" t="inlineStr">
        <is>
          <t>EO Engineer</t>
        </is>
      </c>
      <c r="E19" s="6" t="n">
        <v>16</v>
      </c>
      <c r="F19" s="4">
        <f>'Estimate Settings'!$C$27</f>
        <v/>
      </c>
      <c r="G19" s="4">
        <f>$E49*$F49</f>
        <v/>
      </c>
      <c r="H19" s="7" t="n">
        <v>175</v>
      </c>
      <c r="I19" s="4">
        <f>TEXT($G49*$H49</f>
        <v/>
      </c>
      <c r="J19" s="4" t="inlineStr">
        <is>
          <t>$#</t>
        </is>
      </c>
      <c r="K19" s="4" t="inlineStr">
        <is>
          <t>##0"")</t>
        </is>
      </c>
    </row>
    <row r="20">
      <c r="A20" s="3" t="inlineStr">
        <is>
          <t>Testing</t>
        </is>
      </c>
      <c r="B20" s="4" t="inlineStr">
        <is>
          <t>User Acceptance Testing</t>
        </is>
      </c>
      <c r="C20" s="4" t="inlineStr">
        <is>
          <t>Coordinate UAT with business users and stakeholders</t>
        </is>
      </c>
      <c r="D20" s="4" t="inlineStr">
        <is>
          <t>EO Engineer</t>
        </is>
      </c>
      <c r="E20" s="6" t="n">
        <v>32</v>
      </c>
      <c r="F20" s="4">
        <f>'Estimate Settings'!$C$27</f>
        <v/>
      </c>
      <c r="G20" s="4">
        <f>$E50*$F50</f>
        <v/>
      </c>
      <c r="H20" s="7" t="n">
        <v>150</v>
      </c>
      <c r="I20" s="4">
        <f>TEXT($G50*$H50</f>
        <v/>
      </c>
      <c r="J20" s="4" t="inlineStr">
        <is>
          <t>$#</t>
        </is>
      </c>
      <c r="K20" s="4" t="inlineStr">
        <is>
          <t>##0"")</t>
        </is>
      </c>
    </row>
    <row r="21">
      <c r="A21" s="3" t="inlineStr">
        <is>
          <t>Deployment</t>
        </is>
      </c>
      <c r="B21" s="4" t="inlineStr">
        <is>
          <t>Production Deployment</t>
        </is>
      </c>
      <c r="C21" s="4" t="inlineStr">
        <is>
          <t>Deploy landing zone to production environment</t>
        </is>
      </c>
      <c r="D21" s="4" t="inlineStr">
        <is>
          <t>EO Engineer</t>
        </is>
      </c>
      <c r="E21" s="6" t="n">
        <v>24</v>
      </c>
      <c r="F21" s="4">
        <f>'Estimate Settings'!$C$28</f>
        <v/>
      </c>
      <c r="G21" s="4">
        <f>$E51*$F51</f>
        <v/>
      </c>
      <c r="H21" s="7" t="n">
        <v>160</v>
      </c>
      <c r="I21" s="4">
        <f>TEXT($G51*$H51</f>
        <v/>
      </c>
      <c r="J21" s="4" t="inlineStr">
        <is>
          <t>$#</t>
        </is>
      </c>
      <c r="K21" s="4" t="inlineStr">
        <is>
          <t>##0"")</t>
        </is>
      </c>
    </row>
    <row r="22">
      <c r="A22" s="3" t="inlineStr">
        <is>
          <t>Deployment</t>
        </is>
      </c>
      <c r="B22" s="4" t="inlineStr">
        <is>
          <t>Go-Live Support</t>
        </is>
      </c>
      <c r="C22" s="4" t="inlineStr">
        <is>
          <t>Provide comprehensive support during initial production rollout</t>
        </is>
      </c>
      <c r="D22" s="4" t="inlineStr">
        <is>
          <t>EO Engineer</t>
        </is>
      </c>
      <c r="E22" s="6" t="n">
        <v>48</v>
      </c>
      <c r="F22" s="4">
        <f>'Estimate Settings'!$C$28</f>
        <v/>
      </c>
      <c r="G22" s="4">
        <f>$E52*$F52</f>
        <v/>
      </c>
      <c r="H22" s="7" t="n">
        <v>110</v>
      </c>
      <c r="I22" s="4">
        <f>TEXT($G52*$H52</f>
        <v/>
      </c>
      <c r="J22" s="4" t="inlineStr">
        <is>
          <t>$#</t>
        </is>
      </c>
      <c r="K22" s="4" t="inlineStr">
        <is>
          <t>##0"")</t>
        </is>
      </c>
    </row>
    <row r="23">
      <c r="A23" s="3" t="inlineStr">
        <is>
          <t>Training</t>
        </is>
      </c>
      <c r="B23" s="4" t="inlineStr">
        <is>
          <t>Administrator Training</t>
        </is>
      </c>
      <c r="C23" s="4" t="inlineStr">
        <is>
          <t>Train system administrators and technical support teams</t>
        </is>
      </c>
      <c r="D23" s="4" t="inlineStr">
        <is>
          <t>EO Engineer</t>
        </is>
      </c>
      <c r="E23" s="6" t="n">
        <v>16</v>
      </c>
      <c r="F23" s="4">
        <f>'Estimate Settings'!$C$29</f>
        <v/>
      </c>
      <c r="G23" s="4">
        <f>$E53*$F53</f>
        <v/>
      </c>
      <c r="H23" s="7" t="n">
        <v>130</v>
      </c>
      <c r="I23" s="4">
        <f>TEXT($G53*$H53</f>
        <v/>
      </c>
      <c r="J23" s="4" t="inlineStr">
        <is>
          <t>$#</t>
        </is>
      </c>
      <c r="K23" s="4" t="inlineStr">
        <is>
          <t>##0"")</t>
        </is>
      </c>
    </row>
    <row r="24">
      <c r="A24" s="3" t="inlineStr">
        <is>
          <t>Training</t>
        </is>
      </c>
      <c r="B24" s="4" t="inlineStr">
        <is>
          <t>End User Training</t>
        </is>
      </c>
      <c r="C24" s="4" t="inlineStr">
        <is>
          <t>Train business users on solution functionality and workflows</t>
        </is>
      </c>
      <c r="D24" s="4" t="inlineStr">
        <is>
          <t>EO Engineer</t>
        </is>
      </c>
      <c r="E24" s="6" t="n">
        <v>24</v>
      </c>
      <c r="F24" s="4">
        <f>'Estimate Settings'!$C$29</f>
        <v/>
      </c>
      <c r="G24" s="4">
        <f>$E54*$F54</f>
        <v/>
      </c>
      <c r="H24" s="7" t="n">
        <v>120</v>
      </c>
      <c r="I24" s="4">
        <f>TEXT($G54*$H54</f>
        <v/>
      </c>
      <c r="J24" s="4" t="inlineStr">
        <is>
          <t>$#</t>
        </is>
      </c>
      <c r="K24" s="4" t="inlineStr">
        <is>
          <t>##0"")</t>
        </is>
      </c>
    </row>
    <row r="25">
      <c r="A25" s="3" t="inlineStr">
        <is>
          <t>Training</t>
        </is>
      </c>
      <c r="B25" s="4" t="inlineStr">
        <is>
          <t>Documentation</t>
        </is>
      </c>
      <c r="C25" s="4" t="inlineStr">
        <is>
          <t>Create comprehensive technical and user documentation</t>
        </is>
      </c>
      <c r="D25" s="4" t="inlineStr">
        <is>
          <t>EO Engineer</t>
        </is>
      </c>
      <c r="E25" s="6" t="n">
        <v>32</v>
      </c>
      <c r="F25" s="4">
        <f>'Estimate Settings'!$C$29</f>
        <v/>
      </c>
      <c r="G25" s="4">
        <f>$E55*$F55</f>
        <v/>
      </c>
      <c r="H25" s="7" t="n">
        <v>110</v>
      </c>
      <c r="I25" s="4">
        <f>TEXT($G55*$H55</f>
        <v/>
      </c>
      <c r="J25" s="4" t="inlineStr">
        <is>
          <t>$#</t>
        </is>
      </c>
      <c r="K25" s="4" t="inlineStr">
        <is>
          <t>##0"")</t>
        </is>
      </c>
    </row>
    <row r="26">
      <c r="A26" s="3" t="inlineStr">
        <is>
          <t>Closeout</t>
        </is>
      </c>
      <c r="B26" s="4" t="inlineStr">
        <is>
          <t>Knowledge Transfer</t>
        </is>
      </c>
      <c r="C26" s="4" t="inlineStr">
        <is>
          <t>Transfer solution ownership to operations and support teams</t>
        </is>
      </c>
      <c r="D26" s="4" t="inlineStr">
        <is>
          <t>EO Engineer</t>
        </is>
      </c>
      <c r="E26" s="6" t="n">
        <v>16</v>
      </c>
      <c r="F26" s="4">
        <f>'Estimate Settings'!$C$30</f>
        <v/>
      </c>
      <c r="G26" s="4">
        <f>$E56*$F56</f>
        <v/>
      </c>
      <c r="H26" s="7" t="n">
        <v>140</v>
      </c>
      <c r="I26" s="4">
        <f>TEXT($G56*$H56</f>
        <v/>
      </c>
      <c r="J26" s="4" t="inlineStr">
        <is>
          <t>$#</t>
        </is>
      </c>
      <c r="K26" s="4" t="inlineStr">
        <is>
          <t>##0"")</t>
        </is>
      </c>
    </row>
    <row r="27">
      <c r="A27" s="3" t="inlineStr">
        <is>
          <t>Closeout</t>
        </is>
      </c>
      <c r="B27" s="4" t="inlineStr">
        <is>
          <t>Performance Baseline</t>
        </is>
      </c>
      <c r="C27" s="4" t="inlineStr">
        <is>
          <t>Establish performance metrics monitoring baselines and SLAs</t>
        </is>
      </c>
      <c r="D27" s="4" t="inlineStr">
        <is>
          <t>EO Engineer</t>
        </is>
      </c>
      <c r="E27" s="6" t="n">
        <v>8</v>
      </c>
      <c r="F27" s="4">
        <f>'Estimate Settings'!$C$30</f>
        <v/>
      </c>
      <c r="G27" s="4">
        <f>$E57*$F57</f>
        <v/>
      </c>
      <c r="H27" s="7" t="n">
        <v>130</v>
      </c>
      <c r="I27" s="4">
        <f>TEXT($G57*$H57</f>
        <v/>
      </c>
      <c r="J27" s="4" t="inlineStr">
        <is>
          <t>$#</t>
        </is>
      </c>
      <c r="K27" s="4" t="inlineStr">
        <is>
          <t>##0"")</t>
        </is>
      </c>
    </row>
    <row r="28">
      <c r="A28" s="3" t="inlineStr">
        <is>
          <t>Management</t>
        </is>
      </c>
      <c r="B28" s="4" t="inlineStr">
        <is>
          <t>Technical Leadership</t>
        </is>
      </c>
      <c r="C28" s="4" t="inlineStr">
        <is>
          <t>Quarterback technical oversight and architecture review</t>
        </is>
      </c>
      <c r="D28" s="4" t="inlineStr">
        <is>
          <t>EO Quarterback</t>
        </is>
      </c>
      <c r="E28" s="4">
        <f>ROUND(SUM($G$33:$G$57)*0.10</f>
        <v/>
      </c>
      <c r="F28" s="5" t="n">
        <v>0</v>
      </c>
      <c r="G28" s="4">
        <f>'Estimate Settings'!$C$32</f>
        <v/>
      </c>
      <c r="H28" s="4">
        <f>$E58*$F58</f>
        <v/>
      </c>
      <c r="I28" s="7" t="n">
        <v>200</v>
      </c>
      <c r="J28" s="4">
        <f>TEXT($G58*$H58</f>
        <v/>
      </c>
      <c r="K28" s="4" t="inlineStr">
        <is>
          <t>$#</t>
        </is>
      </c>
    </row>
    <row r="29">
      <c r="A29" s="3" t="inlineStr">
        <is>
          <t>Management</t>
        </is>
      </c>
      <c r="B29" s="4" t="inlineStr">
        <is>
          <t>Project Management</t>
        </is>
      </c>
      <c r="C29" s="4" t="inlineStr">
        <is>
          <t>Project coordination planning and management activities</t>
        </is>
      </c>
      <c r="D29" s="4" t="inlineStr">
        <is>
          <t>EO Project Manager</t>
        </is>
      </c>
      <c r="E29" s="4">
        <f>ROUND(SUM($G$33:$G$57)*0.10</f>
        <v/>
      </c>
      <c r="F29" s="5" t="n">
        <v>0</v>
      </c>
      <c r="G29" s="4">
        <f>'Estimate Settings'!$C$31</f>
        <v/>
      </c>
      <c r="H29" s="4">
        <f>$E59*$F59</f>
        <v/>
      </c>
      <c r="I29" s="7" t="n">
        <v>150</v>
      </c>
      <c r="J29" s="4">
        <f>TEXT($G59*$H59</f>
        <v/>
      </c>
      <c r="K29" s="4" t="inlineStr">
        <is>
          <t>$#</t>
        </is>
      </c>
    </row>
    <row r="30">
      <c r="A30" s="3" t="inlineStr"/>
      <c r="B30" s="4" t="inlineStr"/>
      <c r="C30" s="4" t="inlineStr"/>
      <c r="D30" s="4" t="inlineStr"/>
      <c r="E30" s="4" t="inlineStr"/>
      <c r="F30" s="4" t="inlineStr">
        <is>
          <t>TOTAL HOURS</t>
        </is>
      </c>
      <c r="G30" s="4">
        <f>SUM($G$33:$G$59)</f>
        <v/>
      </c>
      <c r="H30" s="4" t="inlineStr">
        <is>
          <t>TOTAL COST</t>
        </is>
      </c>
      <c r="I30" s="4">
        <f>TEXT(SUMPRODUCT($G$33:$G$59</f>
        <v/>
      </c>
      <c r="J30" s="4" t="inlineStr">
        <is>
          <t>$H$33:$H$59)</t>
        </is>
      </c>
      <c r="K30" s="4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2025-11-19T10:05:21Z</dcterms:created>
  <dcterms:modified xmlns:dcterms="http://purl.org/dc/terms/" xmlns:xsi="http://www.w3.org/2001/XMLSchema-instance" xsi:type="dcterms:W3CDTF">2025-11-19T10:05:21Z</dcterms:modified>
</cp:coreProperties>
</file>