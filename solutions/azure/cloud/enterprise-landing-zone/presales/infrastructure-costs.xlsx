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Costs'!$A$2:$K$24</definedName>
    <definedName name="_xlnm._FilterDatabase" localSheetId="3" hidden="1">'Credits'!$A$2:$D$7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Enterprise Landing Zone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Cloud Infrastructure</t>
        </is>
      </c>
      <c r="B3" s="38" t="inlineStr">
        <is>
          <t>Subscriptions</t>
        </is>
      </c>
      <c r="C3" s="39" t="inlineStr">
        <is>
          <t>5-10 subscriptions</t>
        </is>
      </c>
      <c r="D3" s="39" t="inlineStr">
        <is>
          <t>10-25 subscriptions</t>
        </is>
      </c>
      <c r="E3" s="39" t="inlineStr">
        <is>
          <t>50+ subscriptions</t>
        </is>
      </c>
      <c r="F3" s="38" t="inlineStr">
        <is>
          <t>Total Azure subscriptions to manage</t>
        </is>
      </c>
    </row>
    <row r="4" ht="26" customHeight="1">
      <c r="A4" s="40" t="inlineStr">
        <is>
          <t>Cloud Infrastructure</t>
        </is>
      </c>
      <c r="B4" s="41" t="inlineStr">
        <is>
          <t>Management Groups</t>
        </is>
      </c>
      <c r="C4" s="42" t="inlineStr">
        <is>
          <t>2-3 levels</t>
        </is>
      </c>
      <c r="D4" s="42" t="inlineStr">
        <is>
          <t>4-5 levels</t>
        </is>
      </c>
      <c r="E4" s="42" t="inlineStr">
        <is>
          <t>6+ levels deep</t>
        </is>
      </c>
      <c r="F4" s="41" t="inlineStr">
        <is>
          <t>Organizational hierarchy complexity</t>
        </is>
      </c>
    </row>
    <row r="5" ht="26" customHeight="1">
      <c r="A5" s="37" t="inlineStr">
        <is>
          <t>Cloud Infrastructure</t>
        </is>
      </c>
      <c r="B5" s="38" t="inlineStr">
        <is>
          <t>Virtual WAN Hubs</t>
        </is>
      </c>
      <c r="C5" s="39" t="inlineStr">
        <is>
          <t>1-2 regional hubs</t>
        </is>
      </c>
      <c r="D5" s="39" t="inlineStr">
        <is>
          <t>2-3 regional hubs</t>
        </is>
      </c>
      <c r="E5" s="39" t="inlineStr">
        <is>
          <t>4+ global hubs</t>
        </is>
      </c>
      <c r="F5" s="38" t="inlineStr">
        <is>
          <t>Network connectivity points</t>
        </is>
      </c>
    </row>
    <row r="6" ht="26" customHeight="1">
      <c r="A6" s="40" t="inlineStr">
        <is>
          <t>Cloud Infrastructure</t>
        </is>
      </c>
      <c r="B6" s="41" t="inlineStr">
        <is>
          <t>ExpressRoute Circuits</t>
        </is>
      </c>
      <c r="C6" s="42" t="inlineStr">
        <is>
          <t>1 circuit</t>
        </is>
      </c>
      <c r="D6" s="42" t="inlineStr">
        <is>
          <t>2 circuits</t>
        </is>
      </c>
      <c r="E6" s="42" t="inlineStr">
        <is>
          <t>4+ circuits</t>
        </is>
      </c>
      <c r="F6" s="41" t="inlineStr">
        <is>
          <t>Hybrid connectivity requirements</t>
        </is>
      </c>
    </row>
    <row r="7" ht="26" customHeight="1">
      <c r="A7" s="37" t="inlineStr">
        <is>
          <t>Cloud Infrastructure</t>
        </is>
      </c>
      <c r="B7" s="38" t="inlineStr">
        <is>
          <t>Connected VNets</t>
        </is>
      </c>
      <c r="C7" s="39" t="inlineStr">
        <is>
          <t>5-10 VNets</t>
        </is>
      </c>
      <c r="D7" s="39" t="inlineStr">
        <is>
          <t>10-25 VNets</t>
        </is>
      </c>
      <c r="E7" s="39" t="inlineStr">
        <is>
          <t>50+ VNets</t>
        </is>
      </c>
      <c r="F7" s="38" t="inlineStr">
        <is>
          <t>Virtual networks in hub-spoke</t>
        </is>
      </c>
    </row>
    <row r="8" ht="26" customHeight="1">
      <c r="A8" s="40" t="inlineStr">
        <is>
          <t>Cloud Infrastructure</t>
        </is>
      </c>
      <c r="B8" s="41" t="inlineStr">
        <is>
          <t>Log Analytics Volume</t>
        </is>
      </c>
      <c r="C8" s="42" t="inlineStr">
        <is>
          <t>100-500 GB/month</t>
        </is>
      </c>
      <c r="D8" s="42" t="inlineStr">
        <is>
          <t>500 GB - 2 TB/month</t>
        </is>
      </c>
      <c r="E8" s="42" t="inlineStr">
        <is>
          <t>2+ TB/month</t>
        </is>
      </c>
      <c r="F8" s="41" t="inlineStr">
        <is>
          <t>Centralized logging capacity</t>
        </is>
      </c>
    </row>
    <row r="9" ht="26" customHeight="1">
      <c r="A9" s="37" t="inlineStr">
        <is>
          <t>Software Licenses</t>
        </is>
      </c>
      <c r="B9" s="38" t="inlineStr">
        <is>
          <t>Azure Sentinel Volume</t>
        </is>
      </c>
      <c r="C9" s="39" t="inlineStr">
        <is>
          <t>50-200 GB/month</t>
        </is>
      </c>
      <c r="D9" s="39" t="inlineStr">
        <is>
          <t>200-500 GB/month</t>
        </is>
      </c>
      <c r="E9" s="39" t="inlineStr">
        <is>
          <t>1+ TB/month</t>
        </is>
      </c>
      <c r="F9" s="38" t="inlineStr">
        <is>
          <t>SIEM data ingestion</t>
        </is>
      </c>
    </row>
    <row r="10" ht="26" customHeight="1">
      <c r="A10" s="40" t="inlineStr">
        <is>
          <t>Software Licenses</t>
        </is>
      </c>
      <c r="B10" s="41" t="inlineStr">
        <is>
          <t>Defender for Cloud Scope</t>
        </is>
      </c>
      <c r="C10" s="42" t="inlineStr">
        <is>
          <t>Standard tier</t>
        </is>
      </c>
      <c r="D10" s="42" t="inlineStr">
        <is>
          <t>Premium tier</t>
        </is>
      </c>
      <c r="E10" s="42" t="inlineStr">
        <is>
          <t>Enterprise tier</t>
        </is>
      </c>
      <c r="F10" s="41" t="inlineStr">
        <is>
          <t>Security coverage level</t>
        </is>
      </c>
    </row>
    <row r="11" ht="26" customHeight="1">
      <c r="A11" s="37" t="inlineStr">
        <is>
          <t>Support &amp; Maintenance</t>
        </is>
      </c>
      <c r="B11" s="38" t="inlineStr">
        <is>
          <t>Support Level</t>
        </is>
      </c>
      <c r="C11" s="39" t="inlineStr">
        <is>
          <t>Business hours</t>
        </is>
      </c>
      <c r="D11" s="39" t="inlineStr">
        <is>
          <t>24x5 support</t>
        </is>
      </c>
      <c r="E11" s="39" t="inlineStr">
        <is>
          <t>24x7 premium</t>
        </is>
      </c>
      <c r="F11" s="38" t="inlineStr">
        <is>
          <t>SLA requirements</t>
        </is>
      </c>
    </row>
    <row r="12" ht="26" customHeight="1">
      <c r="A12" s="40" t="inlineStr">
        <is>
          <t>Professional Services</t>
        </is>
      </c>
      <c r="B12" s="41" t="inlineStr">
        <is>
          <t>Implementation Hours</t>
        </is>
      </c>
      <c r="C12" s="42" t="inlineStr">
        <is>
          <t>400-500 hours</t>
        </is>
      </c>
      <c r="D12" s="42" t="inlineStr">
        <is>
          <t>500-800 hours</t>
        </is>
      </c>
      <c r="E12" s="42" t="inlineStr">
        <is>
          <t>1000+ hours</t>
        </is>
      </c>
      <c r="F12" s="41" t="inlineStr">
        <is>
          <t>Engagement complexity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Cloud Infrastructure</t>
        </is>
      </c>
      <c r="B3" s="44" t="inlineStr">
        <is>
          <t>Virtual WAN</t>
        </is>
      </c>
      <c r="C3" s="44" t="inlineStr">
        <is>
          <t>Premium tier for global connectivity</t>
        </is>
      </c>
      <c r="D3" s="45" t="n">
        <v>2</v>
      </c>
      <c r="E3" s="44" t="inlineStr">
        <is>
          <t>Hubs/Month</t>
        </is>
      </c>
      <c r="F3" s="46" t="n">
        <v>260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Regional network hubs</t>
        </is>
      </c>
    </row>
    <row r="4" ht="26" customHeight="1">
      <c r="A4" s="47" t="inlineStr">
        <is>
          <t>Cloud Infrastructure</t>
        </is>
      </c>
      <c r="B4" s="48" t="inlineStr">
        <is>
          <t>Azure Firewall</t>
        </is>
      </c>
      <c r="C4" s="48" t="inlineStr">
        <is>
          <t>Premium tier for advanced threat protection</t>
        </is>
      </c>
      <c r="D4" s="49" t="n">
        <v>2</v>
      </c>
      <c r="E4" s="48" t="inlineStr">
        <is>
          <t>Instances/Month</t>
        </is>
      </c>
      <c r="F4" s="50" t="n">
        <v>625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Network security</t>
        </is>
      </c>
    </row>
    <row r="5" ht="26" customHeight="1">
      <c r="A5" s="43" t="inlineStr">
        <is>
          <t>Cloud Infrastructure</t>
        </is>
      </c>
      <c r="B5" s="44" t="inlineStr">
        <is>
          <t>DDoS Protection</t>
        </is>
      </c>
      <c r="C5" s="44" t="inlineStr">
        <is>
          <t>Standard network-wide DDoS protection</t>
        </is>
      </c>
      <c r="D5" s="45" t="n">
        <v>1</v>
      </c>
      <c r="E5" s="44" t="inlineStr">
        <is>
          <t>Service/Month</t>
        </is>
      </c>
      <c r="F5" s="46" t="n">
        <v>250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DDoS mitigation</t>
        </is>
      </c>
    </row>
    <row r="6" ht="26" customHeight="1">
      <c r="A6" s="47" t="inlineStr">
        <is>
          <t>Cloud Infrastructure</t>
        </is>
      </c>
      <c r="B6" s="48" t="inlineStr">
        <is>
          <t>Private DNS Zones</t>
        </is>
      </c>
      <c r="C6" s="48" t="inlineStr">
        <is>
          <t>DNS hosting for private endpoints</t>
        </is>
      </c>
      <c r="D6" s="49" t="n">
        <v>20</v>
      </c>
      <c r="E6" s="48" t="inlineStr">
        <is>
          <t>Zones/Month</t>
        </is>
      </c>
      <c r="F6" s="50" t="n">
        <v>0.5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Private DNS</t>
        </is>
      </c>
    </row>
    <row r="7" ht="26" customHeight="1">
      <c r="A7" s="43" t="inlineStr">
        <is>
          <t>Cloud Infrastructure</t>
        </is>
      </c>
      <c r="B7" s="44" t="inlineStr">
        <is>
          <t>Azure Bastion</t>
        </is>
      </c>
      <c r="C7" s="44" t="inlineStr">
        <is>
          <t>Secure RDP/SSH access</t>
        </is>
      </c>
      <c r="D7" s="45" t="n">
        <v>2</v>
      </c>
      <c r="E7" s="44" t="inlineStr">
        <is>
          <t>Instances/Month</t>
        </is>
      </c>
      <c r="F7" s="46" t="n">
        <v>75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Secure access</t>
        </is>
      </c>
    </row>
    <row r="8" ht="26" customHeight="1">
      <c r="A8" s="47" t="inlineStr">
        <is>
          <t>Cloud Infrastructure</t>
        </is>
      </c>
      <c r="B8" s="48" t="inlineStr">
        <is>
          <t>Log Analytics</t>
        </is>
      </c>
      <c r="C8" s="48" t="inlineStr">
        <is>
          <t>Centralized logging</t>
        </is>
      </c>
      <c r="D8" s="49" t="n">
        <v>500</v>
      </c>
      <c r="E8" s="48" t="inlineStr">
        <is>
          <t>GB/Month</t>
        </is>
      </c>
      <c r="F8" s="50" t="n">
        <v>2.25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Operational logging</t>
        </is>
      </c>
    </row>
    <row r="9" ht="26" customHeight="1">
      <c r="A9" s="43" t="inlineStr">
        <is>
          <t>Cloud Infrastructure</t>
        </is>
      </c>
      <c r="B9" s="44" t="inlineStr">
        <is>
          <t>Virtual Network</t>
        </is>
      </c>
      <c r="C9" s="44" t="inlineStr">
        <is>
          <t>Hub and spoke VNets</t>
        </is>
      </c>
      <c r="D9" s="45" t="n">
        <v>10</v>
      </c>
      <c r="E9" s="44" t="inlineStr">
        <is>
          <t>VNets/Month</t>
        </is>
      </c>
      <c r="F9" s="46" t="n">
        <v>0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Network infrastructure</t>
        </is>
      </c>
    </row>
    <row r="10" ht="26" customHeight="1">
      <c r="A10" s="47" t="inlineStr">
        <is>
          <t>Cloud Infrastructure</t>
        </is>
      </c>
      <c r="B10" s="48" t="inlineStr">
        <is>
          <t>ExpressRoute</t>
        </is>
      </c>
      <c r="C10" s="48" t="inlineStr">
        <is>
          <t>Hybrid connectivity</t>
        </is>
      </c>
      <c r="D10" s="49" t="n">
        <v>1</v>
      </c>
      <c r="E10" s="48" t="inlineStr">
        <is>
          <t>Circuit/Month</t>
        </is>
      </c>
      <c r="F10" s="50" t="n">
        <v>1500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1 Gbps circuit</t>
        </is>
      </c>
    </row>
    <row r="11" ht="26" customHeight="1">
      <c r="A11" s="43" t="inlineStr">
        <is>
          <t>Software Licenses</t>
        </is>
      </c>
      <c r="B11" s="44" t="inlineStr">
        <is>
          <t>Azure Monitor</t>
        </is>
      </c>
      <c r="C11" s="44" t="inlineStr">
        <is>
          <t>Application and infrastructure monitoring</t>
        </is>
      </c>
      <c r="D11" s="45" t="n">
        <v>1</v>
      </c>
      <c r="E11" s="44" t="inlineStr">
        <is>
          <t>Service/Month</t>
        </is>
      </c>
      <c r="F11" s="46" t="n">
        <v>300</v>
      </c>
      <c r="G11" s="46">
        <f>D11*F11*12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Monitoring platform</t>
        </is>
      </c>
    </row>
    <row r="12" ht="26" customHeight="1">
      <c r="A12" s="47" t="inlineStr">
        <is>
          <t>Software Licenses</t>
        </is>
      </c>
      <c r="B12" s="48" t="inlineStr">
        <is>
          <t>Azure Sentinel</t>
        </is>
      </c>
      <c r="C12" s="48" t="inlineStr">
        <is>
          <t>SIEM/SOAR for security operations</t>
        </is>
      </c>
      <c r="D12" s="49" t="n">
        <v>200</v>
      </c>
      <c r="E12" s="48" t="inlineStr">
        <is>
          <t>GB/Month</t>
        </is>
      </c>
      <c r="F12" s="50" t="n">
        <v>75</v>
      </c>
      <c r="G12" s="50">
        <f>D12*F12*12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Security monitoring</t>
        </is>
      </c>
    </row>
    <row r="13" ht="26" customHeight="1">
      <c r="A13" s="43" t="inlineStr">
        <is>
          <t>Software Licenses</t>
        </is>
      </c>
      <c r="B13" s="44" t="inlineStr">
        <is>
          <t>Azure Policy</t>
        </is>
      </c>
      <c r="C13" s="44" t="inlineStr">
        <is>
          <t>Governance and compliance enforcement</t>
        </is>
      </c>
      <c r="D13" s="45" t="n">
        <v>1</v>
      </c>
      <c r="E13" s="44" t="inlineStr">
        <is>
          <t>Service/Month</t>
        </is>
      </c>
      <c r="F13" s="46" t="n">
        <v>0</v>
      </c>
      <c r="G13" s="46">
        <f>D13*F13*12</f>
        <v/>
      </c>
      <c r="H13" s="46">
        <f>G13</f>
        <v/>
      </c>
      <c r="I13" s="46">
        <f>G13</f>
        <v/>
      </c>
      <c r="J13" s="46">
        <f>G13+H13+I13</f>
        <v/>
      </c>
      <c r="K13" s="44" t="inlineStr">
        <is>
          <t>Included service</t>
        </is>
      </c>
    </row>
    <row r="14" ht="26" customHeight="1">
      <c r="A14" s="47" t="inlineStr">
        <is>
          <t>Software Licenses</t>
        </is>
      </c>
      <c r="B14" s="48" t="inlineStr">
        <is>
          <t>Defender for Cloud</t>
        </is>
      </c>
      <c r="C14" s="48" t="inlineStr">
        <is>
          <t>Standard tier for all subscriptions</t>
        </is>
      </c>
      <c r="D14" s="49" t="n">
        <v>1</v>
      </c>
      <c r="E14" s="48" t="inlineStr">
        <is>
          <t>Service/Month</t>
        </is>
      </c>
      <c r="F14" s="50" t="n">
        <v>750</v>
      </c>
      <c r="G14" s="50">
        <f>D14*F14*12</f>
        <v/>
      </c>
      <c r="H14" s="50">
        <f>G14</f>
        <v/>
      </c>
      <c r="I14" s="50">
        <f>G14</f>
        <v/>
      </c>
      <c r="J14" s="50">
        <f>G14+H14+I14</f>
        <v/>
      </c>
      <c r="K14" s="48" t="inlineStr">
        <is>
          <t>Cloud security posture</t>
        </is>
      </c>
    </row>
    <row r="15" ht="26" customHeight="1">
      <c r="A15" s="43" t="inlineStr">
        <is>
          <t>Support &amp; Maintenance</t>
        </is>
      </c>
      <c r="B15" s="44" t="inlineStr">
        <is>
          <t>Azure Support</t>
        </is>
      </c>
      <c r="C15" s="44" t="inlineStr">
        <is>
          <t>Professional Direct support plan</t>
        </is>
      </c>
      <c r="D15" s="45" t="n">
        <v>1</v>
      </c>
      <c r="E15" s="44" t="inlineStr">
        <is>
          <t>Plan/Month</t>
        </is>
      </c>
      <c r="F15" s="46" t="n">
        <v>1000</v>
      </c>
      <c r="G15" s="46">
        <f>D15*F15*12</f>
        <v/>
      </c>
      <c r="H15" s="46">
        <f>G15</f>
        <v/>
      </c>
      <c r="I15" s="46">
        <f>G15</f>
        <v/>
      </c>
      <c r="J15" s="46">
        <f>G15+H15+I15</f>
        <v/>
      </c>
      <c r="K15" s="44" t="inlineStr">
        <is>
          <t>Technical support</t>
        </is>
      </c>
    </row>
    <row r="16" ht="26" customHeight="1">
      <c r="A16" s="47" t="inlineStr">
        <is>
          <t>Support &amp; Maintenance</t>
        </is>
      </c>
      <c r="B16" s="48" t="inlineStr">
        <is>
          <t>Governance Optimization</t>
        </is>
      </c>
      <c r="C16" s="48" t="inlineStr">
        <is>
          <t>Quarterly reviews and policy updates</t>
        </is>
      </c>
      <c r="D16" s="49" t="n">
        <v>40</v>
      </c>
      <c r="E16" s="48" t="inlineStr">
        <is>
          <t>Hours/Year</t>
        </is>
      </c>
      <c r="F16" s="50" t="n">
        <v>200</v>
      </c>
      <c r="G16" s="50">
        <f>D16*F16</f>
        <v/>
      </c>
      <c r="H16" s="50">
        <f>G16</f>
        <v/>
      </c>
      <c r="I16" s="50">
        <f>G16</f>
        <v/>
      </c>
      <c r="J16" s="50">
        <f>G16+H16+I16</f>
        <v/>
      </c>
      <c r="K16" s="48" t="inlineStr">
        <is>
          <t>Ongoing governance</t>
        </is>
      </c>
    </row>
    <row r="17" ht="26" customHeight="1">
      <c r="A17" s="43" t="inlineStr">
        <is>
          <t>Support &amp; Maintenance</t>
        </is>
      </c>
      <c r="B17" s="44" t="inlineStr">
        <is>
          <t>Security Operations</t>
        </is>
      </c>
      <c r="C17" s="44" t="inlineStr">
        <is>
          <t>Monthly security reviews and threat hunting</t>
        </is>
      </c>
      <c r="D17" s="45" t="n">
        <v>24</v>
      </c>
      <c r="E17" s="44" t="inlineStr">
        <is>
          <t>Hours/Year</t>
        </is>
      </c>
      <c r="F17" s="46" t="n">
        <v>200</v>
      </c>
      <c r="G17" s="46">
        <f>D17*F17</f>
        <v/>
      </c>
      <c r="H17" s="46">
        <f>G17</f>
        <v/>
      </c>
      <c r="I17" s="46">
        <f>G17</f>
        <v/>
      </c>
      <c r="J17" s="46">
        <f>G17+H17+I17</f>
        <v/>
      </c>
      <c r="K17" s="44" t="inlineStr">
        <is>
          <t>Security support</t>
        </is>
      </c>
    </row>
    <row r="18" ht="26" customHeight="1">
      <c r="A18" s="47" t="inlineStr">
        <is>
          <t>Professional Services</t>
        </is>
      </c>
      <c r="B18" s="48" t="inlineStr">
        <is>
          <t>Enterprise Architecture</t>
        </is>
      </c>
      <c r="C18" s="48" t="inlineStr">
        <is>
          <t>Landing zone architecture and governance framework</t>
        </is>
      </c>
      <c r="D18" s="49" t="n">
        <v>120</v>
      </c>
      <c r="E18" s="48" t="inlineStr">
        <is>
          <t>Hours</t>
        </is>
      </c>
      <c r="F18" s="50" t="n">
        <v>225</v>
      </c>
      <c r="G18" s="50">
        <f>D18*F18</f>
        <v/>
      </c>
      <c r="H18" s="50">
        <f>0</f>
        <v/>
      </c>
      <c r="I18" s="50">
        <f>0</f>
        <v/>
      </c>
      <c r="J18" s="50">
        <f>G18</f>
        <v/>
      </c>
      <c r="K18" s="48" t="inlineStr">
        <is>
          <t>One-time design</t>
        </is>
      </c>
    </row>
    <row r="19" ht="26" customHeight="1">
      <c r="A19" s="43" t="inlineStr">
        <is>
          <t>Professional Services</t>
        </is>
      </c>
      <c r="B19" s="44" t="inlineStr">
        <is>
          <t>Landing Zone Implementation</t>
        </is>
      </c>
      <c r="C19" s="44" t="inlineStr">
        <is>
          <t>Management groups subscription structure networking policies</t>
        </is>
      </c>
      <c r="D19" s="45" t="n">
        <v>240</v>
      </c>
      <c r="E19" s="44" t="inlineStr">
        <is>
          <t>Hours</t>
        </is>
      </c>
      <c r="F19" s="46" t="n">
        <v>200</v>
      </c>
      <c r="G19" s="46">
        <f>D19*F19</f>
        <v/>
      </c>
      <c r="H19" s="46">
        <f>0</f>
        <v/>
      </c>
      <c r="I19" s="46">
        <f>0</f>
        <v/>
      </c>
      <c r="J19" s="46">
        <f>G19</f>
        <v/>
      </c>
      <c r="K19" s="44" t="inlineStr">
        <is>
          <t>One-time implementation</t>
        </is>
      </c>
    </row>
    <row r="20" ht="26" customHeight="1">
      <c r="A20" s="47" t="inlineStr">
        <is>
          <t>Professional Services</t>
        </is>
      </c>
      <c r="B20" s="48" t="inlineStr">
        <is>
          <t>Security Compliance Setup</t>
        </is>
      </c>
      <c r="C20" s="48" t="inlineStr">
        <is>
          <t>Azure Policy Azure Sentinel RBAC configuration</t>
        </is>
      </c>
      <c r="D20" s="49" t="n">
        <v>80</v>
      </c>
      <c r="E20" s="48" t="inlineStr">
        <is>
          <t>Hours</t>
        </is>
      </c>
      <c r="F20" s="50" t="n">
        <v>200</v>
      </c>
      <c r="G20" s="50">
        <f>D20*F20</f>
        <v/>
      </c>
      <c r="H20" s="50">
        <f>0</f>
        <v/>
      </c>
      <c r="I20" s="50">
        <f>0</f>
        <v/>
      </c>
      <c r="J20" s="50">
        <f>G20</f>
        <v/>
      </c>
      <c r="K20" s="48" t="inlineStr">
        <is>
          <t>One-time setup</t>
        </is>
      </c>
    </row>
    <row r="21" ht="26" customHeight="1">
      <c r="A21" s="43" t="inlineStr">
        <is>
          <t>Professional Services</t>
        </is>
      </c>
      <c r="B21" s="44" t="inlineStr">
        <is>
          <t>Network Implementation</t>
        </is>
      </c>
      <c r="C21" s="44" t="inlineStr">
        <is>
          <t>Hub-spoke topology Azure Firewall Private DNS zones</t>
        </is>
      </c>
      <c r="D21" s="45" t="n">
        <v>120</v>
      </c>
      <c r="E21" s="44" t="inlineStr">
        <is>
          <t>Hours</t>
        </is>
      </c>
      <c r="F21" s="46" t="n">
        <v>200</v>
      </c>
      <c r="G21" s="46">
        <f>D21*F21</f>
        <v/>
      </c>
      <c r="H21" s="46">
        <f>0</f>
        <v/>
      </c>
      <c r="I21" s="46">
        <f>0</f>
        <v/>
      </c>
      <c r="J21" s="46">
        <f>G21</f>
        <v/>
      </c>
      <c r="K21" s="44" t="inlineStr">
        <is>
          <t>One-time network build</t>
        </is>
      </c>
    </row>
    <row r="22" ht="26" customHeight="1">
      <c r="A22" s="47" t="inlineStr">
        <is>
          <t>Professional Services</t>
        </is>
      </c>
      <c r="B22" s="48" t="inlineStr">
        <is>
          <t>Identity Access Management</t>
        </is>
      </c>
      <c r="C22" s="48" t="inlineStr">
        <is>
          <t>Azure AD integration RBAC design Conditional Access</t>
        </is>
      </c>
      <c r="D22" s="49" t="n">
        <v>60</v>
      </c>
      <c r="E22" s="48" t="inlineStr">
        <is>
          <t>Hours</t>
        </is>
      </c>
      <c r="F22" s="50" t="n">
        <v>200</v>
      </c>
      <c r="G22" s="50">
        <f>D22*F22</f>
        <v/>
      </c>
      <c r="H22" s="50">
        <f>0</f>
        <v/>
      </c>
      <c r="I22" s="50">
        <f>0</f>
        <v/>
      </c>
      <c r="J22" s="50">
        <f>G22</f>
        <v/>
      </c>
      <c r="K22" s="48" t="inlineStr">
        <is>
          <t>One-time IAM setup</t>
        </is>
      </c>
    </row>
    <row r="23" ht="26" customHeight="1">
      <c r="A23" s="43" t="inlineStr">
        <is>
          <t>Professional Services</t>
        </is>
      </c>
      <c r="B23" s="44" t="inlineStr">
        <is>
          <t>Training Knowledge Transfer</t>
        </is>
      </c>
      <c r="C23" s="44" t="inlineStr">
        <is>
          <t>Admin training and operational runbooks</t>
        </is>
      </c>
      <c r="D23" s="45" t="n">
        <v>40</v>
      </c>
      <c r="E23" s="44" t="inlineStr">
        <is>
          <t>Hours</t>
        </is>
      </c>
      <c r="F23" s="46" t="n">
        <v>175</v>
      </c>
      <c r="G23" s="46">
        <f>D23*F23</f>
        <v/>
      </c>
      <c r="H23" s="46">
        <f>0</f>
        <v/>
      </c>
      <c r="I23" s="46">
        <f>0</f>
        <v/>
      </c>
      <c r="J23" s="46">
        <f>G23</f>
        <v/>
      </c>
      <c r="K23" s="44" t="inlineStr">
        <is>
          <t>One-time training</t>
        </is>
      </c>
    </row>
    <row r="24" ht="26" customHeight="1">
      <c r="A24" s="51" t="inlineStr">
        <is>
          <t>TOTAL</t>
        </is>
      </c>
      <c r="B24" s="52" t="n"/>
      <c r="C24" s="52" t="n"/>
      <c r="D24" s="52" t="n"/>
      <c r="E24" s="52" t="n"/>
      <c r="F24" s="52" t="n"/>
      <c r="G24" s="53">
        <f>SUM(G3:G23)</f>
        <v/>
      </c>
      <c r="H24" s="53">
        <f>SUM(H3:H23)</f>
        <v/>
      </c>
      <c r="I24" s="53">
        <f>SUM(I3:I23)</f>
        <v/>
      </c>
      <c r="J24" s="53">
        <f>SUM(J3:J23)</f>
        <v/>
      </c>
      <c r="K24" s="52" t="n"/>
    </row>
  </sheetData>
  <autoFilter ref="A2:K24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Cloud Infrastructure</t>
        </is>
      </c>
      <c r="B3" s="44" t="inlineStr">
        <is>
          <t>Azure Credit</t>
        </is>
      </c>
      <c r="C3" s="46" t="n">
        <v>0</v>
      </c>
      <c r="D3" s="44" t="inlineStr">
        <is>
          <t>No infrastructure credits available</t>
        </is>
      </c>
    </row>
    <row r="4" ht="26" customHeight="1">
      <c r="A4" s="47" t="inlineStr">
        <is>
          <t>Software Licenses</t>
        </is>
      </c>
      <c r="B4" s="48" t="inlineStr">
        <is>
          <t>Partner Credit</t>
        </is>
      </c>
      <c r="C4" s="50" t="n">
        <v>0</v>
      </c>
      <c r="D4" s="48" t="inlineStr">
        <is>
          <t>No software credits available</t>
        </is>
      </c>
    </row>
    <row r="5" ht="26" customHeight="1">
      <c r="A5" s="43" t="inlineStr">
        <is>
          <t>Support &amp; Maintenance</t>
        </is>
      </c>
      <c r="B5" s="44" t="inlineStr">
        <is>
          <t>Program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Hardware/Equipment</t>
        </is>
      </c>
      <c r="B6" s="48" t="inlineStr">
        <is>
          <t>Equipment Credit</t>
        </is>
      </c>
      <c r="C6" s="50" t="n">
        <v>0</v>
      </c>
      <c r="D6" s="48" t="inlineStr">
        <is>
          <t>No hardware credits available</t>
        </is>
      </c>
    </row>
    <row r="7" ht="26" customHeight="1">
      <c r="A7" s="43" t="inlineStr">
        <is>
          <t>Professional Services</t>
        </is>
      </c>
      <c r="B7" s="44" t="inlineStr">
        <is>
          <t>Microsoft Partner Services Credit</t>
        </is>
      </c>
      <c r="C7" s="46" t="n">
        <v>-15000</v>
      </c>
      <c r="D7" s="44" t="inlineStr">
        <is>
          <t>Applied to architecture and security setup services</t>
        </is>
      </c>
    </row>
  </sheetData>
  <autoFilter ref="A2:D7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Cloud Infrastructure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2025-11-22T16:55:19Z</dcterms:modified>
  <cp:lastModifiedBy>Kishan Siram</cp:lastModifiedBy>
</cp:coreProperties>
</file>