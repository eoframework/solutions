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Guidelines'!$A$2:$F$12</definedName>
    <definedName name="_xlnm._FilterDatabase" localSheetId="2" hidden="1">'Infrastructure Costs'!$A$2:$K$19</definedName>
    <definedName name="_xlnm._FilterDatabase" localSheetId="3" hidden="1">'Credits'!$A$2:$D$7</definedName>
    <definedName name="_xlnm._FilterDatabase" localSheetId="4" hidden="1">'3-Year Summary'!$A$2:$G$7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Virtual Wan Global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</t>
        </is>
      </c>
      <c r="D2" s="36" t="inlineStr">
        <is>
          <t>Medium</t>
        </is>
      </c>
      <c r="E2" s="36" t="inlineStr">
        <is>
          <t>Large</t>
        </is>
      </c>
      <c r="F2" s="36" t="inlineStr">
        <is>
          <t>Notes</t>
        </is>
      </c>
    </row>
    <row r="3" ht="26" customHeight="1">
      <c r="A3" s="37" t="inlineStr">
        <is>
          <t>Cloud Infrastructure</t>
        </is>
      </c>
      <c r="B3" s="38" t="inlineStr">
        <is>
          <t>Virtual WAN Hubs</t>
        </is>
      </c>
      <c r="C3" s="39" t="inlineStr">
        <is>
          <t>1-2 regional hubs</t>
        </is>
      </c>
      <c r="D3" s="39" t="inlineStr">
        <is>
          <t>2-3 regional hubs</t>
        </is>
      </c>
      <c r="E3" s="39" t="inlineStr">
        <is>
          <t>4+ global hubs</t>
        </is>
      </c>
      <c r="F3" s="38" t="inlineStr">
        <is>
          <t>Network connectivity points</t>
        </is>
      </c>
    </row>
    <row r="4" ht="26" customHeight="1">
      <c r="A4" s="40" t="inlineStr">
        <is>
          <t>Cloud Infrastructure</t>
        </is>
      </c>
      <c r="B4" s="41" t="inlineStr">
        <is>
          <t>Branch Connections</t>
        </is>
      </c>
      <c r="C4" s="42" t="inlineStr">
        <is>
          <t>5-10 sites</t>
        </is>
      </c>
      <c r="D4" s="42" t="inlineStr">
        <is>
          <t>10-25 sites</t>
        </is>
      </c>
      <c r="E4" s="42" t="inlineStr">
        <is>
          <t>50+ sites</t>
        </is>
      </c>
      <c r="F4" s="41" t="inlineStr">
        <is>
          <t>Connected office locations</t>
        </is>
      </c>
    </row>
    <row r="5" ht="26" customHeight="1">
      <c r="A5" s="37" t="inlineStr">
        <is>
          <t>Cloud Infrastructure</t>
        </is>
      </c>
      <c r="B5" s="38" t="inlineStr">
        <is>
          <t>VPN Tunnels</t>
        </is>
      </c>
      <c r="C5" s="39" t="inlineStr">
        <is>
          <t>5-10 tunnels</t>
        </is>
      </c>
      <c r="D5" s="39" t="inlineStr">
        <is>
          <t>10-25 tunnels</t>
        </is>
      </c>
      <c r="E5" s="39" t="inlineStr">
        <is>
          <t>50+ tunnels</t>
        </is>
      </c>
      <c r="F5" s="38" t="inlineStr">
        <is>
          <t>Site-to-site VPN count</t>
        </is>
      </c>
    </row>
    <row r="6" ht="26" customHeight="1">
      <c r="A6" s="40" t="inlineStr">
        <is>
          <t>Cloud Infrastructure</t>
        </is>
      </c>
      <c r="B6" s="41" t="inlineStr">
        <is>
          <t>ExpressRoute Circuits</t>
        </is>
      </c>
      <c r="C6" s="42" t="inlineStr">
        <is>
          <t>1-2 circuits</t>
        </is>
      </c>
      <c r="D6" s="42" t="inlineStr">
        <is>
          <t>2-4 circuits</t>
        </is>
      </c>
      <c r="E6" s="42" t="inlineStr">
        <is>
          <t>6+ circuits</t>
        </is>
      </c>
      <c r="F6" s="41" t="inlineStr">
        <is>
          <t>Private connectivity circuits</t>
        </is>
      </c>
    </row>
    <row r="7" ht="26" customHeight="1">
      <c r="A7" s="37" t="inlineStr">
        <is>
          <t>Cloud Infrastructure</t>
        </is>
      </c>
      <c r="B7" s="38" t="inlineStr">
        <is>
          <t>Connected VNets</t>
        </is>
      </c>
      <c r="C7" s="39" t="inlineStr">
        <is>
          <t>5-10 VNets</t>
        </is>
      </c>
      <c r="D7" s="39" t="inlineStr">
        <is>
          <t>10-25 VNets</t>
        </is>
      </c>
      <c r="E7" s="39" t="inlineStr">
        <is>
          <t>50+ VNets</t>
        </is>
      </c>
      <c r="F7" s="38" t="inlineStr">
        <is>
          <t>Virtual networks in topology</t>
        </is>
      </c>
    </row>
    <row r="8" ht="26" customHeight="1">
      <c r="A8" s="40" t="inlineStr">
        <is>
          <t>Cloud Infrastructure</t>
        </is>
      </c>
      <c r="B8" s="41" t="inlineStr">
        <is>
          <t>Total Users</t>
        </is>
      </c>
      <c r="C8" s="42" t="inlineStr">
        <is>
          <t>500-1000 users</t>
        </is>
      </c>
      <c r="D8" s="42" t="inlineStr">
        <is>
          <t>1000-5000 users</t>
        </is>
      </c>
      <c r="E8" s="42" t="inlineStr">
        <is>
          <t>5000+ users</t>
        </is>
      </c>
      <c r="F8" s="41" t="inlineStr">
        <is>
          <t>Users across all locations</t>
        </is>
      </c>
    </row>
    <row r="9" ht="26" customHeight="1">
      <c r="A9" s="37" t="inlineStr">
        <is>
          <t>Software Licenses</t>
        </is>
      </c>
      <c r="B9" s="38" t="inlineStr">
        <is>
          <t>Firewall Tier</t>
        </is>
      </c>
      <c r="C9" s="39" t="inlineStr">
        <is>
          <t>Standard firewall</t>
        </is>
      </c>
      <c r="D9" s="39" t="inlineStr">
        <is>
          <t>Premium firewall</t>
        </is>
      </c>
      <c r="E9" s="39" t="inlineStr">
        <is>
          <t>Premium + DDoS</t>
        </is>
      </c>
      <c r="F9" s="38" t="inlineStr">
        <is>
          <t>Security requirements</t>
        </is>
      </c>
    </row>
    <row r="10" ht="26" customHeight="1">
      <c r="A10" s="40" t="inlineStr">
        <is>
          <t>Software Licenses</t>
        </is>
      </c>
      <c r="B10" s="41" t="inlineStr">
        <is>
          <t>Monitoring Scope</t>
        </is>
      </c>
      <c r="C10" s="42" t="inlineStr">
        <is>
          <t>Basic monitoring</t>
        </is>
      </c>
      <c r="D10" s="42" t="inlineStr">
        <is>
          <t>Standard APM</t>
        </is>
      </c>
      <c r="E10" s="42" t="inlineStr">
        <is>
          <t>Enterprise observability</t>
        </is>
      </c>
      <c r="F10" s="41" t="inlineStr">
        <is>
          <t>Network visibility level</t>
        </is>
      </c>
    </row>
    <row r="11" ht="26" customHeight="1">
      <c r="A11" s="37" t="inlineStr">
        <is>
          <t>Support &amp; Maintenance</t>
        </is>
      </c>
      <c r="B11" s="38" t="inlineStr">
        <is>
          <t>Support Level</t>
        </is>
      </c>
      <c r="C11" s="39" t="inlineStr">
        <is>
          <t>Business hours</t>
        </is>
      </c>
      <c r="D11" s="39" t="inlineStr">
        <is>
          <t>24x5 support</t>
        </is>
      </c>
      <c r="E11" s="39" t="inlineStr">
        <is>
          <t>24x7 premium</t>
        </is>
      </c>
      <c r="F11" s="38" t="inlineStr">
        <is>
          <t>SLA requirements</t>
        </is>
      </c>
    </row>
    <row r="12" ht="26" customHeight="1">
      <c r="A12" s="40" t="inlineStr">
        <is>
          <t>Professional Services</t>
        </is>
      </c>
      <c r="B12" s="41" t="inlineStr">
        <is>
          <t>Implementation Hours</t>
        </is>
      </c>
      <c r="C12" s="42" t="inlineStr">
        <is>
          <t>300-400 hours</t>
        </is>
      </c>
      <c r="D12" s="42" t="inlineStr">
        <is>
          <t>400-600 hours</t>
        </is>
      </c>
      <c r="E12" s="42" t="inlineStr">
        <is>
          <t>800+ hours</t>
        </is>
      </c>
      <c r="F12" s="41" t="inlineStr">
        <is>
          <t>Network complexity</t>
        </is>
      </c>
    </row>
  </sheetData>
  <autoFilter ref="A2:F12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10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16" customWidth="1" min="10" max="10"/>
    <col width="4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Cloud Infrastructure</t>
        </is>
      </c>
      <c r="B3" s="44" t="inlineStr">
        <is>
          <t>Virtual WAN Standard</t>
        </is>
      </c>
      <c r="C3" s="44" t="inlineStr">
        <is>
          <t>Regional hub connectivity and routing</t>
        </is>
      </c>
      <c r="D3" s="45" t="n">
        <v>2</v>
      </c>
      <c r="E3" s="44" t="inlineStr">
        <is>
          <t>Hubs/Month</t>
        </is>
      </c>
      <c r="F3" s="46" t="n">
        <v>183</v>
      </c>
      <c r="G3" s="46">
        <f>D3*F3*12</f>
        <v/>
      </c>
      <c r="H3" s="46">
        <f>G3</f>
        <v/>
      </c>
      <c r="I3" s="46">
        <f>G3</f>
        <v/>
      </c>
      <c r="J3" s="46">
        <f>G3+H3+I3</f>
        <v/>
      </c>
      <c r="K3" s="44" t="inlineStr">
        <is>
          <t>Per-hub monthly rate</t>
        </is>
      </c>
    </row>
    <row r="4" ht="26" customHeight="1">
      <c r="A4" s="47" t="inlineStr">
        <is>
          <t>Cloud Infrastructure</t>
        </is>
      </c>
      <c r="B4" s="48" t="inlineStr">
        <is>
          <t>VPN Gateway</t>
        </is>
      </c>
      <c r="C4" s="48" t="inlineStr">
        <is>
          <t>Site-to-site VPN for branches</t>
        </is>
      </c>
      <c r="D4" s="49" t="n">
        <v>10</v>
      </c>
      <c r="E4" s="48" t="inlineStr">
        <is>
          <t>Connections/Year</t>
        </is>
      </c>
      <c r="F4" s="50" t="n">
        <v>438</v>
      </c>
      <c r="G4" s="50">
        <f>D4*F4</f>
        <v/>
      </c>
      <c r="H4" s="50">
        <f>G4</f>
        <v/>
      </c>
      <c r="I4" s="50">
        <f>G4</f>
        <v/>
      </c>
      <c r="J4" s="50">
        <f>G4+H4+I4</f>
        <v/>
      </c>
      <c r="K4" s="48" t="inlineStr">
        <is>
          <t>Branch connectivity</t>
        </is>
      </c>
    </row>
    <row r="5" ht="26" customHeight="1">
      <c r="A5" s="43" t="inlineStr">
        <is>
          <t>Cloud Infrastructure</t>
        </is>
      </c>
      <c r="B5" s="44" t="inlineStr">
        <is>
          <t>ExpressRoute Circuit</t>
        </is>
      </c>
      <c r="C5" s="44" t="inlineStr">
        <is>
          <t>Private connection for critical traffic</t>
        </is>
      </c>
      <c r="D5" s="45" t="n">
        <v>2</v>
      </c>
      <c r="E5" s="44" t="inlineStr">
        <is>
          <t>Circuits/Year</t>
        </is>
      </c>
      <c r="F5" s="46" t="n">
        <v>9000</v>
      </c>
      <c r="G5" s="46">
        <f>D5*F5</f>
        <v/>
      </c>
      <c r="H5" s="46">
        <f>G5</f>
        <v/>
      </c>
      <c r="I5" s="46">
        <f>G5</f>
        <v/>
      </c>
      <c r="J5" s="46">
        <f>G5+H5+I5</f>
        <v/>
      </c>
      <c r="K5" s="44" t="inlineStr">
        <is>
          <t>Hybrid connectivity</t>
        </is>
      </c>
    </row>
    <row r="6" ht="26" customHeight="1">
      <c r="A6" s="47" t="inlineStr">
        <is>
          <t>Cloud Infrastructure</t>
        </is>
      </c>
      <c r="B6" s="48" t="inlineStr">
        <is>
          <t>Azure Firewall Premium</t>
        </is>
      </c>
      <c r="C6" s="48" t="inlineStr">
        <is>
          <t>Advanced threat protection and logging</t>
        </is>
      </c>
      <c r="D6" s="49" t="n">
        <v>2</v>
      </c>
      <c r="E6" s="48" t="inlineStr">
        <is>
          <t>Instances/Year</t>
        </is>
      </c>
      <c r="F6" s="50" t="n">
        <v>7650</v>
      </c>
      <c r="G6" s="50">
        <f>D6*F6</f>
        <v/>
      </c>
      <c r="H6" s="50">
        <f>G6</f>
        <v/>
      </c>
      <c r="I6" s="50">
        <f>G6</f>
        <v/>
      </c>
      <c r="J6" s="50">
        <f>G6+H6+I6</f>
        <v/>
      </c>
      <c r="K6" s="48" t="inlineStr">
        <is>
          <t>Network security</t>
        </is>
      </c>
    </row>
    <row r="7" ht="26" customHeight="1">
      <c r="A7" s="43" t="inlineStr">
        <is>
          <t>Cloud Infrastructure</t>
        </is>
      </c>
      <c r="B7" s="44" t="inlineStr">
        <is>
          <t>Monitor and Logging</t>
        </is>
      </c>
      <c r="C7" s="44" t="inlineStr">
        <is>
          <t>Centralized monitoring across hubs</t>
        </is>
      </c>
      <c r="D7" s="45" t="n">
        <v>1</v>
      </c>
      <c r="E7" s="44" t="inlineStr">
        <is>
          <t>Service/Month</t>
        </is>
      </c>
      <c r="F7" s="46" t="n">
        <v>200</v>
      </c>
      <c r="G7" s="46">
        <f>D7*F7*12</f>
        <v/>
      </c>
      <c r="H7" s="46">
        <f>G7</f>
        <v/>
      </c>
      <c r="I7" s="46">
        <f>G7</f>
        <v/>
      </c>
      <c r="J7" s="46">
        <f>G7+H7+I7</f>
        <v/>
      </c>
      <c r="K7" s="44" t="inlineStr">
        <is>
          <t>Network observability</t>
        </is>
      </c>
    </row>
    <row r="8" ht="26" customHeight="1">
      <c r="A8" s="47" t="inlineStr">
        <is>
          <t>Cloud Infrastructure</t>
        </is>
      </c>
      <c r="B8" s="48" t="inlineStr">
        <is>
          <t>Data Transfer Out</t>
        </is>
      </c>
      <c r="C8" s="48" t="inlineStr">
        <is>
          <t>Inter-region and internet egress</t>
        </is>
      </c>
      <c r="D8" s="49" t="n">
        <v>1</v>
      </c>
      <c r="E8" s="48" t="inlineStr">
        <is>
          <t>Service/Year</t>
        </is>
      </c>
      <c r="F8" s="50" t="n">
        <v>6000</v>
      </c>
      <c r="G8" s="50">
        <f>D8*F8</f>
        <v/>
      </c>
      <c r="H8" s="50">
        <f>G8</f>
        <v/>
      </c>
      <c r="I8" s="50">
        <f>G8</f>
        <v/>
      </c>
      <c r="J8" s="50">
        <f>G8+H8+I8</f>
        <v/>
      </c>
      <c r="K8" s="48" t="inlineStr">
        <is>
          <t>Bandwidth charges</t>
        </is>
      </c>
    </row>
    <row r="9" ht="26" customHeight="1">
      <c r="A9" s="43" t="inlineStr">
        <is>
          <t>Software Licenses</t>
        </is>
      </c>
      <c r="B9" s="44" t="inlineStr">
        <is>
          <t>Backup Disaster Recovery</t>
        </is>
      </c>
      <c r="C9" s="44" t="inlineStr">
        <is>
          <t>Backup and geo-redundancy for configs</t>
        </is>
      </c>
      <c r="D9" s="45" t="n">
        <v>2</v>
      </c>
      <c r="E9" s="44" t="inlineStr">
        <is>
          <t>Regions/Month</t>
        </is>
      </c>
      <c r="F9" s="46" t="n">
        <v>150</v>
      </c>
      <c r="G9" s="46">
        <f>D9*F9*12</f>
        <v/>
      </c>
      <c r="H9" s="46">
        <f>G9</f>
        <v/>
      </c>
      <c r="I9" s="46">
        <f>G9</f>
        <v/>
      </c>
      <c r="J9" s="46">
        <f>G9+H9+I9</f>
        <v/>
      </c>
      <c r="K9" s="44" t="inlineStr">
        <is>
          <t>Configuration backup</t>
        </is>
      </c>
    </row>
    <row r="10" ht="26" customHeight="1">
      <c r="A10" s="47" t="inlineStr">
        <is>
          <t>Support &amp; Maintenance</t>
        </is>
      </c>
      <c r="B10" s="48" t="inlineStr">
        <is>
          <t>Hybrid Connectivity Support</t>
        </is>
      </c>
      <c r="C10" s="48" t="inlineStr">
        <is>
          <t>Virtual WAN and branch connectivity health</t>
        </is>
      </c>
      <c r="D10" s="49" t="n">
        <v>1</v>
      </c>
      <c r="E10" s="48" t="inlineStr">
        <is>
          <t>Service/Month</t>
        </is>
      </c>
      <c r="F10" s="50" t="n">
        <v>954</v>
      </c>
      <c r="G10" s="50">
        <f>D10*F10*12</f>
        <v/>
      </c>
      <c r="H10" s="50">
        <f>G10</f>
        <v/>
      </c>
      <c r="I10" s="50">
        <f>G10</f>
        <v/>
      </c>
      <c r="J10" s="50">
        <f>G10+H10+I10</f>
        <v/>
      </c>
      <c r="K10" s="48" t="inlineStr">
        <is>
          <t>25% of hub infrastructure</t>
        </is>
      </c>
    </row>
    <row r="11" ht="26" customHeight="1">
      <c r="A11" s="43" t="inlineStr">
        <is>
          <t>Professional Services</t>
        </is>
      </c>
      <c r="B11" s="44" t="inlineStr">
        <is>
          <t>Network Discovery</t>
        </is>
      </c>
      <c r="C11" s="44" t="inlineStr">
        <is>
          <t>Assess current network topology and requirements</t>
        </is>
      </c>
      <c r="D11" s="45" t="n">
        <v>40</v>
      </c>
      <c r="E11" s="44" t="inlineStr">
        <is>
          <t>Hours</t>
        </is>
      </c>
      <c r="F11" s="46" t="n">
        <v>200</v>
      </c>
      <c r="G11" s="46">
        <f>D11*F11</f>
        <v/>
      </c>
      <c r="H11" s="46">
        <f>0</f>
        <v/>
      </c>
      <c r="I11" s="46">
        <f>0</f>
        <v/>
      </c>
      <c r="J11" s="46">
        <f>G11</f>
        <v/>
      </c>
      <c r="K11" s="44" t="inlineStr">
        <is>
          <t>One-time assessment</t>
        </is>
      </c>
    </row>
    <row r="12" ht="26" customHeight="1">
      <c r="A12" s="47" t="inlineStr">
        <is>
          <t>Professional Services</t>
        </is>
      </c>
      <c r="B12" s="48" t="inlineStr">
        <is>
          <t>Architecture Design</t>
        </is>
      </c>
      <c r="C12" s="48" t="inlineStr">
        <is>
          <t>Virtual WAN hub design and branch strategy</t>
        </is>
      </c>
      <c r="D12" s="49" t="n">
        <v>60</v>
      </c>
      <c r="E12" s="48" t="inlineStr">
        <is>
          <t>Hours</t>
        </is>
      </c>
      <c r="F12" s="50" t="n">
        <v>250</v>
      </c>
      <c r="G12" s="50">
        <f>D12*F12</f>
        <v/>
      </c>
      <c r="H12" s="50">
        <f>0</f>
        <v/>
      </c>
      <c r="I12" s="50">
        <f>0</f>
        <v/>
      </c>
      <c r="J12" s="50">
        <f>G12</f>
        <v/>
      </c>
      <c r="K12" s="48" t="inlineStr">
        <is>
          <t>One-time architecture</t>
        </is>
      </c>
    </row>
    <row r="13" ht="26" customHeight="1">
      <c r="A13" s="43" t="inlineStr">
        <is>
          <t>Professional Services</t>
        </is>
      </c>
      <c r="B13" s="44" t="inlineStr">
        <is>
          <t>Infrastructure Deployment</t>
        </is>
      </c>
      <c r="C13" s="44" t="inlineStr">
        <is>
          <t>Hub setup and VPN/ExpressRoute provisioning</t>
        </is>
      </c>
      <c r="D13" s="45" t="n">
        <v>80</v>
      </c>
      <c r="E13" s="44" t="inlineStr">
        <is>
          <t>Hours</t>
        </is>
      </c>
      <c r="F13" s="46" t="n">
        <v>225</v>
      </c>
      <c r="G13" s="46">
        <f>D13*F13</f>
        <v/>
      </c>
      <c r="H13" s="46">
        <f>0</f>
        <v/>
      </c>
      <c r="I13" s="46">
        <f>0</f>
        <v/>
      </c>
      <c r="J13" s="46">
        <f>G13</f>
        <v/>
      </c>
      <c r="K13" s="44" t="inlineStr">
        <is>
          <t>One-time deployment</t>
        </is>
      </c>
    </row>
    <row r="14" ht="26" customHeight="1">
      <c r="A14" s="47" t="inlineStr">
        <is>
          <t>Professional Services</t>
        </is>
      </c>
      <c r="B14" s="48" t="inlineStr">
        <is>
          <t>Network Security Configuration</t>
        </is>
      </c>
      <c r="C14" s="48" t="inlineStr">
        <is>
          <t>Firewall policies and DDoS protection setup</t>
        </is>
      </c>
      <c r="D14" s="49" t="n">
        <v>50</v>
      </c>
      <c r="E14" s="48" t="inlineStr">
        <is>
          <t>Hours</t>
        </is>
      </c>
      <c r="F14" s="50" t="n">
        <v>225</v>
      </c>
      <c r="G14" s="50">
        <f>D14*F14</f>
        <v/>
      </c>
      <c r="H14" s="50">
        <f>0</f>
        <v/>
      </c>
      <c r="I14" s="50">
        <f>0</f>
        <v/>
      </c>
      <c r="J14" s="50">
        <f>G14</f>
        <v/>
      </c>
      <c r="K14" s="48" t="inlineStr">
        <is>
          <t>One-time security setup</t>
        </is>
      </c>
    </row>
    <row r="15" ht="26" customHeight="1">
      <c r="A15" s="43" t="inlineStr">
        <is>
          <t>Professional Services</t>
        </is>
      </c>
      <c r="B15" s="44" t="inlineStr">
        <is>
          <t>Branch Migration</t>
        </is>
      </c>
      <c r="C15" s="44" t="inlineStr">
        <is>
          <t>Migrate branch offices to Virtual WAN architecture</t>
        </is>
      </c>
      <c r="D15" s="45" t="n">
        <v>70</v>
      </c>
      <c r="E15" s="44" t="inlineStr">
        <is>
          <t>Hours</t>
        </is>
      </c>
      <c r="F15" s="46" t="n">
        <v>200</v>
      </c>
      <c r="G15" s="46">
        <f>D15*F15</f>
        <v/>
      </c>
      <c r="H15" s="46">
        <f>0</f>
        <v/>
      </c>
      <c r="I15" s="46">
        <f>0</f>
        <v/>
      </c>
      <c r="J15" s="46">
        <f>G15</f>
        <v/>
      </c>
      <c r="K15" s="44" t="inlineStr">
        <is>
          <t>One-time migration</t>
        </is>
      </c>
    </row>
    <row r="16" ht="26" customHeight="1">
      <c r="A16" s="47" t="inlineStr">
        <is>
          <t>Professional Services</t>
        </is>
      </c>
      <c r="B16" s="48" t="inlineStr">
        <is>
          <t>Testing Validation</t>
        </is>
      </c>
      <c r="C16" s="48" t="inlineStr">
        <is>
          <t>Performance testing and failover validation</t>
        </is>
      </c>
      <c r="D16" s="49" t="n">
        <v>40</v>
      </c>
      <c r="E16" s="48" t="inlineStr">
        <is>
          <t>Hours</t>
        </is>
      </c>
      <c r="F16" s="50" t="n">
        <v>175</v>
      </c>
      <c r="G16" s="50">
        <f>D16*F16</f>
        <v/>
      </c>
      <c r="H16" s="50">
        <f>0</f>
        <v/>
      </c>
      <c r="I16" s="50">
        <f>0</f>
        <v/>
      </c>
      <c r="J16" s="50">
        <f>G16</f>
        <v/>
      </c>
      <c r="K16" s="48" t="inlineStr">
        <is>
          <t>One-time validation</t>
        </is>
      </c>
    </row>
    <row r="17" ht="26" customHeight="1">
      <c r="A17" s="43" t="inlineStr">
        <is>
          <t>Professional Services</t>
        </is>
      </c>
      <c r="B17" s="44" t="inlineStr">
        <is>
          <t>Training Knowledge Transfer</t>
        </is>
      </c>
      <c r="C17" s="44" t="inlineStr">
        <is>
          <t>Network team training on Virtual WAN operations</t>
        </is>
      </c>
      <c r="D17" s="45" t="n">
        <v>30</v>
      </c>
      <c r="E17" s="44" t="inlineStr">
        <is>
          <t>Hours</t>
        </is>
      </c>
      <c r="F17" s="46" t="n">
        <v>200</v>
      </c>
      <c r="G17" s="46">
        <f>D17*F17</f>
        <v/>
      </c>
      <c r="H17" s="46">
        <f>0</f>
        <v/>
      </c>
      <c r="I17" s="46">
        <f>0</f>
        <v/>
      </c>
      <c r="J17" s="46">
        <f>G17</f>
        <v/>
      </c>
      <c r="K17" s="44" t="inlineStr">
        <is>
          <t>One-time training</t>
        </is>
      </c>
    </row>
    <row r="18" ht="26" customHeight="1">
      <c r="A18" s="47" t="inlineStr">
        <is>
          <t>Professional Services</t>
        </is>
      </c>
      <c r="B18" s="48" t="inlineStr">
        <is>
          <t>Project Management</t>
        </is>
      </c>
      <c r="C18" s="48" t="inlineStr">
        <is>
          <t>End-to-end project delivery coordination</t>
        </is>
      </c>
      <c r="D18" s="49" t="n">
        <v>50</v>
      </c>
      <c r="E18" s="48" t="inlineStr">
        <is>
          <t>Hours</t>
        </is>
      </c>
      <c r="F18" s="50" t="n">
        <v>225</v>
      </c>
      <c r="G18" s="50">
        <f>D18*F18</f>
        <v/>
      </c>
      <c r="H18" s="50">
        <f>0</f>
        <v/>
      </c>
      <c r="I18" s="50">
        <f>0</f>
        <v/>
      </c>
      <c r="J18" s="50">
        <f>G18</f>
        <v/>
      </c>
      <c r="K18" s="48" t="inlineStr">
        <is>
          <t>One-time oversight</t>
        </is>
      </c>
    </row>
    <row r="19" ht="26" customHeight="1">
      <c r="A19" s="51" t="inlineStr">
        <is>
          <t>TOTAL</t>
        </is>
      </c>
      <c r="B19" s="52" t="n"/>
      <c r="C19" s="52" t="n"/>
      <c r="D19" s="52" t="n"/>
      <c r="E19" s="52" t="n"/>
      <c r="F19" s="52" t="n"/>
      <c r="G19" s="53">
        <f>SUM(G3:G18)</f>
        <v/>
      </c>
      <c r="H19" s="53">
        <f>SUM(H3:H18)</f>
        <v/>
      </c>
      <c r="I19" s="53">
        <f>SUM(I3:I18)</f>
        <v/>
      </c>
      <c r="J19" s="53">
        <f>SUM(J3:J18)</f>
        <v/>
      </c>
      <c r="K19" s="52" t="n"/>
    </row>
  </sheetData>
  <autoFilter ref="A2:K19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75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Cloud Infrastructure</t>
        </is>
      </c>
      <c r="B3" s="44" t="inlineStr">
        <is>
          <t>Azure Credit</t>
        </is>
      </c>
      <c r="C3" s="46" t="n">
        <v>0</v>
      </c>
      <c r="D3" s="44" t="inlineStr">
        <is>
          <t>No infrastructure credits available</t>
        </is>
      </c>
    </row>
    <row r="4" ht="26" customHeight="1">
      <c r="A4" s="47" t="inlineStr">
        <is>
          <t>Software Licenses</t>
        </is>
      </c>
      <c r="B4" s="48" t="inlineStr">
        <is>
          <t>Partner Credit</t>
        </is>
      </c>
      <c r="C4" s="50" t="n">
        <v>0</v>
      </c>
      <c r="D4" s="48" t="inlineStr">
        <is>
          <t>No software credits available</t>
        </is>
      </c>
    </row>
    <row r="5" ht="26" customHeight="1">
      <c r="A5" s="43" t="inlineStr">
        <is>
          <t>Support &amp; Maintenance</t>
        </is>
      </c>
      <c r="B5" s="44" t="inlineStr">
        <is>
          <t>Program Credit</t>
        </is>
      </c>
      <c r="C5" s="46" t="n">
        <v>0</v>
      </c>
      <c r="D5" s="44" t="inlineStr">
        <is>
          <t>No support credits available</t>
        </is>
      </c>
    </row>
    <row r="6" ht="26" customHeight="1">
      <c r="A6" s="47" t="inlineStr">
        <is>
          <t>Hardware/Equipment</t>
        </is>
      </c>
      <c r="B6" s="48" t="inlineStr">
        <is>
          <t>Equipment Credit</t>
        </is>
      </c>
      <c r="C6" s="50" t="n">
        <v>0</v>
      </c>
      <c r="D6" s="48" t="inlineStr">
        <is>
          <t>No hardware credits available</t>
        </is>
      </c>
    </row>
    <row r="7" ht="26" customHeight="1">
      <c r="A7" s="43" t="inlineStr">
        <is>
          <t>Professional Services</t>
        </is>
      </c>
      <c r="B7" s="44" t="inlineStr">
        <is>
          <t>Azure Partner Architecture Credit</t>
        </is>
      </c>
      <c r="C7" s="46" t="n">
        <v>-12000</v>
      </c>
      <c r="D7" s="44" t="inlineStr">
        <is>
          <t>Applied to architecture design and infrastructure deployment</t>
        </is>
      </c>
    </row>
  </sheetData>
  <autoFilter ref="A2:D7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Cloud Infrastructure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Software Licenses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Support &amp; Maintenance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47" t="inlineStr">
        <is>
          <t>Professional Services</t>
        </is>
      </c>
      <c r="B6" s="50">
        <f>SUMIF('Infrastructure Costs'!$A:$A,A6,'Infrastructure Costs'!$G:$G)</f>
        <v/>
      </c>
      <c r="C6" s="50">
        <f>SUMIF(Credits!$A:$A,A6,Credits!$C:$C)</f>
        <v/>
      </c>
      <c r="D6" s="50">
        <f>B6+C6</f>
        <v/>
      </c>
      <c r="E6" s="50">
        <f>SUMIF('Infrastructure Costs'!$A:$A,A6,'Infrastructure Costs'!$H:$H)</f>
        <v/>
      </c>
      <c r="F6" s="50">
        <f>SUMIF('Infrastructure Costs'!$A:$A,A6,'Infrastructure Costs'!$I:$I)</f>
        <v/>
      </c>
      <c r="G6" s="50">
        <f>D6+E6+F6</f>
        <v/>
      </c>
    </row>
    <row r="7" ht="26" customHeight="1">
      <c r="A7" s="51" t="inlineStr">
        <is>
          <t>TOTAL</t>
        </is>
      </c>
      <c r="B7" s="53">
        <f>SUM(B3:B6)</f>
        <v/>
      </c>
      <c r="C7" s="53">
        <f>SUM(C3:C6)</f>
        <v/>
      </c>
      <c r="D7" s="53">
        <f>SUM(D3:D6)</f>
        <v/>
      </c>
      <c r="E7" s="53">
        <f>SUM(E3:E6)</f>
        <v/>
      </c>
      <c r="F7" s="53">
        <f>SUM(F3:F6)</f>
        <v/>
      </c>
      <c r="G7" s="53">
        <f>SUM(G3:G6)</f>
        <v/>
      </c>
    </row>
  </sheetData>
  <autoFilter ref="A2:G7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2025-11-22T17:43:28Z</dcterms:modified>
  <cp:lastModifiedBy>Kishan Siram</cp:lastModifiedBy>
</cp:coreProperties>
</file>