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'Credits'!$A$2:$D$3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Network - Virtual Wan Global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5" customWidth="1" min="3" max="3"/>
    <col width="25" customWidth="1" min="4" max="4"/>
    <col width="30" customWidth="1" min="5" max="5"/>
    <col width="35" customWidth="1" min="6" max="6"/>
    <col width="6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Virtual WAN Hubs</t>
        </is>
      </c>
      <c r="C3" s="39" t="inlineStr">
        <is>
          <t>3 regional hubs</t>
        </is>
      </c>
      <c r="D3" s="38" t="inlineStr">
        <is>
          <t>3 regional hubs</t>
        </is>
      </c>
      <c r="E3" s="38" t="inlineStr">
        <is>
          <t>Enhanced virtual wan hubs</t>
        </is>
      </c>
      <c r="F3" s="38" t="inlineStr">
        <is>
          <t>Enterprise-scale virtual wan hubs</t>
        </is>
      </c>
      <c r="G3" s="38" t="inlineStr">
        <is>
          <t>Sizing parameter for Virtual WAN Hubs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Connected Sites</t>
        </is>
      </c>
      <c r="C4" s="39" t="inlineStr">
        <is>
          <t>10-15 branch locations</t>
        </is>
      </c>
      <c r="D4" s="41" t="inlineStr">
        <is>
          <t>10-15 branch locations</t>
        </is>
      </c>
      <c r="E4" s="41" t="inlineStr">
        <is>
          <t>Enhanced connected sites</t>
        </is>
      </c>
      <c r="F4" s="41" t="inlineStr">
        <is>
          <t>Enterprise-scale connected sites</t>
        </is>
      </c>
      <c r="G4" s="41" t="inlineStr">
        <is>
          <t>Sizing parameter for Connected Sites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VPN Connections</t>
        </is>
      </c>
      <c r="C5" s="39" t="inlineStr">
        <is>
          <t>Site-to-site IPsec VPN</t>
        </is>
      </c>
      <c r="D5" s="38" t="inlineStr">
        <is>
          <t>Site-to-site IPsec VPN</t>
        </is>
      </c>
      <c r="E5" s="38" t="inlineStr">
        <is>
          <t>Enhanced vpn connections</t>
        </is>
      </c>
      <c r="F5" s="38" t="inlineStr">
        <is>
          <t>Enterprise-scale vpn connections</t>
        </is>
      </c>
      <c r="G5" s="38" t="inlineStr">
        <is>
          <t>Sizing parameter for VPN Connections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ExpressRoute Circuits</t>
        </is>
      </c>
      <c r="C6" s="39" t="inlineStr">
        <is>
          <t>2 circuits (primary backup)</t>
        </is>
      </c>
      <c r="D6" s="41" t="inlineStr">
        <is>
          <t>2 circuits (primary backup)</t>
        </is>
      </c>
      <c r="E6" s="41" t="inlineStr">
        <is>
          <t>Enhanced expressroute circuits</t>
        </is>
      </c>
      <c r="F6" s="41" t="inlineStr">
        <is>
          <t>Enterprise-scale expressroute circuits</t>
        </is>
      </c>
      <c r="G6" s="41" t="inlineStr">
        <is>
          <t>Sizing parameter for ExpressRoute Circuits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1000 users across sites</t>
        </is>
      </c>
      <c r="D7" s="38" t="inlineStr">
        <is>
          <t>1000 users across sites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(network ops security admin)</t>
        </is>
      </c>
      <c r="D8" s="41" t="inlineStr">
        <is>
          <t>3 roles (network ops security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Bandwidth Requirements</t>
        </is>
      </c>
      <c r="C9" s="39" t="inlineStr">
        <is>
          <t>1 Gbps aggregate</t>
        </is>
      </c>
      <c r="D9" s="38" t="inlineStr">
        <is>
          <t>1 Gbps aggregate</t>
        </is>
      </c>
      <c r="E9" s="38" t="inlineStr">
        <is>
          <t>Enhanced bandwidth requirements</t>
        </is>
      </c>
      <c r="F9" s="38" t="inlineStr">
        <is>
          <t>Enterprise-scale bandwidth requirements</t>
        </is>
      </c>
      <c r="G9" s="38" t="inlineStr">
        <is>
          <t>Sizing parameter for Bandwidth Requirements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Traffic Volume</t>
        </is>
      </c>
      <c r="C10" s="39" t="inlineStr">
        <is>
          <t>10 TB/month</t>
        </is>
      </c>
      <c r="D10" s="41" t="inlineStr">
        <is>
          <t>10 TB/month</t>
        </is>
      </c>
      <c r="E10" s="41" t="inlineStr">
        <is>
          <t>Enhanced traffic volume</t>
        </is>
      </c>
      <c r="F10" s="41" t="inlineStr">
        <is>
          <t>Enterprise-scale traffic volume</t>
        </is>
      </c>
      <c r="G10" s="41" t="inlineStr">
        <is>
          <t>Sizing parameter for Traffic Volume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3 Azure regions globally</t>
        </is>
      </c>
      <c r="D11" s="38" t="inlineStr">
        <is>
          <t>3 Azure regions globally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High availability (99.95%)</t>
        </is>
      </c>
      <c r="D12" s="41" t="inlineStr">
        <is>
          <t>High availability (99.95%)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vWAN + Azure Firewall + routing</t>
        </is>
      </c>
      <c r="D13" s="38" t="inlineStr">
        <is>
          <t>vWAN + Azure Firewall + routing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Azure Firewall DDoS protection</t>
        </is>
      </c>
      <c r="D14" s="41" t="inlineStr">
        <is>
          <t>Azure Firewall DDoS protection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ISO27001</t>
        </is>
      </c>
      <c r="D15" s="38" t="inlineStr">
        <is>
          <t>SOC2 ISO27001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Latency Requirements</t>
        </is>
      </c>
      <c r="C16" s="39" t="inlineStr">
        <is>
          <t>&lt;50ms inter-region</t>
        </is>
      </c>
      <c r="D16" s="41" t="inlineStr">
        <is>
          <t>&lt;50ms inter-region</t>
        </is>
      </c>
      <c r="E16" s="41" t="inlineStr">
        <is>
          <t>Enhanced latency requirements</t>
        </is>
      </c>
      <c r="F16" s="41" t="inlineStr">
        <is>
          <t>Enterprise-scale latency requirements</t>
        </is>
      </c>
      <c r="G16" s="41" t="inlineStr">
        <is>
          <t>Sizing parameter for Latency Requirements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Routing Complexity</t>
        </is>
      </c>
      <c r="C17" s="39" t="inlineStr">
        <is>
          <t>BGP route propagation</t>
        </is>
      </c>
      <c r="D17" s="38" t="inlineStr">
        <is>
          <t>BGP route propagation</t>
        </is>
      </c>
      <c r="E17" s="38" t="inlineStr">
        <is>
          <t>Enhanced routing complexity</t>
        </is>
      </c>
      <c r="F17" s="38" t="inlineStr">
        <is>
          <t>Enterprise-scale routing complexity</t>
        </is>
      </c>
      <c r="G17" s="38" t="inlineStr">
        <is>
          <t>Sizing parameter for Routing Complexity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(non-prod prod)</t>
        </is>
      </c>
      <c r="D18" s="41" t="inlineStr">
        <is>
          <t>2 environments (non-prod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6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18" customWidth="1" min="4" max="4"/>
    <col width="12" customWidth="1" min="5" max="5"/>
    <col width="15" customWidth="1" min="6" max="6"/>
    <col width="12" customWidth="1" min="7" max="7"/>
    <col width="10" customWidth="1" min="8" max="8"/>
    <col width="15" customWidth="1" min="9" max="9"/>
    <col width="20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ROUND(SUM(E2:E26)*0.25,='Estimate Settings'!$C$31,=$E58*$F58,0)</f>
        <v/>
      </c>
      <c r="F28" s="55">
        <f>TEXT($G28*$H28</f>
        <v/>
      </c>
      <c r="G28" s="56" t="inlineStr">
        <is>
          <t>$#</t>
        </is>
      </c>
      <c r="H28" s="56" t="inlineStr">
        <is>
          <t>##0"")</t>
        </is>
      </c>
      <c r="I28" s="56">
        <f>TEXT(E28*F28,##0")</f>
        <v/>
      </c>
      <c r="J28" s="53" t="inlineStr"/>
      <c r="K28" s="53" t="inlineStr"/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50">
        <f>ROUND(SUM(E2:E26)*0.20,='Estimate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</f>
        <v/>
      </c>
      <c r="J30" s="58" t="inlineStr">
        <is>
          <t>$H$33:$H$59)</t>
        </is>
      </c>
      <c r="K30" s="58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  <col width="4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Services Credit</t>
        </is>
      </c>
      <c r="C3" s="60" t="n">
        <v>-5000</v>
      </c>
      <c r="D3" s="38" t="inlineStr">
        <is>
          <t>Technology provider partner services credit applied to Year 1</t>
        </is>
      </c>
    </row>
  </sheetData>
  <autoFilter ref="A2:D3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2025-11-22T17:43:28Z</dcterms:modified>
  <cp:lastModifiedBy>Kishan Siram</cp:lastModifiedBy>
</cp:coreProperties>
</file>