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Virtual Wan Global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</row>
    <row r="2" ht="26" customHeight="1">
      <c r="A2" s="10" t="inlineStr">
        <is>
          <t>Solution Scope</t>
        </is>
      </c>
      <c r="B2" s="10" t="inlineStr">
        <is>
          <t>Virtual WAN Hubs</t>
        </is>
      </c>
      <c r="C2" s="20" t="inlineStr">
        <is>
          <t>3 regional hubs</t>
        </is>
      </c>
      <c r="D2" s="10" t="inlineStr">
        <is>
          <t>3 regional hubs</t>
        </is>
      </c>
      <c r="E2" s="10" t="inlineStr">
        <is>
          <t>Enhanced virtual wan hubs</t>
        </is>
      </c>
      <c r="F2" s="10" t="inlineStr">
        <is>
          <t>Enterprise-scale virtual wan hubs</t>
        </is>
      </c>
      <c r="G2" s="10" t="inlineStr">
        <is>
          <t>Sizing parameter for Virtual WAN Hubs</t>
        </is>
      </c>
      <c r="H2" s="10" t="inlineStr"/>
      <c r="I2" s="10" t="inlineStr"/>
      <c r="J2" s="10" t="inlineStr"/>
      <c r="K2" s="10" t="inlineStr"/>
    </row>
    <row r="3" ht="26" customHeight="1">
      <c r="A3" s="21" t="inlineStr">
        <is>
          <t>Solution Scope</t>
        </is>
      </c>
      <c r="B3" s="21" t="inlineStr">
        <is>
          <t>Connected Sites</t>
        </is>
      </c>
      <c r="C3" s="20" t="inlineStr">
        <is>
          <t>10-15 branch locations</t>
        </is>
      </c>
      <c r="D3" s="21" t="inlineStr">
        <is>
          <t>10-15 branch locations</t>
        </is>
      </c>
      <c r="E3" s="21" t="inlineStr">
        <is>
          <t>Enhanced connected sites</t>
        </is>
      </c>
      <c r="F3" s="21" t="inlineStr">
        <is>
          <t>Enterprise-scale connected sites</t>
        </is>
      </c>
      <c r="G3" s="21" t="inlineStr">
        <is>
          <t>Sizing parameter for Connected Sites</t>
        </is>
      </c>
      <c r="H3" s="21" t="inlineStr"/>
      <c r="I3" s="21" t="inlineStr"/>
      <c r="J3" s="21" t="inlineStr"/>
      <c r="K3" s="21" t="inlineStr"/>
    </row>
    <row r="4" ht="26" customHeight="1">
      <c r="A4" s="10" t="inlineStr">
        <is>
          <t>Integration</t>
        </is>
      </c>
      <c r="B4" s="10" t="inlineStr">
        <is>
          <t>VPN Connections</t>
        </is>
      </c>
      <c r="C4" s="20" t="inlineStr">
        <is>
          <t>Site-to-site IPsec VPN</t>
        </is>
      </c>
      <c r="D4" s="10" t="inlineStr">
        <is>
          <t>Site-to-site IPsec VPN</t>
        </is>
      </c>
      <c r="E4" s="10" t="inlineStr">
        <is>
          <t>Enhanced vpn connections</t>
        </is>
      </c>
      <c r="F4" s="10" t="inlineStr">
        <is>
          <t>Enterprise-scale vpn connections</t>
        </is>
      </c>
      <c r="G4" s="10" t="inlineStr">
        <is>
          <t>Sizing parameter for VPN Connections</t>
        </is>
      </c>
      <c r="H4" s="10" t="inlineStr"/>
      <c r="I4" s="10" t="inlineStr"/>
      <c r="J4" s="10" t="inlineStr"/>
      <c r="K4" s="10" t="inlineStr"/>
    </row>
    <row r="5" ht="26" customHeight="1">
      <c r="A5" s="21" t="inlineStr">
        <is>
          <t>Integration</t>
        </is>
      </c>
      <c r="B5" s="21" t="inlineStr">
        <is>
          <t>ExpressRoute Circuits</t>
        </is>
      </c>
      <c r="C5" s="20" t="inlineStr">
        <is>
          <t>2 circuits (primary backup)</t>
        </is>
      </c>
      <c r="D5" s="21" t="inlineStr">
        <is>
          <t>2 circuits (primary backup)</t>
        </is>
      </c>
      <c r="E5" s="21" t="inlineStr">
        <is>
          <t>Enhanced expressroute circuits</t>
        </is>
      </c>
      <c r="F5" s="21" t="inlineStr">
        <is>
          <t>Enterprise-scale expressroute circuits</t>
        </is>
      </c>
      <c r="G5" s="21" t="inlineStr">
        <is>
          <t>Sizing parameter for ExpressRoute Circuits</t>
        </is>
      </c>
      <c r="H5" s="21" t="inlineStr"/>
      <c r="I5" s="21" t="inlineStr"/>
      <c r="J5" s="21" t="inlineStr"/>
      <c r="K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1000 users across sites</t>
        </is>
      </c>
      <c r="D6" s="10" t="inlineStr">
        <is>
          <t>1000 users across sites</t>
        </is>
      </c>
      <c r="E6" s="10" t="inlineStr">
        <is>
          <t>Enhanced total users</t>
        </is>
      </c>
      <c r="F6" s="10" t="inlineStr">
        <is>
          <t>Enterprise-scale total users</t>
        </is>
      </c>
      <c r="G6" s="10" t="inlineStr">
        <is>
          <t>Sizing parameter for Total Users</t>
        </is>
      </c>
      <c r="H6" s="10" t="inlineStr"/>
      <c r="I6" s="10" t="inlineStr"/>
      <c r="J6" s="10" t="inlineStr"/>
      <c r="K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(network ops security admin)</t>
        </is>
      </c>
      <c r="D7" s="21" t="inlineStr">
        <is>
          <t>3 roles (network ops security admin)</t>
        </is>
      </c>
      <c r="E7" s="21" t="inlineStr">
        <is>
          <t>Enhanced user roles</t>
        </is>
      </c>
      <c r="F7" s="21" t="inlineStr">
        <is>
          <t>Enterprise-scale user roles</t>
        </is>
      </c>
      <c r="G7" s="21" t="inlineStr">
        <is>
          <t>Sizing parameter for User Roles</t>
        </is>
      </c>
      <c r="H7" s="21" t="inlineStr"/>
      <c r="I7" s="21" t="inlineStr"/>
      <c r="J7" s="21" t="inlineStr"/>
      <c r="K7" s="21" t="inlineStr"/>
    </row>
    <row r="8">
      <c r="A8" s="10" t="inlineStr">
        <is>
          <t>Data Volume</t>
        </is>
      </c>
      <c r="B8" s="10" t="inlineStr">
        <is>
          <t>Bandwidth Requirements</t>
        </is>
      </c>
      <c r="C8" s="20" t="inlineStr">
        <is>
          <t>1 Gbps aggregate</t>
        </is>
      </c>
      <c r="D8" s="10" t="inlineStr">
        <is>
          <t>1 Gbps aggregate</t>
        </is>
      </c>
      <c r="E8" s="10" t="inlineStr">
        <is>
          <t>Enhanced bandwidth requirements</t>
        </is>
      </c>
      <c r="F8" s="10" t="inlineStr">
        <is>
          <t>Enterprise-scale bandwidth requirements</t>
        </is>
      </c>
      <c r="G8" s="10" t="inlineStr">
        <is>
          <t>Sizing parameter for Bandwidth Requirements</t>
        </is>
      </c>
      <c r="H8" s="10" t="inlineStr"/>
      <c r="I8" s="10" t="inlineStr"/>
      <c r="J8" s="10" t="inlineStr"/>
      <c r="K8" s="10" t="inlineStr"/>
    </row>
    <row r="9">
      <c r="A9" s="21" t="inlineStr">
        <is>
          <t>Data Volume</t>
        </is>
      </c>
      <c r="B9" s="21" t="inlineStr">
        <is>
          <t>Traffic Volume</t>
        </is>
      </c>
      <c r="C9" s="20" t="inlineStr">
        <is>
          <t>10 TB/month</t>
        </is>
      </c>
      <c r="D9" s="21" t="inlineStr">
        <is>
          <t>10 TB/month</t>
        </is>
      </c>
      <c r="E9" s="21" t="inlineStr">
        <is>
          <t>Enhanced traffic volume</t>
        </is>
      </c>
      <c r="F9" s="21" t="inlineStr">
        <is>
          <t>Enterprise-scale traffic volume</t>
        </is>
      </c>
      <c r="G9" s="21" t="inlineStr">
        <is>
          <t>Sizing parameter for Traffic Volume</t>
        </is>
      </c>
      <c r="H9" s="21" t="inlineStr"/>
      <c r="I9" s="21" t="inlineStr"/>
      <c r="J9" s="21" t="inlineStr"/>
      <c r="K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3 Azure regions globally</t>
        </is>
      </c>
      <c r="D10" s="10" t="inlineStr">
        <is>
          <t>3 Azure regions globally</t>
        </is>
      </c>
      <c r="E10" s="10" t="inlineStr">
        <is>
          <t>Enhanced deployment regions</t>
        </is>
      </c>
      <c r="F10" s="10" t="inlineStr">
        <is>
          <t>Enterprise-scale deployment regions</t>
        </is>
      </c>
      <c r="G10" s="10" t="inlineStr">
        <is>
          <t>Sizing parameter for Deployment Regions</t>
        </is>
      </c>
      <c r="H10" s="10" t="inlineStr"/>
      <c r="I10" s="10" t="inlineStr"/>
      <c r="J10" s="10" t="inlineStr"/>
      <c r="K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High availability (99.95%)</t>
        </is>
      </c>
      <c r="D11" s="21" t="inlineStr">
        <is>
          <t>High availability (99.95%)</t>
        </is>
      </c>
      <c r="E11" s="21" t="inlineStr">
        <is>
          <t>Enhanced availability requirements</t>
        </is>
      </c>
      <c r="F11" s="21" t="inlineStr">
        <is>
          <t>Enterprise-scale availability requirements</t>
        </is>
      </c>
      <c r="G11" s="21" t="inlineStr">
        <is>
          <t>Sizing parameter for Availability Requirements</t>
        </is>
      </c>
      <c r="H11" s="21" t="inlineStr"/>
      <c r="I11" s="21" t="inlineStr"/>
      <c r="J11" s="21" t="inlineStr"/>
      <c r="K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vWAN + Azure Firewall + routing</t>
        </is>
      </c>
      <c r="D12" s="10" t="inlineStr">
        <is>
          <t>vWAN + Azure Firewall + routing</t>
        </is>
      </c>
      <c r="E12" s="10" t="inlineStr">
        <is>
          <t>Enhanced infrastructure complexity</t>
        </is>
      </c>
      <c r="F12" s="10" t="inlineStr">
        <is>
          <t>Enterprise-scale infrastructure complexity</t>
        </is>
      </c>
      <c r="G12" s="10" t="inlineStr">
        <is>
          <t>Sizing parameter for Infrastructure Complexity</t>
        </is>
      </c>
      <c r="H12" s="10" t="inlineStr"/>
      <c r="I12" s="10" t="inlineStr"/>
      <c r="J12" s="10" t="inlineStr"/>
      <c r="K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Azure Firewall DDoS protection</t>
        </is>
      </c>
      <c r="D13" s="21" t="inlineStr">
        <is>
          <t>Azure Firewall DDoS protection</t>
        </is>
      </c>
      <c r="E13" s="21" t="inlineStr">
        <is>
          <t>Enhanced security requirements</t>
        </is>
      </c>
      <c r="F13" s="21" t="inlineStr">
        <is>
          <t>Enterprise-scale security requirements</t>
        </is>
      </c>
      <c r="G13" s="21" t="inlineStr">
        <is>
          <t>Sizing parameter for Security Requirements</t>
        </is>
      </c>
      <c r="H13" s="21" t="inlineStr"/>
      <c r="I13" s="21" t="inlineStr"/>
      <c r="J13" s="21" t="inlineStr"/>
      <c r="K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 ISO27001</t>
        </is>
      </c>
      <c r="D14" s="10" t="inlineStr">
        <is>
          <t>SOC2 ISO27001</t>
        </is>
      </c>
      <c r="E14" s="10" t="inlineStr">
        <is>
          <t>Enhanced compliance frameworks</t>
        </is>
      </c>
      <c r="F14" s="10" t="inlineStr">
        <is>
          <t>Enterprise-scale compliance frameworks</t>
        </is>
      </c>
      <c r="G14" s="10" t="inlineStr">
        <is>
          <t>Sizing parameter for Compliance Frameworks</t>
        </is>
      </c>
      <c r="H14" s="10" t="inlineStr"/>
      <c r="I14" s="10" t="inlineStr"/>
      <c r="J14" s="10" t="inlineStr"/>
      <c r="K14" s="10" t="inlineStr"/>
    </row>
    <row r="15">
      <c r="A15" s="21" t="inlineStr">
        <is>
          <t>Performance</t>
        </is>
      </c>
      <c r="B15" s="21" t="inlineStr">
        <is>
          <t>Latency Requirements</t>
        </is>
      </c>
      <c r="C15" s="20" t="inlineStr">
        <is>
          <t>&lt;50ms inter-region</t>
        </is>
      </c>
      <c r="D15" s="21" t="inlineStr">
        <is>
          <t>&lt;50ms inter-region</t>
        </is>
      </c>
      <c r="E15" s="21" t="inlineStr">
        <is>
          <t>Enhanced latency requirements</t>
        </is>
      </c>
      <c r="F15" s="21" t="inlineStr">
        <is>
          <t>Enterprise-scale latency requirements</t>
        </is>
      </c>
      <c r="G15" s="21" t="inlineStr">
        <is>
          <t>Sizing parameter for Latency Requirements</t>
        </is>
      </c>
      <c r="H15" s="21" t="inlineStr"/>
      <c r="I15" s="21" t="inlineStr"/>
      <c r="J15" s="21" t="inlineStr"/>
      <c r="K15" s="21" t="inlineStr"/>
    </row>
    <row r="16">
      <c r="A16" s="10" t="inlineStr">
        <is>
          <t>Performance</t>
        </is>
      </c>
      <c r="B16" s="10" t="inlineStr">
        <is>
          <t>Routing Complexity</t>
        </is>
      </c>
      <c r="C16" s="20" t="inlineStr">
        <is>
          <t>BGP route propagation</t>
        </is>
      </c>
      <c r="D16" s="10" t="inlineStr">
        <is>
          <t>BGP route propagation</t>
        </is>
      </c>
      <c r="E16" s="10" t="inlineStr">
        <is>
          <t>Enhanced routing complexity</t>
        </is>
      </c>
      <c r="F16" s="10" t="inlineStr">
        <is>
          <t>Enterprise-scale routing complexity</t>
        </is>
      </c>
      <c r="G16" s="10" t="inlineStr">
        <is>
          <t>Sizing parameter for Routing Complexity</t>
        </is>
      </c>
      <c r="H16" s="10" t="inlineStr"/>
      <c r="I16" s="10" t="inlineStr"/>
      <c r="J16" s="10" t="inlineStr"/>
      <c r="K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(non-prod prod)</t>
        </is>
      </c>
      <c r="D17" s="21" t="inlineStr">
        <is>
          <t>2 environments (non-prod prod)</t>
        </is>
      </c>
      <c r="E17" s="21" t="inlineStr">
        <is>
          <t>Enhanced deployment environments</t>
        </is>
      </c>
      <c r="F17" s="21" t="inlineStr">
        <is>
          <t>Enterprise-scale deployment environments</t>
        </is>
      </c>
      <c r="G17" s="21" t="inlineStr">
        <is>
          <t>Sizing parameter for Deployment Environments</t>
        </is>
      </c>
      <c r="H17" s="21" t="inlineStr"/>
      <c r="I17" s="21" t="inlineStr"/>
      <c r="J17" s="21" t="inlineStr"/>
      <c r="K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Technical Leadership overhead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Azure Requirements Gathering</t>
        </is>
      </c>
      <c r="C2" s="10" t="inlineStr">
        <is>
          <t>Conduct stakeholder interviews for Azure cloud strategy</t>
        </is>
      </c>
      <c r="D2" s="10" t="inlineStr">
        <is>
          <t>EO Engineer</t>
        </is>
      </c>
      <c r="E2" s="27" t="n">
        <v>40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</f>
        <v/>
      </c>
      <c r="J2" s="10" t="inlineStr">
        <is>
          <t>$#</t>
        </is>
      </c>
      <c r="K2" s="10" t="inlineStr">
        <is>
          <t>##0"")</t>
        </is>
      </c>
      <c r="L2" s="10" t="inlineStr">
        <is>
          <t>$#</t>
        </is>
      </c>
      <c r="M2" s="10" t="inlineStr"/>
    </row>
    <row r="3">
      <c r="A3" s="21" t="inlineStr">
        <is>
          <t>Discovery</t>
        </is>
      </c>
      <c r="B3" s="21" t="inlineStr">
        <is>
          <t>Current Environment Assessment</t>
        </is>
      </c>
      <c r="C3" s="21" t="inlineStr">
        <is>
          <t>Analyze existing infrastructure and Azure readiness</t>
        </is>
      </c>
      <c r="D3" s="21" t="inlineStr">
        <is>
          <t>EO Engineer</t>
        </is>
      </c>
      <c r="E3" s="30" t="n">
        <v>32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</f>
        <v/>
      </c>
      <c r="J3" s="21" t="inlineStr">
        <is>
          <t>$#</t>
        </is>
      </c>
      <c r="K3" s="21" t="inlineStr">
        <is>
          <t>##0"")</t>
        </is>
      </c>
      <c r="L3" s="21" t="inlineStr">
        <is>
          <t>$#</t>
        </is>
      </c>
      <c r="M3" s="21" t="inlineStr"/>
    </row>
    <row r="4">
      <c r="A4" s="10" t="inlineStr">
        <is>
          <t>Discovery</t>
        </is>
      </c>
      <c r="B4" s="10" t="inlineStr">
        <is>
          <t>Azure Services Assessment</t>
        </is>
      </c>
      <c r="C4" s="10" t="inlineStr">
        <is>
          <t>Evaluate Azure services and landing zone requirements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</f>
        <v/>
      </c>
      <c r="J4" s="10" t="inlineStr">
        <is>
          <t>$#</t>
        </is>
      </c>
      <c r="K4" s="10" t="inlineStr">
        <is>
          <t>##0"")</t>
        </is>
      </c>
      <c r="L4" s="10" t="inlineStr">
        <is>
          <t>$#</t>
        </is>
      </c>
      <c r="M4" s="10" t="inlineStr"/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governance security and regulatory requirements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</f>
        <v/>
      </c>
      <c r="J5" s="21" t="inlineStr">
        <is>
          <t>$#</t>
        </is>
      </c>
      <c r="K5" s="21" t="inlineStr">
        <is>
          <t>##0"")</t>
        </is>
      </c>
      <c r="L5" s="21" t="inlineStr">
        <is>
          <t>$#</t>
        </is>
      </c>
      <c r="M5" s="21" t="inlineStr"/>
    </row>
    <row r="6">
      <c r="A6" s="10" t="inlineStr">
        <is>
          <t>Planning</t>
        </is>
      </c>
      <c r="B6" s="10" t="inlineStr">
        <is>
          <t>Azure Landing Zone Design</t>
        </is>
      </c>
      <c r="C6" s="10" t="inlineStr">
        <is>
          <t>Design Azure landing zone architecture and governance model</t>
        </is>
      </c>
      <c r="D6" s="10" t="inlineStr">
        <is>
          <t>EO Engineer</t>
        </is>
      </c>
      <c r="E6" s="27" t="n">
        <v>48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</f>
        <v/>
      </c>
      <c r="J6" s="10" t="inlineStr">
        <is>
          <t>$#</t>
        </is>
      </c>
      <c r="K6" s="10" t="inlineStr">
        <is>
          <t>##0"")</t>
        </is>
      </c>
      <c r="L6" s="10" t="inlineStr">
        <is>
          <t>$#</t>
        </is>
      </c>
      <c r="M6" s="10" t="inlineStr"/>
    </row>
    <row r="7">
      <c r="A7" s="21" t="inlineStr">
        <is>
          <t>Planning</t>
        </is>
      </c>
      <c r="B7" s="21" t="inlineStr">
        <is>
          <t>Identity and Access Design</t>
        </is>
      </c>
      <c r="C7" s="21" t="inlineStr">
        <is>
          <t>Design Azure AD integration and access management strategy</t>
        </is>
      </c>
      <c r="D7" s="21" t="inlineStr">
        <is>
          <t>EO Engineer</t>
        </is>
      </c>
      <c r="E7" s="30" t="n">
        <v>32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</f>
        <v/>
      </c>
      <c r="J7" s="21" t="inlineStr">
        <is>
          <t>$#</t>
        </is>
      </c>
      <c r="K7" s="21" t="inlineStr">
        <is>
          <t>##0"")</t>
        </is>
      </c>
      <c r="L7" s="21" t="inlineStr">
        <is>
          <t>$#</t>
        </is>
      </c>
      <c r="M7" s="21" t="inlineStr"/>
    </row>
    <row r="8">
      <c r="A8" s="10" t="inlineStr">
        <is>
          <t>Planning</t>
        </is>
      </c>
      <c r="B8" s="10" t="inlineStr">
        <is>
          <t>Network Architecture Design</t>
        </is>
      </c>
      <c r="C8" s="10" t="inlineStr">
        <is>
          <t>Design Azure networking security and hybrid connectivity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</f>
        <v/>
      </c>
      <c r="J8" s="10" t="inlineStr">
        <is>
          <t>$#</t>
        </is>
      </c>
      <c r="K8" s="10" t="inlineStr">
        <is>
          <t>##0"")</t>
        </is>
      </c>
      <c r="L8" s="10" t="inlineStr">
        <is>
          <t>$#</t>
        </is>
      </c>
      <c r="M8" s="10" t="inlineStr"/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Azure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</f>
        <v/>
      </c>
      <c r="J9" s="21" t="inlineStr">
        <is>
          <t>$#</t>
        </is>
      </c>
      <c r="K9" s="21" t="inlineStr">
        <is>
          <t>##0"")</t>
        </is>
      </c>
      <c r="L9" s="21" t="inlineStr">
        <is>
          <t>$#</t>
        </is>
      </c>
      <c r="M9" s="21" t="inlineStr"/>
    </row>
    <row r="10">
      <c r="A10" s="10" t="inlineStr">
        <is>
          <t>Development</t>
        </is>
      </c>
      <c r="B10" s="10" t="inlineStr">
        <is>
          <t>Management Groups and Subscriptions</t>
        </is>
      </c>
      <c r="C10" s="10" t="inlineStr">
        <is>
          <t>Configure Azure management groups subscription structure and policies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</f>
        <v/>
      </c>
      <c r="J10" s="10" t="inlineStr">
        <is>
          <t>$#</t>
        </is>
      </c>
      <c r="K10" s="10" t="inlineStr">
        <is>
          <t>##0"")</t>
        </is>
      </c>
      <c r="L10" s="10" t="inlineStr">
        <is>
          <t>$#</t>
        </is>
      </c>
      <c r="M10" s="10" t="inlineStr"/>
    </row>
    <row r="11">
      <c r="A11" s="21" t="inlineStr">
        <is>
          <t>Development</t>
        </is>
      </c>
      <c r="B11" s="21" t="inlineStr">
        <is>
          <t>Azure Policy Implementation</t>
        </is>
      </c>
      <c r="C11" s="21" t="inlineStr">
        <is>
          <t>Implement Azure policies governance controls and compliance</t>
        </is>
      </c>
      <c r="D11" s="21" t="inlineStr">
        <is>
          <t>EO Engineer</t>
        </is>
      </c>
      <c r="E11" s="30" t="n">
        <v>60</v>
      </c>
      <c r="F11" s="28">
        <f>'Estimate Settings'!$C$26</f>
        <v/>
      </c>
      <c r="G11" s="21">
        <f>$E11*$F11</f>
        <v/>
      </c>
      <c r="H11" s="31" t="n">
        <v>145</v>
      </c>
      <c r="I11" s="21">
        <f>TEXT($G11*$H11</f>
        <v/>
      </c>
      <c r="J11" s="21" t="inlineStr">
        <is>
          <t>$#</t>
        </is>
      </c>
      <c r="K11" s="21" t="inlineStr">
        <is>
          <t>##0"")</t>
        </is>
      </c>
      <c r="L11" s="21" t="inlineStr">
        <is>
          <t>$#</t>
        </is>
      </c>
      <c r="M11" s="21" t="inlineStr"/>
    </row>
    <row r="12">
      <c r="A12" s="10" t="inlineStr">
        <is>
          <t>Development</t>
        </is>
      </c>
      <c r="B12" s="10" t="inlineStr">
        <is>
          <t>Network Infrastructure</t>
        </is>
      </c>
      <c r="C12" s="10" t="inlineStr">
        <is>
          <t>Build Azure networking VNet peering and hybrid connectivity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140</v>
      </c>
      <c r="I12" s="10">
        <f>TEXT($G12*$H12</f>
        <v/>
      </c>
      <c r="J12" s="10" t="inlineStr">
        <is>
          <t>$#</t>
        </is>
      </c>
      <c r="K12" s="10" t="inlineStr">
        <is>
          <t>##0"")</t>
        </is>
      </c>
      <c r="L12" s="10" t="inlineStr">
        <is>
          <t>$#</t>
        </is>
      </c>
      <c r="M12" s="10" t="inlineStr"/>
    </row>
    <row r="13">
      <c r="A13" s="21" t="inlineStr">
        <is>
          <t>Development</t>
        </is>
      </c>
      <c r="B13" s="21" t="inlineStr">
        <is>
          <t>Identity and Access Implementation</t>
        </is>
      </c>
      <c r="C13" s="21" t="inlineStr">
        <is>
          <t>Implement Azure AD integration access controls and SSO</t>
        </is>
      </c>
      <c r="D13" s="21" t="inlineStr">
        <is>
          <t>EO Engineer</t>
        </is>
      </c>
      <c r="E13" s="30" t="n">
        <v>40</v>
      </c>
      <c r="F13" s="28">
        <f>'Estimate Settings'!$C$26</f>
        <v/>
      </c>
      <c r="G13" s="21">
        <f>$E13*$F13</f>
        <v/>
      </c>
      <c r="H13" s="31" t="n">
        <v>155</v>
      </c>
      <c r="I13" s="21">
        <f>TEXT($G13*$H13</f>
        <v/>
      </c>
      <c r="J13" s="21" t="inlineStr">
        <is>
          <t>$#</t>
        </is>
      </c>
      <c r="K13" s="21" t="inlineStr">
        <is>
          <t>##0"")</t>
        </is>
      </c>
      <c r="L13" s="21" t="inlineStr">
        <is>
          <t>$#</t>
        </is>
      </c>
      <c r="M13" s="21" t="inlineStr"/>
    </row>
    <row r="14">
      <c r="A14" s="10" t="inlineStr">
        <is>
          <t>Development</t>
        </is>
      </c>
      <c r="B14" s="10" t="inlineStr">
        <is>
          <t>Monitoring and Operations</t>
        </is>
      </c>
      <c r="C14" s="10" t="inlineStr">
        <is>
          <t>Build Azure monitoring logging alerting and operational tools</t>
        </is>
      </c>
      <c r="D14" s="10" t="inlineStr">
        <is>
          <t>EO Engineer</t>
        </is>
      </c>
      <c r="E14" s="27" t="n">
        <v>32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</f>
        <v/>
      </c>
      <c r="J14" s="10" t="inlineStr">
        <is>
          <t>$#</t>
        </is>
      </c>
      <c r="K14" s="10" t="inlineStr">
        <is>
          <t>##0"")</t>
        </is>
      </c>
      <c r="L14" s="10" t="inlineStr">
        <is>
          <t>$#</t>
        </is>
      </c>
      <c r="M14" s="10" t="inlineStr"/>
    </row>
    <row r="15">
      <c r="A15" s="21" t="inlineStr">
        <is>
          <t>Testing</t>
        </is>
      </c>
      <c r="B15" s="21" t="inlineStr">
        <is>
          <t>Unit Testing</t>
        </is>
      </c>
      <c r="C15" s="21" t="inlineStr">
        <is>
          <t>Develop automated tests for all solution components</t>
        </is>
      </c>
      <c r="D15" s="21" t="inlineStr">
        <is>
          <t>EO Engineer</t>
        </is>
      </c>
      <c r="E15" s="30" t="n">
        <v>32</v>
      </c>
      <c r="F15" s="28">
        <f>'Estimate Settings'!$C$27</f>
        <v/>
      </c>
      <c r="G15" s="21">
        <f>$E15*$F15</f>
        <v/>
      </c>
      <c r="H15" s="31" t="n">
        <v>120</v>
      </c>
      <c r="I15" s="21">
        <f>TEXT($G15*$H15</f>
        <v/>
      </c>
      <c r="J15" s="21" t="inlineStr">
        <is>
          <t>$#</t>
        </is>
      </c>
      <c r="K15" s="21" t="inlineStr">
        <is>
          <t>##0"")</t>
        </is>
      </c>
      <c r="L15" s="21" t="inlineStr">
        <is>
          <t>$#</t>
        </is>
      </c>
      <c r="M15" s="21" t="inlineStr"/>
    </row>
    <row r="16">
      <c r="A16" s="10" t="inlineStr">
        <is>
          <t>Testing</t>
        </is>
      </c>
      <c r="B16" s="10" t="inlineStr">
        <is>
          <t>Integration Testing</t>
        </is>
      </c>
      <c r="C16" s="10" t="inlineStr">
        <is>
          <t>Test system integrations data flows and external dependencies</t>
        </is>
      </c>
      <c r="D16" s="10" t="inlineStr">
        <is>
          <t>EO Engineer</t>
        </is>
      </c>
      <c r="E16" s="27" t="n">
        <v>40</v>
      </c>
      <c r="F16" s="28">
        <f>'Estimate Settings'!$C$27</f>
        <v/>
      </c>
      <c r="G16" s="10">
        <f>$E16*$F16</f>
        <v/>
      </c>
      <c r="H16" s="29" t="n">
        <v>120</v>
      </c>
      <c r="I16" s="10">
        <f>TEXT($G16*$H16</f>
        <v/>
      </c>
      <c r="J16" s="10" t="inlineStr">
        <is>
          <t>$#</t>
        </is>
      </c>
      <c r="K16" s="10" t="inlineStr">
        <is>
          <t>##0"")</t>
        </is>
      </c>
      <c r="L16" s="10" t="inlineStr">
        <is>
          <t>$#</t>
        </is>
      </c>
      <c r="M16" s="10" t="inlineStr"/>
    </row>
    <row r="17">
      <c r="A17" s="21" t="inlineStr">
        <is>
          <t>Testing</t>
        </is>
      </c>
      <c r="B17" s="21" t="inlineStr">
        <is>
          <t>Performance Testing</t>
        </is>
      </c>
      <c r="C17" s="21" t="inlineStr">
        <is>
          <t>Conduct load performance and scalability testing</t>
        </is>
      </c>
      <c r="D17" s="21" t="inlineStr">
        <is>
          <t>EO Engineer</t>
        </is>
      </c>
      <c r="E17" s="30" t="n">
        <v>24</v>
      </c>
      <c r="F17" s="28">
        <f>'Estimate Settings'!$C$27</f>
        <v/>
      </c>
      <c r="G17" s="21">
        <f>$E17*$F17</f>
        <v/>
      </c>
      <c r="H17" s="31" t="n">
        <v>140</v>
      </c>
      <c r="I17" s="21">
        <f>TEXT($G17*$H17</f>
        <v/>
      </c>
      <c r="J17" s="21" t="inlineStr">
        <is>
          <t>$#</t>
        </is>
      </c>
      <c r="K17" s="21" t="inlineStr">
        <is>
          <t>##0"")</t>
        </is>
      </c>
      <c r="L17" s="21" t="inlineStr">
        <is>
          <t>$#</t>
        </is>
      </c>
      <c r="M17" s="21" t="inlineStr"/>
    </row>
    <row r="18">
      <c r="A18" s="10" t="inlineStr">
        <is>
          <t>Testing</t>
        </is>
      </c>
      <c r="B18" s="10" t="inlineStr">
        <is>
          <t>Security Testing</t>
        </is>
      </c>
      <c r="C18" s="10" t="inlineStr">
        <is>
          <t>Perform security assessments penetration testing and compliance validation</t>
        </is>
      </c>
      <c r="D18" s="10" t="inlineStr">
        <is>
          <t>EO Engineer</t>
        </is>
      </c>
      <c r="E18" s="27" t="n">
        <v>16</v>
      </c>
      <c r="F18" s="28">
        <f>'Estimate Settings'!$C$27</f>
        <v/>
      </c>
      <c r="G18" s="10">
        <f>$E18*$F18</f>
        <v/>
      </c>
      <c r="H18" s="29" t="n">
        <v>175</v>
      </c>
      <c r="I18" s="10">
        <f>TEXT($G18*$H18</f>
        <v/>
      </c>
      <c r="J18" s="10" t="inlineStr">
        <is>
          <t>$#</t>
        </is>
      </c>
      <c r="K18" s="10" t="inlineStr">
        <is>
          <t>##0"")</t>
        </is>
      </c>
      <c r="L18" s="10" t="inlineStr">
        <is>
          <t>$#</t>
        </is>
      </c>
      <c r="M18" s="10" t="inlineStr"/>
    </row>
    <row r="19">
      <c r="A19" s="21" t="inlineStr">
        <is>
          <t>Testing</t>
        </is>
      </c>
      <c r="B19" s="21" t="inlineStr">
        <is>
          <t>User Acceptance Testing</t>
        </is>
      </c>
      <c r="C19" s="21" t="inlineStr">
        <is>
          <t>Coordinate UAT with business users and stakeholders</t>
        </is>
      </c>
      <c r="D19" s="21" t="inlineStr">
        <is>
          <t>EO Engineer</t>
        </is>
      </c>
      <c r="E19" s="30" t="n">
        <v>32</v>
      </c>
      <c r="F19" s="28">
        <f>'Estimate Settings'!$C$27</f>
        <v/>
      </c>
      <c r="G19" s="21">
        <f>$E19*$F19</f>
        <v/>
      </c>
      <c r="H19" s="31" t="n">
        <v>150</v>
      </c>
      <c r="I19" s="21">
        <f>TEXT($G19*$H19</f>
        <v/>
      </c>
      <c r="J19" s="21" t="inlineStr">
        <is>
          <t>$#</t>
        </is>
      </c>
      <c r="K19" s="21" t="inlineStr">
        <is>
          <t>##0"")</t>
        </is>
      </c>
      <c r="L19" s="21" t="inlineStr">
        <is>
          <t>$#</t>
        </is>
      </c>
      <c r="M19" s="21" t="inlineStr"/>
    </row>
    <row r="20">
      <c r="A20" s="10" t="inlineStr">
        <is>
          <t>Deployment</t>
        </is>
      </c>
      <c r="B20" s="10" t="inlineStr">
        <is>
          <t>Production Deployment</t>
        </is>
      </c>
      <c r="C20" s="10" t="inlineStr">
        <is>
          <t>Deploy solution to production environment with monitoring</t>
        </is>
      </c>
      <c r="D20" s="10" t="inlineStr">
        <is>
          <t>EO Engineer</t>
        </is>
      </c>
      <c r="E20" s="27" t="n">
        <v>24</v>
      </c>
      <c r="F20" s="28">
        <f>'Estimate Settings'!$C$28</f>
        <v/>
      </c>
      <c r="G20" s="10">
        <f>$E20*$F20</f>
        <v/>
      </c>
      <c r="H20" s="29" t="n">
        <v>160</v>
      </c>
      <c r="I20" s="10">
        <f>TEXT($G20*$H20</f>
        <v/>
      </c>
      <c r="J20" s="10" t="inlineStr">
        <is>
          <t>$#</t>
        </is>
      </c>
      <c r="K20" s="10" t="inlineStr">
        <is>
          <t>##0"")</t>
        </is>
      </c>
      <c r="L20" s="10" t="inlineStr">
        <is>
          <t>$#</t>
        </is>
      </c>
      <c r="M20" s="10" t="inlineStr"/>
    </row>
    <row r="21">
      <c r="A21" s="21" t="inlineStr">
        <is>
          <t>Deployment</t>
        </is>
      </c>
      <c r="B21" s="21" t="inlineStr">
        <is>
          <t>Go-Live Support</t>
        </is>
      </c>
      <c r="C21" s="21" t="inlineStr">
        <is>
          <t>Provide comprehensive support during initial production rollout</t>
        </is>
      </c>
      <c r="D21" s="21" t="inlineStr">
        <is>
          <t>EO Engineer</t>
        </is>
      </c>
      <c r="E21" s="30" t="n">
        <v>48</v>
      </c>
      <c r="F21" s="28">
        <f>'Estimate Settings'!$C$28</f>
        <v/>
      </c>
      <c r="G21" s="21">
        <f>$E21*$F21</f>
        <v/>
      </c>
      <c r="H21" s="31" t="n">
        <v>110</v>
      </c>
      <c r="I21" s="21">
        <f>TEXT($G21*$H21</f>
        <v/>
      </c>
      <c r="J21" s="21" t="inlineStr">
        <is>
          <t>$#</t>
        </is>
      </c>
      <c r="K21" s="21" t="inlineStr">
        <is>
          <t>##0"")</t>
        </is>
      </c>
      <c r="L21" s="21" t="inlineStr">
        <is>
          <t>$#</t>
        </is>
      </c>
      <c r="M21" s="21" t="inlineStr"/>
    </row>
    <row r="22">
      <c r="A22" s="10" t="inlineStr">
        <is>
          <t>Training</t>
        </is>
      </c>
      <c r="B22" s="10" t="inlineStr">
        <is>
          <t>Administrator Training</t>
        </is>
      </c>
      <c r="C22" s="10" t="inlineStr">
        <is>
          <t>Train system administrators and technical support teams</t>
        </is>
      </c>
      <c r="D22" s="10" t="inlineStr">
        <is>
          <t>EO Engineer</t>
        </is>
      </c>
      <c r="E22" s="27" t="n">
        <v>16</v>
      </c>
      <c r="F22" s="28">
        <f>'Estimate Settings'!$C$29</f>
        <v/>
      </c>
      <c r="G22" s="10">
        <f>$E22*$F22</f>
        <v/>
      </c>
      <c r="H22" s="29" t="n">
        <v>130</v>
      </c>
      <c r="I22" s="10">
        <f>TEXT($G22*$H22</f>
        <v/>
      </c>
      <c r="J22" s="10" t="inlineStr">
        <is>
          <t>$#</t>
        </is>
      </c>
      <c r="K22" s="10" t="inlineStr">
        <is>
          <t>##0"")</t>
        </is>
      </c>
      <c r="L22" s="10" t="inlineStr">
        <is>
          <t>$#</t>
        </is>
      </c>
      <c r="M22" s="10" t="inlineStr"/>
    </row>
    <row r="23">
      <c r="A23" s="21" t="inlineStr">
        <is>
          <t>Training</t>
        </is>
      </c>
      <c r="B23" s="21" t="inlineStr">
        <is>
          <t>End User Training</t>
        </is>
      </c>
      <c r="C23" s="21" t="inlineStr">
        <is>
          <t>Train business users on solution functionality and workflows</t>
        </is>
      </c>
      <c r="D23" s="21" t="inlineStr">
        <is>
          <t>EO Engineer</t>
        </is>
      </c>
      <c r="E23" s="30" t="n">
        <v>24</v>
      </c>
      <c r="F23" s="28">
        <f>'Estimate Settings'!$C$29</f>
        <v/>
      </c>
      <c r="G23" s="21">
        <f>$E23*$F23</f>
        <v/>
      </c>
      <c r="H23" s="31" t="n">
        <v>120</v>
      </c>
      <c r="I23" s="21">
        <f>TEXT($G23*$H23</f>
        <v/>
      </c>
      <c r="J23" s="21" t="inlineStr">
        <is>
          <t>$#</t>
        </is>
      </c>
      <c r="K23" s="21" t="inlineStr">
        <is>
          <t>##0"")</t>
        </is>
      </c>
      <c r="L23" s="21" t="inlineStr">
        <is>
          <t>$#</t>
        </is>
      </c>
      <c r="M23" s="21" t="inlineStr"/>
    </row>
    <row r="24">
      <c r="A24" s="10" t="inlineStr">
        <is>
          <t>Training</t>
        </is>
      </c>
      <c r="B24" s="10" t="inlineStr">
        <is>
          <t>Documentation</t>
        </is>
      </c>
      <c r="C24" s="10" t="inlineStr">
        <is>
          <t>Create comprehensive technical and user documentation</t>
        </is>
      </c>
      <c r="D24" s="10" t="inlineStr">
        <is>
          <t>EO Engineer</t>
        </is>
      </c>
      <c r="E24" s="27" t="n">
        <v>32</v>
      </c>
      <c r="F24" s="28">
        <f>'Estimate Settings'!$C$29</f>
        <v/>
      </c>
      <c r="G24" s="10">
        <f>$E24*$F24</f>
        <v/>
      </c>
      <c r="H24" s="29" t="n">
        <v>110</v>
      </c>
      <c r="I24" s="10">
        <f>TEXT($G24*$H24</f>
        <v/>
      </c>
      <c r="J24" s="10" t="inlineStr">
        <is>
          <t>$#</t>
        </is>
      </c>
      <c r="K24" s="10" t="inlineStr">
        <is>
          <t>##0"")</t>
        </is>
      </c>
      <c r="L24" s="10" t="inlineStr">
        <is>
          <t>$#</t>
        </is>
      </c>
      <c r="M24" s="10" t="inlineStr"/>
    </row>
    <row r="25">
      <c r="A25" s="21" t="inlineStr">
        <is>
          <t>Closeout</t>
        </is>
      </c>
      <c r="B25" s="21" t="inlineStr">
        <is>
          <t>Knowledge Transfer</t>
        </is>
      </c>
      <c r="C25" s="21" t="inlineStr">
        <is>
          <t>Transfer solution ownership to operations and support teams</t>
        </is>
      </c>
      <c r="D25" s="21" t="inlineStr">
        <is>
          <t>EO Engineer</t>
        </is>
      </c>
      <c r="E25" s="30" t="n">
        <v>16</v>
      </c>
      <c r="F25" s="28">
        <f>'Estimate Settings'!$C$30</f>
        <v/>
      </c>
      <c r="G25" s="21">
        <f>$E25*$F25</f>
        <v/>
      </c>
      <c r="H25" s="31" t="n">
        <v>140</v>
      </c>
      <c r="I25" s="21">
        <f>TEXT($G25*$H25</f>
        <v/>
      </c>
      <c r="J25" s="21" t="inlineStr">
        <is>
          <t>$#</t>
        </is>
      </c>
      <c r="K25" s="21" t="inlineStr">
        <is>
          <t>##0"")</t>
        </is>
      </c>
      <c r="L25" s="21" t="inlineStr">
        <is>
          <t>$#</t>
        </is>
      </c>
      <c r="M25" s="21" t="inlineStr"/>
    </row>
    <row r="26">
      <c r="A26" s="10" t="inlineStr">
        <is>
          <t>Closeout</t>
        </is>
      </c>
      <c r="B26" s="10" t="inlineStr">
        <is>
          <t>Performance Baseline</t>
        </is>
      </c>
      <c r="C26" s="10" t="inlineStr">
        <is>
          <t>Establish performance metrics monitoring baselines and SLAs</t>
        </is>
      </c>
      <c r="D26" s="10" t="inlineStr">
        <is>
          <t>EO Engineer</t>
        </is>
      </c>
      <c r="E26" s="27" t="n">
        <v>8</v>
      </c>
      <c r="F26" s="28">
        <f>'Estimate Settings'!$C$30</f>
        <v/>
      </c>
      <c r="G26" s="10">
        <f>$E26*$F26</f>
        <v/>
      </c>
      <c r="H26" s="29" t="n">
        <v>130</v>
      </c>
      <c r="I26" s="10">
        <f>TEXT($G26*$H26</f>
        <v/>
      </c>
      <c r="J26" s="10" t="inlineStr">
        <is>
          <t>$#</t>
        </is>
      </c>
      <c r="K26" s="10" t="inlineStr">
        <is>
          <t>##0"")</t>
        </is>
      </c>
      <c r="L26" s="10" t="inlineStr">
        <is>
          <t>$#</t>
        </is>
      </c>
      <c r="M26" s="10" t="inlineStr"/>
    </row>
    <row r="27">
      <c r="A27" s="21" t="inlineStr">
        <is>
          <t>Management</t>
        </is>
      </c>
      <c r="B27" s="21" t="inlineStr">
        <is>
          <t>Technical Leadership</t>
        </is>
      </c>
      <c r="C27" s="21" t="inlineStr">
        <is>
          <t>Quarterback technical oversight and architecture review</t>
        </is>
      </c>
      <c r="D27" s="21" t="inlineStr">
        <is>
          <t>EO Quarterback</t>
        </is>
      </c>
      <c r="E27" s="21">
        <f>ROUND(SUM(E2:E26)*0.25,='Estimate Settings'!$C$31,=$E27*$F27,0)</f>
        <v/>
      </c>
      <c r="F27" s="28">
        <f>TEXT($G27*$H27</f>
        <v/>
      </c>
      <c r="G27" s="21" t="inlineStr">
        <is>
          <t>$#</t>
        </is>
      </c>
      <c r="H27" s="21" t="inlineStr">
        <is>
          <t>##0"")</t>
        </is>
      </c>
      <c r="I27" s="21">
        <f>TEXT(E27*F27,##0")</f>
        <v/>
      </c>
    </row>
    <row r="28">
      <c r="A28" s="10" t="inlineStr">
        <is>
          <t>Management</t>
        </is>
      </c>
      <c r="B28" s="10" t="inlineStr">
        <is>
          <t>Project Management</t>
        </is>
      </c>
      <c r="C28" s="10" t="inlineStr">
        <is>
          <t>Project coordination and management activities</t>
        </is>
      </c>
      <c r="D28" s="10" t="inlineStr">
        <is>
          <t>EO Project Manager</t>
        </is>
      </c>
      <c r="E28" s="10">
        <f>ROUND(SUM(E2:E26)*0.20,='Estimate Settings'!$C$31,=$E28*$F28,0)</f>
        <v/>
      </c>
      <c r="F28" s="28">
        <f>TEXT($G28*$H28</f>
        <v/>
      </c>
      <c r="G28" s="10" t="inlineStr">
        <is>
          <t>$#</t>
        </is>
      </c>
      <c r="H28" s="10" t="inlineStr">
        <is>
          <t>##0"")</t>
        </is>
      </c>
      <c r="I28" s="10">
        <f>TEXT(E28*F28,##0")</f>
        <v/>
      </c>
    </row>
    <row r="29">
      <c r="A29" s="28" t="inlineStr"/>
      <c r="B29" s="28" t="inlineStr"/>
      <c r="C29" s="28" t="inlineStr"/>
      <c r="D29" s="28" t="inlineStr"/>
      <c r="E29" s="32" t="inlineStr"/>
      <c r="F29" s="16" t="inlineStr">
        <is>
          <t>TOTAL HOURS</t>
        </is>
      </c>
      <c r="G29" s="16">
        <f>SUM($G$2:$G$28)</f>
        <v/>
      </c>
      <c r="H29" s="16" t="inlineStr">
        <is>
          <t>TOTAL COST</t>
        </is>
      </c>
      <c r="I29" s="16">
        <f>TEXT(SUMPRODUCT($G$2:$G$28</f>
        <v/>
      </c>
      <c r="J29" s="16" t="inlineStr">
        <is>
          <t>$H$33:$H$59)</t>
        </is>
      </c>
      <c r="K29" s="16" t="inlineStr">
        <is>
          <t>$#</t>
        </is>
      </c>
      <c r="L29" s="16" t="inlineStr">
        <is>
          <t>##0"")</t>
        </is>
      </c>
      <c r="M29" s="28" t="inlineStr"/>
      <c r="N29" s="16" t="inlineStr">
        <is>
          <t>EO Sales Engineer: Update multipliers based on customer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2025-11-18T22:47:57Z</dcterms:modified>
</cp:coreProperties>
</file>