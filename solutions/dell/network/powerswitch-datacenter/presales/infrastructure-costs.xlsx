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Guidelines'!$A$2:$F$8</definedName>
    <definedName name="_xlnm._FilterDatabase" localSheetId="2" hidden="1">'Infrastructure Costs'!$A$2:$K$17</definedName>
    <definedName name="_xlnm._FilterDatabase" localSheetId="3" hidden="1">'Credits'!$A$2:$D$4</definedName>
    <definedName name="_xlnm._FilterDatabase" localSheetId="4" hidden="1">'3-Year Summary'!$A$2:$G$11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Powerswitch Datacenter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 (20 racks)</t>
        </is>
      </c>
      <c r="D2" s="36" t="inlineStr">
        <is>
          <t>Medium (40 racks)</t>
        </is>
      </c>
      <c r="E2" s="36" t="inlineStr">
        <is>
          <t>Large (80 racks)</t>
        </is>
      </c>
      <c r="F2" s="36" t="inlineStr">
        <is>
          <t>Notes</t>
        </is>
      </c>
    </row>
    <row r="3" ht="26" customHeight="1">
      <c r="A3" s="37" t="inlineStr">
        <is>
          <t>Spine Switches</t>
        </is>
      </c>
      <c r="B3" s="38" t="inlineStr">
        <is>
          <t>Dell Z9432F-ON 100GbE</t>
        </is>
      </c>
      <c r="C3" s="39" t="inlineStr">
        <is>
          <t>2 spines</t>
        </is>
      </c>
      <c r="D3" s="39" t="inlineStr">
        <is>
          <t>4 spines</t>
        </is>
      </c>
      <c r="E3" s="39" t="inlineStr">
        <is>
          <t>6 spines</t>
        </is>
      </c>
      <c r="F3" s="38" t="inlineStr">
        <is>
          <t>Dual-plane redundancy for resiliency</t>
        </is>
      </c>
    </row>
    <row r="4" ht="26" customHeight="1">
      <c r="A4" s="40" t="inlineStr">
        <is>
          <t>Leaf Switches</t>
        </is>
      </c>
      <c r="B4" s="41" t="inlineStr">
        <is>
          <t>Dell S5248F-ON 25GbE ToR</t>
        </is>
      </c>
      <c r="C4" s="42" t="inlineStr">
        <is>
          <t>20 leaf switches</t>
        </is>
      </c>
      <c r="D4" s="42" t="inlineStr">
        <is>
          <t>40 leaf switches</t>
        </is>
      </c>
      <c r="E4" s="42" t="inlineStr">
        <is>
          <t>80 leaf switches</t>
        </is>
      </c>
      <c r="F4" s="41" t="inlineStr">
        <is>
          <t>1 ToR switch per rack typical</t>
        </is>
      </c>
    </row>
    <row r="5" ht="26" customHeight="1">
      <c r="A5" s="37" t="inlineStr">
        <is>
          <t>Server Ports</t>
        </is>
      </c>
      <c r="B5" s="38" t="inlineStr">
        <is>
          <t>25GbE Server Connectivity</t>
        </is>
      </c>
      <c r="C5" s="39" t="inlineStr">
        <is>
          <t>960 ports (48/switch)</t>
        </is>
      </c>
      <c r="D5" s="39" t="inlineStr">
        <is>
          <t>1920 ports</t>
        </is>
      </c>
      <c r="E5" s="39" t="inlineStr">
        <is>
          <t>3840 ports</t>
        </is>
      </c>
      <c r="F5" s="38" t="inlineStr">
        <is>
          <t>48 ports per leaf switch</t>
        </is>
      </c>
    </row>
    <row r="6" ht="26" customHeight="1">
      <c r="A6" s="40" t="inlineStr">
        <is>
          <t>Uplink Capacity</t>
        </is>
      </c>
      <c r="B6" s="41" t="inlineStr">
        <is>
          <t>Spine-Leaf Bandwidth</t>
        </is>
      </c>
      <c r="C6" s="42" t="inlineStr">
        <is>
          <t>800Gbps (2 spines)</t>
        </is>
      </c>
      <c r="D6" s="42" t="inlineStr">
        <is>
          <t>1.6Tbps (4 spines)</t>
        </is>
      </c>
      <c r="E6" s="42" t="inlineStr">
        <is>
          <t>2.4Tbps (6 spines)</t>
        </is>
      </c>
      <c r="F6" s="41" t="inlineStr">
        <is>
          <t>100GbE uplinks per leaf to each spine</t>
        </is>
      </c>
    </row>
    <row r="7" ht="26" customHeight="1">
      <c r="A7" s="37" t="inlineStr">
        <is>
          <t>Oversubscription Ratio</t>
        </is>
      </c>
      <c r="B7" s="38" t="inlineStr">
        <is>
          <t>Bandwidth Allocation</t>
        </is>
      </c>
      <c r="C7" s="39" t="inlineStr">
        <is>
          <t>3:1 typical</t>
        </is>
      </c>
      <c r="D7" s="39" t="inlineStr">
        <is>
          <t>3:1 typical</t>
        </is>
      </c>
      <c r="E7" s="39" t="inlineStr">
        <is>
          <t>3:1 typical</t>
        </is>
      </c>
      <c r="F7" s="38" t="inlineStr">
        <is>
          <t>Enterprise standard for cost optimization</t>
        </is>
      </c>
    </row>
    <row r="8" ht="26" customHeight="1">
      <c r="A8" s="40" t="inlineStr">
        <is>
          <t>Management Platform</t>
        </is>
      </c>
      <c r="B8" s="41" t="inlineStr">
        <is>
          <t>Dell SmartFabric Services</t>
        </is>
      </c>
      <c r="C8" s="42" t="inlineStr">
        <is>
          <t>Included</t>
        </is>
      </c>
      <c r="D8" s="42" t="inlineStr">
        <is>
          <t>Included</t>
        </is>
      </c>
      <c r="E8" s="42" t="inlineStr">
        <is>
          <t>Included</t>
        </is>
      </c>
      <c r="F8" s="41" t="inlineStr">
        <is>
          <t>Zero-touch provisioning and lifecycle management</t>
        </is>
      </c>
    </row>
  </sheetData>
  <autoFilter ref="A2:F8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6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Spine Switches</t>
        </is>
      </c>
      <c r="B3" s="44" t="inlineStr">
        <is>
          <t>Dell Z9432F-ON</t>
        </is>
      </c>
      <c r="C3" s="44" t="inlineStr">
        <is>
          <t>32-port 100GbE spine switch with OS10 for high-capacity fabric</t>
        </is>
      </c>
      <c r="D3" s="45" t="n">
        <v>4</v>
      </c>
      <c r="E3" s="44" t="inlineStr">
        <is>
          <t>Switches</t>
        </is>
      </c>
      <c r="F3" s="46" t="n">
        <v>95000</v>
      </c>
      <c r="G3" s="46" t="n">
        <v>380000</v>
      </c>
      <c r="H3" s="46" t="n">
        <v>0</v>
      </c>
      <c r="I3" s="46" t="n">
        <v>0</v>
      </c>
      <c r="J3" s="46" t="n">
        <v>380000</v>
      </c>
      <c r="K3" s="44" t="inlineStr">
        <is>
          <t>Redundant spine-leaf architecture</t>
        </is>
      </c>
    </row>
    <row r="4" ht="26" customHeight="1">
      <c r="A4" s="47" t="inlineStr">
        <is>
          <t>Leaf Switches</t>
        </is>
      </c>
      <c r="B4" s="48" t="inlineStr">
        <is>
          <t>Dell S5248F-ON</t>
        </is>
      </c>
      <c r="C4" s="48" t="inlineStr">
        <is>
          <t>48-port 25GbE leaf ToR switch for server connectivity</t>
        </is>
      </c>
      <c r="D4" s="49" t="n">
        <v>40</v>
      </c>
      <c r="E4" s="48" t="inlineStr">
        <is>
          <t>Switches</t>
        </is>
      </c>
      <c r="F4" s="50" t="n">
        <v>18000</v>
      </c>
      <c r="G4" s="50" t="n">
        <v>720000</v>
      </c>
      <c r="H4" s="50" t="n">
        <v>0</v>
      </c>
      <c r="I4" s="50" t="n">
        <v>0</v>
      </c>
      <c r="J4" s="50" t="n">
        <v>720000</v>
      </c>
      <c r="K4" s="48" t="inlineStr">
        <is>
          <t>1 ToR per rack deployment</t>
        </is>
      </c>
    </row>
    <row r="5" ht="26" customHeight="1">
      <c r="A5" s="43" t="inlineStr">
        <is>
          <t>Aggregation Switches</t>
        </is>
      </c>
      <c r="B5" s="44" t="inlineStr">
        <is>
          <t>Dell S5296F-ON</t>
        </is>
      </c>
      <c r="C5" s="44" t="inlineStr">
        <is>
          <t>96-port 25GbE aggregation for border/services</t>
        </is>
      </c>
      <c r="D5" s="45" t="n">
        <v>2</v>
      </c>
      <c r="E5" s="44" t="inlineStr">
        <is>
          <t>Switches</t>
        </is>
      </c>
      <c r="F5" s="46" t="n">
        <v>48000</v>
      </c>
      <c r="G5" s="46" t="n">
        <v>96000</v>
      </c>
      <c r="H5" s="46" t="n">
        <v>0</v>
      </c>
      <c r="I5" s="46" t="n">
        <v>0</v>
      </c>
      <c r="J5" s="46" t="n">
        <v>96000</v>
      </c>
      <c r="K5" s="44" t="inlineStr">
        <is>
          <t>Border leafs for external connectivity</t>
        </is>
      </c>
    </row>
    <row r="6" ht="26" customHeight="1">
      <c r="A6" s="47" t="inlineStr">
        <is>
          <t>Optics</t>
        </is>
      </c>
      <c r="B6" s="48" t="inlineStr">
        <is>
          <t>100GbE QSFP28 Transceivers</t>
        </is>
      </c>
      <c r="C6" s="48" t="inlineStr">
        <is>
          <t>Fiber optic transceivers for spine-leaf interconnects</t>
        </is>
      </c>
      <c r="D6" s="49" t="n">
        <v>200</v>
      </c>
      <c r="E6" s="48" t="inlineStr">
        <is>
          <t>Transceivers</t>
        </is>
      </c>
      <c r="F6" s="50" t="n">
        <v>850</v>
      </c>
      <c r="G6" s="50" t="n">
        <v>170000</v>
      </c>
      <c r="H6" s="50" t="n">
        <v>0</v>
      </c>
      <c r="I6" s="50" t="n">
        <v>0</v>
      </c>
      <c r="J6" s="50" t="n">
        <v>170000</v>
      </c>
      <c r="K6" s="48" t="inlineStr">
        <is>
          <t>High-speed fabric connectivity</t>
        </is>
      </c>
    </row>
    <row r="7" ht="26" customHeight="1">
      <c r="A7" s="43" t="inlineStr">
        <is>
          <t>Optics</t>
        </is>
      </c>
      <c r="B7" s="44" t="inlineStr">
        <is>
          <t>25GbE SFP28 Transceivers</t>
        </is>
      </c>
      <c r="C7" s="44" t="inlineStr">
        <is>
          <t>Fiber optic transceivers for server connectivity</t>
        </is>
      </c>
      <c r="D7" s="45" t="n">
        <v>1200</v>
      </c>
      <c r="E7" s="44" t="inlineStr">
        <is>
          <t>Transceivers</t>
        </is>
      </c>
      <c r="F7" s="46" t="n">
        <v>400</v>
      </c>
      <c r="G7" s="46" t="n">
        <v>480000</v>
      </c>
      <c r="H7" s="46" t="n">
        <v>0</v>
      </c>
      <c r="I7" s="46" t="n">
        <v>0</v>
      </c>
      <c r="J7" s="46" t="n">
        <v>480000</v>
      </c>
      <c r="K7" s="44" t="inlineStr">
        <is>
          <t>Server uplinks (30 per switch average)</t>
        </is>
      </c>
    </row>
    <row r="8" ht="26" customHeight="1">
      <c r="A8" s="47" t="inlineStr">
        <is>
          <t>Cabling</t>
        </is>
      </c>
      <c r="B8" s="48" t="inlineStr">
        <is>
          <t>25GbE DAC 3m</t>
        </is>
      </c>
      <c r="C8" s="48" t="inlineStr">
        <is>
          <t>Direct-attach copper cables for short-reach connections</t>
        </is>
      </c>
      <c r="D8" s="49" t="n">
        <v>1200</v>
      </c>
      <c r="E8" s="48" t="inlineStr">
        <is>
          <t>Cables</t>
        </is>
      </c>
      <c r="F8" s="50" t="n">
        <v>50</v>
      </c>
      <c r="G8" s="50" t="n">
        <v>60000</v>
      </c>
      <c r="H8" s="50" t="n">
        <v>0</v>
      </c>
      <c r="I8" s="50" t="n">
        <v>0</v>
      </c>
      <c r="J8" s="50" t="n">
        <v>60000</v>
      </c>
      <c r="K8" s="48" t="inlineStr">
        <is>
          <t>Cost-effective short-reach cabling</t>
        </is>
      </c>
    </row>
    <row r="9" ht="26" customHeight="1">
      <c r="A9" s="43" t="inlineStr">
        <is>
          <t>Cabling</t>
        </is>
      </c>
      <c r="B9" s="44" t="inlineStr">
        <is>
          <t>OM4 Fiber Cables</t>
        </is>
      </c>
      <c r="C9" s="44" t="inlineStr">
        <is>
          <t>Multimode fiber for spine-leaf and longer runs</t>
        </is>
      </c>
      <c r="D9" s="45" t="n">
        <v>200</v>
      </c>
      <c r="E9" s="44" t="inlineStr">
        <is>
          <t>Cables</t>
        </is>
      </c>
      <c r="F9" s="46" t="n">
        <v>45</v>
      </c>
      <c r="G9" s="46" t="n">
        <v>9000</v>
      </c>
      <c r="H9" s="46" t="n">
        <v>0</v>
      </c>
      <c r="I9" s="46" t="n">
        <v>0</v>
      </c>
      <c r="J9" s="46" t="n">
        <v>9000</v>
      </c>
      <c r="K9" s="44" t="inlineStr">
        <is>
          <t>Long-distance high-speed connectivity</t>
        </is>
      </c>
    </row>
    <row r="10" ht="26" customHeight="1">
      <c r="A10" s="47" t="inlineStr">
        <is>
          <t>Software</t>
        </is>
      </c>
      <c r="B10" s="48" t="inlineStr">
        <is>
          <t>OS10 Enterprise per Switch</t>
        </is>
      </c>
      <c r="C10" s="48" t="inlineStr">
        <is>
          <t>Enterprise OS10 licensing for advanced features</t>
        </is>
      </c>
      <c r="D10" s="49" t="n">
        <v>46</v>
      </c>
      <c r="E10" s="48" t="inlineStr">
        <is>
          <t>Switches</t>
        </is>
      </c>
      <c r="F10" s="50" t="n">
        <v>2500</v>
      </c>
      <c r="G10" s="50" t="n">
        <v>115000</v>
      </c>
      <c r="H10" s="50" t="n">
        <v>0</v>
      </c>
      <c r="I10" s="50" t="n">
        <v>0</v>
      </c>
      <c r="J10" s="50" t="n">
        <v>115000</v>
      </c>
      <c r="K10" s="48" t="inlineStr">
        <is>
          <t>Full OS10 feature set</t>
        </is>
      </c>
    </row>
    <row r="11" ht="26" customHeight="1">
      <c r="A11" s="43" t="inlineStr">
        <is>
          <t>Software</t>
        </is>
      </c>
      <c r="B11" s="44" t="inlineStr">
        <is>
          <t>Dell SmartFabric Services</t>
        </is>
      </c>
      <c r="C11" s="44" t="inlineStr">
        <is>
          <t>Fabric orchestration and zero-touch provisioning for 3 years</t>
        </is>
      </c>
      <c r="D11" s="45" t="n">
        <v>1</v>
      </c>
      <c r="E11" s="44" t="inlineStr">
        <is>
          <t>Subscription</t>
        </is>
      </c>
      <c r="F11" s="46" t="n">
        <v>45000</v>
      </c>
      <c r="G11" s="46" t="n">
        <v>45000</v>
      </c>
      <c r="H11" s="46" t="n">
        <v>0</v>
      </c>
      <c r="I11" s="46" t="n">
        <v>0</v>
      </c>
      <c r="J11" s="46" t="n">
        <v>45000</v>
      </c>
      <c r="K11" s="44" t="inlineStr">
        <is>
          <t>Automated lifecycle management</t>
        </is>
      </c>
    </row>
    <row r="12" ht="26" customHeight="1">
      <c r="A12" s="47" t="inlineStr">
        <is>
          <t>Support &amp; Maintenance</t>
        </is>
      </c>
      <c r="B12" s="48" t="inlineStr">
        <is>
          <t>ProSupport Plus 24x7</t>
        </is>
      </c>
      <c r="C12" s="48" t="inlineStr">
        <is>
          <t>Hardware support for all switches 3-year contract</t>
        </is>
      </c>
      <c r="D12" s="49" t="n">
        <v>46</v>
      </c>
      <c r="E12" s="48" t="inlineStr">
        <is>
          <t>Switches/3-Year</t>
        </is>
      </c>
      <c r="F12" s="50" t="n">
        <v>3600</v>
      </c>
      <c r="G12" s="50" t="n">
        <v>0</v>
      </c>
      <c r="H12" s="50" t="n">
        <v>0</v>
      </c>
      <c r="I12" s="50" t="n">
        <v>0</v>
      </c>
      <c r="J12" s="50" t="n">
        <v>165600</v>
      </c>
      <c r="K12" s="48" t="inlineStr">
        <is>
          <t>24x7 support with 4-hour response</t>
        </is>
      </c>
    </row>
    <row r="13" ht="26" customHeight="1">
      <c r="A13" s="43" t="inlineStr">
        <is>
          <t>Professional Services</t>
        </is>
      </c>
      <c r="B13" s="44" t="inlineStr">
        <is>
          <t>Network Design</t>
        </is>
      </c>
      <c r="C13" s="44" t="inlineStr">
        <is>
          <t>Spine-leaf architecture design and capacity planning</t>
        </is>
      </c>
      <c r="D13" s="45" t="n">
        <v>80</v>
      </c>
      <c r="E13" s="44" t="inlineStr">
        <is>
          <t>Hours</t>
        </is>
      </c>
      <c r="F13" s="46" t="n">
        <v>250</v>
      </c>
      <c r="G13" s="46" t="n">
        <v>20000</v>
      </c>
      <c r="H13" s="46" t="n">
        <v>0</v>
      </c>
      <c r="I13" s="46" t="n">
        <v>0</v>
      </c>
      <c r="J13" s="46" t="n">
        <v>20000</v>
      </c>
      <c r="K13" s="44" t="inlineStr">
        <is>
          <t>Architecture and IP addressing design</t>
        </is>
      </c>
    </row>
    <row r="14" ht="26" customHeight="1">
      <c r="A14" s="47" t="inlineStr">
        <is>
          <t>Professional Services</t>
        </is>
      </c>
      <c r="B14" s="48" t="inlineStr">
        <is>
          <t>Installation and Configuration</t>
        </is>
      </c>
      <c r="C14" s="48" t="inlineStr">
        <is>
          <t>Switch installation OS10 config BGP and VXLAN setup</t>
        </is>
      </c>
      <c r="D14" s="49" t="n">
        <v>160</v>
      </c>
      <c r="E14" s="48" t="inlineStr">
        <is>
          <t>Hours</t>
        </is>
      </c>
      <c r="F14" s="50" t="n">
        <v>200</v>
      </c>
      <c r="G14" s="50" t="n">
        <v>32000</v>
      </c>
      <c r="H14" s="50" t="n">
        <v>0</v>
      </c>
      <c r="I14" s="50" t="n">
        <v>0</v>
      </c>
      <c r="J14" s="50" t="n">
        <v>32000</v>
      </c>
      <c r="K14" s="48" t="inlineStr">
        <is>
          <t>Deployment and configuration services</t>
        </is>
      </c>
    </row>
    <row r="15" ht="26" customHeight="1">
      <c r="A15" s="43" t="inlineStr">
        <is>
          <t>Professional Services</t>
        </is>
      </c>
      <c r="B15" s="44" t="inlineStr">
        <is>
          <t>Migration Services</t>
        </is>
      </c>
      <c r="C15" s="44" t="inlineStr">
        <is>
          <t>Cutover planning and execution from legacy network</t>
        </is>
      </c>
      <c r="D15" s="45" t="n">
        <v>120</v>
      </c>
      <c r="E15" s="44" t="inlineStr">
        <is>
          <t>Hours</t>
        </is>
      </c>
      <c r="F15" s="46" t="n">
        <v>175</v>
      </c>
      <c r="G15" s="46" t="n">
        <v>21000</v>
      </c>
      <c r="H15" s="46" t="n">
        <v>0</v>
      </c>
      <c r="I15" s="46" t="n">
        <v>0</v>
      </c>
      <c r="J15" s="46" t="n">
        <v>21000</v>
      </c>
      <c r="K15" s="44" t="inlineStr">
        <is>
          <t>Migration assistance and validation</t>
        </is>
      </c>
    </row>
    <row r="16" ht="26" customHeight="1">
      <c r="A16" s="47" t="inlineStr">
        <is>
          <t>Professional Services</t>
        </is>
      </c>
      <c r="B16" s="48" t="inlineStr">
        <is>
          <t>Training</t>
        </is>
      </c>
      <c r="C16" s="48" t="inlineStr">
        <is>
          <t>OS10 administration BGP and automation 5-day workshop</t>
        </is>
      </c>
      <c r="D16" s="49" t="n">
        <v>4</v>
      </c>
      <c r="E16" s="48" t="inlineStr">
        <is>
          <t>Students</t>
        </is>
      </c>
      <c r="F16" s="50" t="n">
        <v>3500</v>
      </c>
      <c r="G16" s="50" t="n">
        <v>14000</v>
      </c>
      <c r="H16" s="50" t="n">
        <v>0</v>
      </c>
      <c r="I16" s="50" t="n">
        <v>0</v>
      </c>
      <c r="J16" s="50" t="n">
        <v>14000</v>
      </c>
      <c r="K16" s="48" t="inlineStr">
        <is>
          <t>Network team training</t>
        </is>
      </c>
    </row>
    <row r="17" ht="26" customHeight="1">
      <c r="A17" s="51" t="inlineStr">
        <is>
          <t>TOTAL</t>
        </is>
      </c>
      <c r="B17" s="52" t="n"/>
      <c r="C17" s="52" t="n"/>
      <c r="D17" s="52" t="n"/>
      <c r="E17" s="52" t="n"/>
      <c r="F17" s="52" t="n"/>
      <c r="G17" s="53">
        <f>SUM(G3:G16)</f>
        <v/>
      </c>
      <c r="H17" s="53">
        <f>SUM(H3:H16)</f>
        <v/>
      </c>
      <c r="I17" s="53">
        <f>SUM(I3:I16)</f>
        <v/>
      </c>
      <c r="J17" s="53">
        <f>SUM(J3:J16)</f>
        <v/>
      </c>
      <c r="K17" s="52" t="n"/>
    </row>
  </sheetData>
  <autoFilter ref="A2:K17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Hardware</t>
        </is>
      </c>
      <c r="B3" s="44" t="inlineStr">
        <is>
          <t>Cisco Nexus Cost Avoidance</t>
        </is>
      </c>
      <c r="C3" s="46" t="n">
        <v>-1056000</v>
      </c>
      <c r="D3" s="44" t="inlineStr">
        <is>
          <t>Equivalent Cisco Nexus 9000 deployment would cost $2.95M (2.5x Dell PowerSwitch $1.9M hardware cost)</t>
        </is>
      </c>
    </row>
    <row r="4" ht="26" customHeight="1">
      <c r="A4" s="47" t="inlineStr">
        <is>
          <t>Operational Savings</t>
        </is>
      </c>
      <c r="B4" s="48" t="inlineStr">
        <is>
          <t>Annual Support Cost Reduction</t>
        </is>
      </c>
      <c r="C4" s="50" t="n">
        <v>-84000</v>
      </c>
      <c r="D4" s="48" t="inlineStr">
        <is>
          <t>Dell ProSupport 20% less than Cisco SmartNet (18% vs 22% of hardware list annually)</t>
        </is>
      </c>
    </row>
  </sheetData>
  <autoFilter ref="A2:D4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Spine Switches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Leaf Switches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Optics &amp; Cabling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47" t="inlineStr">
        <is>
          <t>Software</t>
        </is>
      </c>
      <c r="B6" s="50">
        <f>SUMIF('Infrastructure Costs'!$A:$A,A6,'Infrastructure Costs'!$G:$G)</f>
        <v/>
      </c>
      <c r="C6" s="50">
        <f>SUMIF(Credits!$A:$A,A6,Credits!$C:$C)</f>
        <v/>
      </c>
      <c r="D6" s="50">
        <f>B6+C6</f>
        <v/>
      </c>
      <c r="E6" s="50">
        <f>SUMIF('Infrastructure Costs'!$A:$A,A6,'Infrastructure Costs'!$H:$H)</f>
        <v/>
      </c>
      <c r="F6" s="50">
        <f>SUMIF('Infrastructure Costs'!$A:$A,A6,'Infrastructure Costs'!$I:$I)</f>
        <v/>
      </c>
      <c r="G6" s="50">
        <f>D6+E6+F6</f>
        <v/>
      </c>
    </row>
    <row r="7" ht="26" customHeight="1">
      <c r="A7" s="43" t="inlineStr">
        <is>
          <t>Support &amp; Maintenance (3-Year)</t>
        </is>
      </c>
      <c r="B7" s="46">
        <f>SUMIF('Infrastructure Costs'!$A:$A,A7,'Infrastructure Costs'!$G:$G)</f>
        <v/>
      </c>
      <c r="C7" s="46">
        <f>SUMIF(Credits!$A:$A,A7,Credits!$C:$C)</f>
        <v/>
      </c>
      <c r="D7" s="46">
        <f>B7+C7</f>
        <v/>
      </c>
      <c r="E7" s="46">
        <f>SUMIF('Infrastructure Costs'!$A:$A,A7,'Infrastructure Costs'!$H:$H)</f>
        <v/>
      </c>
      <c r="F7" s="46">
        <f>SUMIF('Infrastructure Costs'!$A:$A,A7,'Infrastructure Costs'!$I:$I)</f>
        <v/>
      </c>
      <c r="G7" s="46">
        <f>D7+E7+F7</f>
        <v/>
      </c>
    </row>
    <row r="8" ht="26" customHeight="1">
      <c r="A8" s="47" t="inlineStr">
        <is>
          <t>Professional Services</t>
        </is>
      </c>
      <c r="B8" s="50">
        <f>SUMIF('Infrastructure Costs'!$A:$A,A8,'Infrastructure Costs'!$G:$G)</f>
        <v/>
      </c>
      <c r="C8" s="50">
        <f>SUMIF(Credits!$A:$A,A8,Credits!$C:$C)</f>
        <v/>
      </c>
      <c r="D8" s="50">
        <f>B8+C8</f>
        <v/>
      </c>
      <c r="E8" s="50">
        <f>SUMIF('Infrastructure Costs'!$A:$A,A8,'Infrastructure Costs'!$H:$H)</f>
        <v/>
      </c>
      <c r="F8" s="50">
        <f>SUMIF('Infrastructure Costs'!$A:$A,A8,'Infrastructure Costs'!$I:$I)</f>
        <v/>
      </c>
      <c r="G8" s="50">
        <f>D8+E8+F8</f>
        <v/>
      </c>
    </row>
    <row r="9" ht="26" customHeight="1">
      <c r="A9" s="51" t="inlineStr">
        <is>
          <t>TOTAL</t>
        </is>
      </c>
      <c r="B9" s="53">
        <f>SUM(B3:B8)</f>
        <v/>
      </c>
      <c r="C9" s="53">
        <f>SUM(C3:C8)</f>
        <v/>
      </c>
      <c r="D9" s="53">
        <f>SUM(D3:D8)</f>
        <v/>
      </c>
      <c r="E9" s="53">
        <f>SUM(E3:E8)</f>
        <v/>
      </c>
      <c r="F9" s="53">
        <f>SUM(F3:F8)</f>
        <v/>
      </c>
      <c r="G9" s="53">
        <f>SUM(G3:G8)</f>
        <v/>
      </c>
    </row>
    <row r="10" ht="26" customHeight="1">
      <c r="A10" s="47" t="inlineStr">
        <is>
          <t>Cisco Nexus Alternative</t>
        </is>
      </c>
      <c r="B10" s="50">
        <f>SUMIF('Infrastructure Costs'!$A:$A,A10,'Infrastructure Costs'!$G:$G)</f>
        <v/>
      </c>
      <c r="C10" s="50">
        <f>SUMIF(Credits!$A:$A,A10,Credits!$C:$C)</f>
        <v/>
      </c>
      <c r="D10" s="50">
        <f>B10+C10</f>
        <v/>
      </c>
      <c r="E10" s="50">
        <f>SUMIF('Infrastructure Costs'!$A:$A,A10,'Infrastructure Costs'!$H:$H)</f>
        <v/>
      </c>
      <c r="F10" s="50">
        <f>SUMIF('Infrastructure Costs'!$A:$A,A10,'Infrastructure Costs'!$I:$I)</f>
        <v/>
      </c>
      <c r="G10" s="50">
        <f>D10+E10+F10</f>
        <v/>
      </c>
    </row>
    <row r="11" ht="26" customHeight="1">
      <c r="A11" s="43" t="inlineStr">
        <is>
          <t>Dell PowerSwitch Savings</t>
        </is>
      </c>
      <c r="B11" s="46">
        <f>SUMIF('Infrastructure Costs'!$A:$A,A11,'Infrastructure Costs'!$G:$G)</f>
        <v/>
      </c>
      <c r="C11" s="46">
        <f>SUMIF(Credits!$A:$A,A11,Credits!$C:$C)</f>
        <v/>
      </c>
      <c r="D11" s="46">
        <f>B11+C11</f>
        <v/>
      </c>
      <c r="E11" s="46">
        <f>SUMIF('Infrastructure Costs'!$A:$A,A11,'Infrastructure Costs'!$H:$H)</f>
        <v/>
      </c>
      <c r="F11" s="46">
        <f>SUMIF('Infrastructure Costs'!$A:$A,A11,'Infrastructure Costs'!$I:$I)</f>
        <v/>
      </c>
      <c r="G11" s="46">
        <f>D11+E11+F11</f>
        <v/>
      </c>
    </row>
  </sheetData>
  <autoFilter ref="A2:G11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2025-11-22T20:12:00Z</dcterms:modified>
  <cp:lastModifiedBy>Kishan Siram</cp:lastModifiedBy>
</cp:coreProperties>
</file>