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Assumptions'!$A$2:$G$18</definedName>
    <definedName name="_xlnm._FilterDatabase" localSheetId="2" hidden="1">'Estimate Settings'!$A$2:$D$11</definedName>
    <definedName name="_xlnm._FilterDatabase" localSheetId="3" hidden="1">'LOE'!$A$2:$K$34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165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DELL - Network - Powerswitch Datacenter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Number of Racks</t>
        </is>
      </c>
      <c r="C3" s="39" t="inlineStr">
        <is>
          <t>40 racks with ToR switches</t>
        </is>
      </c>
      <c r="D3" s="38" t="inlineStr">
        <is>
          <t>10-20 racks</t>
        </is>
      </c>
      <c r="E3" s="38" t="inlineStr">
        <is>
          <t>40 racks</t>
        </is>
      </c>
      <c r="F3" s="38" t="inlineStr">
        <is>
          <t>100+ racks</t>
        </is>
      </c>
      <c r="G3" s="38" t="inlineStr">
        <is>
          <t>Data center scale and switch quantity</t>
        </is>
      </c>
    </row>
    <row r="4" ht="26" customHeight="1">
      <c r="A4" s="40" t="inlineStr">
        <is>
          <t>Solution Scope</t>
        </is>
      </c>
      <c r="B4" s="41" t="inlineStr">
        <is>
          <t>Spine Switches</t>
        </is>
      </c>
      <c r="C4" s="39" t="inlineStr">
        <is>
          <t>4 Dell Z9432F-ON 100GbE</t>
        </is>
      </c>
      <c r="D4" s="41" t="inlineStr">
        <is>
          <t>2 spines (small)</t>
        </is>
      </c>
      <c r="E4" s="41" t="inlineStr">
        <is>
          <t>4 spines (medium)</t>
        </is>
      </c>
      <c r="F4" s="41" t="inlineStr">
        <is>
          <t>6-8 spines (large)</t>
        </is>
      </c>
      <c r="G4" s="41" t="inlineStr">
        <is>
          <t>Core fabric capacity and redundancy</t>
        </is>
      </c>
    </row>
    <row r="5" ht="26" customHeight="1">
      <c r="A5" s="37" t="inlineStr">
        <is>
          <t>Integration</t>
        </is>
      </c>
      <c r="B5" s="38" t="inlineStr">
        <is>
          <t>Leaf Switches</t>
        </is>
      </c>
      <c r="C5" s="39" t="inlineStr">
        <is>
          <t>40 Dell S5248F-ON 25GbE ToR</t>
        </is>
      </c>
      <c r="D5" s="38" t="inlineStr">
        <is>
          <t>10-20 leaf</t>
        </is>
      </c>
      <c r="E5" s="38" t="inlineStr">
        <is>
          <t>40 leaf</t>
        </is>
      </c>
      <c r="F5" s="38" t="inlineStr">
        <is>
          <t>100+ leaf</t>
        </is>
      </c>
      <c r="G5" s="38" t="inlineStr">
        <is>
          <t>Top-of-rack switch deployment</t>
        </is>
      </c>
    </row>
    <row r="6" ht="26" customHeight="1">
      <c r="A6" s="40" t="inlineStr">
        <is>
          <t>Integration</t>
        </is>
      </c>
      <c r="B6" s="41" t="inlineStr">
        <is>
          <t>Network Fabric</t>
        </is>
      </c>
      <c r="C6" s="39" t="inlineStr">
        <is>
          <t>BGP underlay with EVPN-VXLAN overlay</t>
        </is>
      </c>
      <c r="D6" s="41" t="inlineStr">
        <is>
          <t>VLANs only</t>
        </is>
      </c>
      <c r="E6" s="41" t="inlineStr">
        <is>
          <t>BGP + VXLAN</t>
        </is>
      </c>
      <c r="F6" s="41" t="inlineStr">
        <is>
          <t>BGP EVPN multi-tenant</t>
        </is>
      </c>
      <c r="G6" s="41" t="inlineStr">
        <is>
          <t>Network virtualization complexity</t>
        </is>
      </c>
    </row>
    <row r="7" ht="26" customHeight="1">
      <c r="A7" s="37" t="inlineStr">
        <is>
          <t>User Base</t>
        </is>
      </c>
      <c r="B7" s="38" t="inlineStr">
        <is>
          <t>Network Engineers</t>
        </is>
      </c>
      <c r="C7" s="39" t="inlineStr">
        <is>
          <t>3-5 network administrators</t>
        </is>
      </c>
      <c r="D7" s="38" t="inlineStr">
        <is>
          <t>1-2 engineers</t>
        </is>
      </c>
      <c r="E7" s="38" t="inlineStr">
        <is>
          <t>3-5 engineers</t>
        </is>
      </c>
      <c r="F7" s="38" t="inlineStr">
        <is>
          <t>6+ engineers</t>
        </is>
      </c>
      <c r="G7" s="38" t="inlineStr">
        <is>
          <t>Team size for training and support</t>
        </is>
      </c>
    </row>
    <row r="8" ht="26" customHeight="1">
      <c r="A8" s="40" t="inlineStr">
        <is>
          <t>User Base</t>
        </is>
      </c>
      <c r="B8" s="41" t="inlineStr">
        <is>
          <t>Automation Maturity</t>
        </is>
      </c>
      <c r="C8" s="39" t="inlineStr">
        <is>
          <t>Ansible playbooks and ZTP</t>
        </is>
      </c>
      <c r="D8" s="41" t="inlineStr">
        <is>
          <t>Manual CLI only</t>
        </is>
      </c>
      <c r="E8" s="41" t="inlineStr">
        <is>
          <t>Ansible automation</t>
        </is>
      </c>
      <c r="F8" s="41" t="inlineStr">
        <is>
          <t>Full GitOps automation</t>
        </is>
      </c>
      <c r="G8" s="41" t="inlineStr">
        <is>
          <t>Network automation adoption</t>
        </is>
      </c>
    </row>
    <row r="9" ht="26" customHeight="1">
      <c r="A9" s="37" t="inlineStr">
        <is>
          <t>Data Volume</t>
        </is>
      </c>
      <c r="B9" s="38" t="inlineStr">
        <is>
          <t>Server Ports</t>
        </is>
      </c>
      <c r="C9" s="39" t="inlineStr">
        <is>
          <t>1920 ports (40 racks × 48 ports)</t>
        </is>
      </c>
      <c r="D9" s="38" t="inlineStr">
        <is>
          <t>480 ports (10-20 racks)</t>
        </is>
      </c>
      <c r="E9" s="38" t="inlineStr">
        <is>
          <t>1920 ports (40 racks)</t>
        </is>
      </c>
      <c r="F9" s="38" t="inlineStr">
        <is>
          <t>4800 ports (100 racks)</t>
        </is>
      </c>
      <c r="G9" s="38" t="inlineStr">
        <is>
          <t>Total server connectivity requirements</t>
        </is>
      </c>
    </row>
    <row r="10" ht="26" customHeight="1">
      <c r="A10" s="40" t="inlineStr">
        <is>
          <t>Data Volume</t>
        </is>
      </c>
      <c r="B10" s="41" t="inlineStr">
        <is>
          <t>Fabric Bandwidth</t>
        </is>
      </c>
      <c r="C10" s="39" t="inlineStr">
        <is>
          <t>1.6Tbps aggregate throughput</t>
        </is>
      </c>
      <c r="D10" s="41" t="inlineStr">
        <is>
          <t>400Gbps (small)</t>
        </is>
      </c>
      <c r="E10" s="41" t="inlineStr">
        <is>
          <t>1.6Tbps (medium)</t>
        </is>
      </c>
      <c r="F10" s="41" t="inlineStr">
        <is>
          <t>4Tbps+ (large)</t>
        </is>
      </c>
      <c r="G10" s="41" t="inlineStr">
        <is>
          <t>Total spine-leaf fabric capacity</t>
        </is>
      </c>
    </row>
    <row r="11" ht="26" customHeight="1">
      <c r="A11" s="37" t="inlineStr">
        <is>
          <t>Technical Environment</t>
        </is>
      </c>
      <c r="B11" s="38" t="inlineStr">
        <is>
          <t>Network Connectivity</t>
        </is>
      </c>
      <c r="C11" s="39" t="inlineStr">
        <is>
          <t>100GbE spine 25GbE leaf</t>
        </is>
      </c>
      <c r="D11" s="38" t="inlineStr">
        <is>
          <t>10GbE fabric</t>
        </is>
      </c>
      <c r="E11" s="38" t="inlineStr">
        <is>
          <t>25/100GbE fabric</t>
        </is>
      </c>
      <c r="F11" s="38" t="inlineStr">
        <is>
          <t>40/100/400GbE fabric</t>
        </is>
      </c>
      <c r="G11" s="38" t="inlineStr">
        <is>
          <t>Bandwidth tier selection</t>
        </is>
      </c>
    </row>
    <row r="12" ht="26" customHeight="1">
      <c r="A12" s="40" t="inlineStr">
        <is>
          <t>Technical Environment</t>
        </is>
      </c>
      <c r="B12" s="41" t="inlineStr">
        <is>
          <t>Legacy Infrastructure</t>
        </is>
      </c>
      <c r="C12" s="39" t="inlineStr">
        <is>
          <t>Cisco Nexus 9K and Catalyst switches</t>
        </is>
      </c>
      <c r="D12" s="41" t="inlineStr">
        <is>
          <t>Single vendor</t>
        </is>
      </c>
      <c r="E12" s="41" t="inlineStr">
        <is>
          <t>Multi-vendor</t>
        </is>
      </c>
      <c r="F12" s="41" t="inlineStr">
        <is>
          <t>Complex legacy</t>
        </is>
      </c>
      <c r="G12" s="41" t="inlineStr">
        <is>
          <t>Migration complexity from Cisco</t>
        </is>
      </c>
    </row>
    <row r="13" ht="26" customHeight="1">
      <c r="A13" s="37" t="inlineStr">
        <is>
          <t>Technical Environment</t>
        </is>
      </c>
      <c r="B13" s="38" t="inlineStr">
        <is>
          <t>Operating System</t>
        </is>
      </c>
      <c r="C13" s="39" t="inlineStr">
        <is>
          <t>Dell OS10 Enterprise with automation</t>
        </is>
      </c>
      <c r="D13" s="38" t="inlineStr">
        <is>
          <t>OS10 Lite</t>
        </is>
      </c>
      <c r="E13" s="38" t="inlineStr">
        <is>
          <t>OS10 Enterprise</t>
        </is>
      </c>
      <c r="F13" s="38" t="inlineStr">
        <is>
          <t>OS10 + SmartFabric</t>
        </is>
      </c>
      <c r="G13" s="38" t="inlineStr">
        <is>
          <t>Software feature requirements</t>
        </is>
      </c>
    </row>
    <row r="14" ht="26" customHeight="1">
      <c r="A14" s="40" t="inlineStr">
        <is>
          <t>Security &amp; Compliance</t>
        </is>
      </c>
      <c r="B14" s="41" t="inlineStr">
        <is>
          <t>Network Segmentation</t>
        </is>
      </c>
      <c r="C14" s="39" t="inlineStr">
        <is>
          <t>VXLAN multi-tenancy</t>
        </is>
      </c>
      <c r="D14" s="41" t="inlineStr">
        <is>
          <t>VLANs only</t>
        </is>
      </c>
      <c r="E14" s="41" t="inlineStr">
        <is>
          <t>VXLAN overlay</t>
        </is>
      </c>
      <c r="F14" s="41" t="inlineStr">
        <is>
          <t>Micro-segmentation</t>
        </is>
      </c>
      <c r="G14" s="41" t="inlineStr">
        <is>
          <t>Security architecture complexity</t>
        </is>
      </c>
    </row>
    <row r="15" ht="26" customHeight="1">
      <c r="A15" s="37" t="inlineStr">
        <is>
          <t>Security &amp; Compliance</t>
        </is>
      </c>
      <c r="B15" s="38" t="inlineStr">
        <is>
          <t>Access Control</t>
        </is>
      </c>
      <c r="C15" s="39" t="inlineStr">
        <is>
          <t>TACACS+ centralized authentication</t>
        </is>
      </c>
      <c r="D15" s="38" t="inlineStr">
        <is>
          <t>Local accounts</t>
        </is>
      </c>
      <c r="E15" s="38" t="inlineStr">
        <is>
          <t>TACACS+ or RADIUS</t>
        </is>
      </c>
      <c r="F15" s="38" t="inlineStr">
        <is>
          <t>Certificate + MFA</t>
        </is>
      </c>
      <c r="G15" s="38" t="inlineStr">
        <is>
          <t>Network device authentication</t>
        </is>
      </c>
    </row>
    <row r="16" ht="26" customHeight="1">
      <c r="A16" s="40" t="inlineStr">
        <is>
          <t>Performance</t>
        </is>
      </c>
      <c r="B16" s="41" t="inlineStr">
        <is>
          <t>Latency SLA</t>
        </is>
      </c>
      <c r="C16" s="39" t="inlineStr">
        <is>
          <t>&lt;2 microsecond east-west latency</t>
        </is>
      </c>
      <c r="D16" s="41" t="inlineStr">
        <is>
          <t>&lt;10ms adequate</t>
        </is>
      </c>
      <c r="E16" s="41" t="inlineStr">
        <is>
          <t>&lt;2ms target</t>
        </is>
      </c>
      <c r="F16" s="41" t="inlineStr">
        <is>
          <t>&lt;1ms required</t>
        </is>
      </c>
      <c r="G16" s="41" t="inlineStr">
        <is>
          <t>Application performance requirements</t>
        </is>
      </c>
    </row>
    <row r="17" ht="26" customHeight="1">
      <c r="A17" s="37" t="inlineStr">
        <is>
          <t>Performance</t>
        </is>
      </c>
      <c r="B17" s="38" t="inlineStr">
        <is>
          <t>Throughput</t>
        </is>
      </c>
      <c r="C17" s="39" t="inlineStr">
        <is>
          <t>7000 Mbps per server (25GbE NIC)</t>
        </is>
      </c>
      <c r="D17" s="38" t="inlineStr">
        <is>
          <t>1000 Mbps (1GbE)</t>
        </is>
      </c>
      <c r="E17" s="38" t="inlineStr">
        <is>
          <t>7000 Mbps (25GbE)</t>
        </is>
      </c>
      <c r="F17" s="38" t="inlineStr">
        <is>
          <t>12500 Mbps (40GbE)</t>
        </is>
      </c>
      <c r="G17" s="38" t="inlineStr">
        <is>
          <t>Server uplink bandwidth</t>
        </is>
      </c>
    </row>
    <row r="18" ht="26" customHeight="1">
      <c r="A18" s="40" t="inlineStr">
        <is>
          <t>Environment</t>
        </is>
      </c>
      <c r="B18" s="41" t="inlineStr">
        <is>
          <t>Deployment Approach</t>
        </is>
      </c>
      <c r="C18" s="39" t="inlineStr">
        <is>
          <t>Phased rack-by-rack migration</t>
        </is>
      </c>
      <c r="D18" s="41" t="inlineStr">
        <is>
          <t>Forklift cutover</t>
        </is>
      </c>
      <c r="E18" s="41" t="inlineStr">
        <is>
          <t>Phased migration</t>
        </is>
      </c>
      <c r="F18" s="41" t="inlineStr">
        <is>
          <t>Parallel fabric</t>
        </is>
      </c>
      <c r="G18" s="41" t="inlineStr">
        <is>
          <t>Migration risk and complexity</t>
        </is>
      </c>
    </row>
  </sheetData>
  <autoFilter ref="A2:G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(Network Assessment Rack Inventory Cisco Baseline)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(Spine-Leaf Design BGP Architecture VXLAN Design)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(Switch Installation OS10 Configuration BGP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(Performance Testing Failover Validation Throughput)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(Rack Migration Production Cutover)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(OS10 Training BGP/VXLAN Automation)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 Network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Network Assessment</t>
        </is>
      </c>
      <c r="C3" s="46" t="inlineStr">
        <is>
          <t>Assess current data center network and Cisco baseline</t>
        </is>
      </c>
      <c r="D3" s="46" t="inlineStr">
        <is>
          <t>EO Engineer</t>
        </is>
      </c>
      <c r="E3" s="47" t="n">
        <v>40</v>
      </c>
      <c r="F3" s="48" t="n">
        <v>1</v>
      </c>
      <c r="G3" s="49">
        <f>E3*F3</f>
        <v/>
      </c>
      <c r="H3" s="50" t="n">
        <v>150</v>
      </c>
      <c r="I3" s="49">
        <f>TEXT(G3*H3,"$#,##0")</f>
        <v/>
      </c>
      <c r="J3" s="46" t="inlineStr"/>
      <c r="K3" s="46" t="inlineStr">
        <is>
          <t>Includes rack inventory and bandwidth analysis</t>
        </is>
      </c>
    </row>
    <row r="4" ht="26" customHeight="1">
      <c r="A4" s="51" t="inlineStr">
        <is>
          <t>Discovery</t>
        </is>
      </c>
      <c r="B4" s="52" t="inlineStr">
        <is>
          <t>Cisco Cost Analysis</t>
        </is>
      </c>
      <c r="C4" s="52" t="inlineStr">
        <is>
          <t>Analyze Cisco SmartNet costs and EOL timeline</t>
        </is>
      </c>
      <c r="D4" s="52" t="inlineStr">
        <is>
          <t>EO Engineer</t>
        </is>
      </c>
      <c r="E4" s="53" t="n">
        <v>24</v>
      </c>
      <c r="F4" s="54">
        <f>'Estimate Settings'!$C$3</f>
        <v/>
      </c>
      <c r="G4" s="55">
        <f>$E4*$F4</f>
        <v/>
      </c>
      <c r="H4" s="56" t="n">
        <v>175</v>
      </c>
      <c r="I4" s="55">
        <f>TEXT($G4*$H4,"$#,##0")</f>
        <v/>
      </c>
      <c r="J4" s="52" t="inlineStr"/>
      <c r="K4" s="52" t="inlineStr">
        <is>
          <t>Customer must provide Cisco support contracts and quotes</t>
        </is>
      </c>
    </row>
    <row r="5" ht="26" customHeight="1">
      <c r="A5" s="45" t="inlineStr">
        <is>
          <t>Discovery</t>
        </is>
      </c>
      <c r="B5" s="46" t="inlineStr">
        <is>
          <t>Application Profiling</t>
        </is>
      </c>
      <c r="C5" s="46" t="inlineStr">
        <is>
          <t>Profile application bandwidth and latency requirements</t>
        </is>
      </c>
      <c r="D5" s="46" t="inlineStr">
        <is>
          <t>EO Engineer</t>
        </is>
      </c>
      <c r="E5" s="47" t="n">
        <v>32</v>
      </c>
      <c r="F5" s="57">
        <f>'Estimate Settings'!$C$3</f>
        <v/>
      </c>
      <c r="G5" s="49">
        <f>$E5*$F5</f>
        <v/>
      </c>
      <c r="H5" s="50" t="n">
        <v>175</v>
      </c>
      <c r="I5" s="49">
        <f>TEXT($G5*$H5,"$#,##0")</f>
        <v/>
      </c>
      <c r="J5" s="46" t="inlineStr"/>
      <c r="K5" s="46" t="inlineStr">
        <is>
          <t>Identifies north-south vs east-west traffic patterns</t>
        </is>
      </c>
    </row>
    <row r="6" ht="26" customHeight="1">
      <c r="A6" s="51" t="inlineStr">
        <is>
          <t>Discovery</t>
        </is>
      </c>
      <c r="B6" s="52" t="inlineStr">
        <is>
          <t>Physical Infrastructure</t>
        </is>
      </c>
      <c r="C6" s="52" t="inlineStr">
        <is>
          <t>Survey data center rack space power and cooling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150</v>
      </c>
      <c r="I6" s="55">
        <f>TEXT($G6*$H6,"$#,##0")</f>
        <v/>
      </c>
      <c r="J6" s="52" t="inlineStr"/>
      <c r="K6" s="52" t="inlineStr">
        <is>
          <t>Validates power circuits and HVAC for switch deployment</t>
        </is>
      </c>
    </row>
    <row r="7" ht="26" customHeight="1">
      <c r="A7" s="45" t="inlineStr">
        <is>
          <t>Planning</t>
        </is>
      </c>
      <c r="B7" s="46" t="inlineStr">
        <is>
          <t>Spine-Leaf Design</t>
        </is>
      </c>
      <c r="C7" s="46" t="inlineStr">
        <is>
          <t>Design spine-leaf fabric architecture and topology</t>
        </is>
      </c>
      <c r="D7" s="46" t="inlineStr">
        <is>
          <t>EO Engineer</t>
        </is>
      </c>
      <c r="E7" s="47" t="n">
        <v>40</v>
      </c>
      <c r="F7" s="57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Network Assessment</t>
        </is>
      </c>
      <c r="K7" s="46" t="inlineStr">
        <is>
          <t>Deliverable: Network diagram with spine-leaf topology</t>
        </is>
      </c>
    </row>
    <row r="8" ht="26" customHeight="1">
      <c r="A8" s="51" t="inlineStr">
        <is>
          <t>Planning</t>
        </is>
      </c>
      <c r="B8" s="52" t="inlineStr">
        <is>
          <t>BGP Architecture</t>
        </is>
      </c>
      <c r="C8" s="52" t="inlineStr">
        <is>
          <t>Design BGP underlay with ASN and IP addressing plan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200</v>
      </c>
      <c r="I8" s="55">
        <f>TEXT($G8*$H8,"$#,##0")</f>
        <v/>
      </c>
      <c r="J8" s="52" t="inlineStr">
        <is>
          <t>Spine-Leaf Design</t>
        </is>
      </c>
      <c r="K8" s="52" t="inlineStr">
        <is>
          <t>Deliverable: BGP design with ASN allocation</t>
        </is>
      </c>
    </row>
    <row r="9" ht="26" customHeight="1">
      <c r="A9" s="45" t="inlineStr">
        <is>
          <t>Planning</t>
        </is>
      </c>
      <c r="B9" s="46" t="inlineStr">
        <is>
          <t>VXLAN Overlay</t>
        </is>
      </c>
      <c r="C9" s="46" t="inlineStr">
        <is>
          <t>Design EVPN-VXLAN overlay and tenant segmentation</t>
        </is>
      </c>
      <c r="D9" s="46" t="inlineStr">
        <is>
          <t>EO Engineer</t>
        </is>
      </c>
      <c r="E9" s="47" t="n">
        <v>32</v>
      </c>
      <c r="F9" s="57">
        <f>'Estimate Settings'!$C$4</f>
        <v/>
      </c>
      <c r="G9" s="49">
        <f>$E9*$F9</f>
        <v/>
      </c>
      <c r="H9" s="50" t="n">
        <v>200</v>
      </c>
      <c r="I9" s="49">
        <f>TEXT($G9*$H9,"$#,##0")</f>
        <v/>
      </c>
      <c r="J9" s="46" t="inlineStr">
        <is>
          <t>BGP Architecture</t>
        </is>
      </c>
      <c r="K9" s="46" t="inlineStr">
        <is>
          <t>VXLAN VNID allocation and L2/L3 gateway design</t>
        </is>
      </c>
    </row>
    <row r="10" ht="26" customHeight="1">
      <c r="A10" s="51" t="inlineStr">
        <is>
          <t>Planning</t>
        </is>
      </c>
      <c r="B10" s="52" t="inlineStr">
        <is>
          <t>Migration Planning</t>
        </is>
      </c>
      <c r="C10" s="52" t="inlineStr">
        <is>
          <t>Develop phased migration plan and cutover runbook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175</v>
      </c>
      <c r="I10" s="55">
        <f>TEXT($G10*$H10,"$#,##0")</f>
        <v/>
      </c>
      <c r="J10" s="52" t="inlineStr">
        <is>
          <t>Application Profiling</t>
        </is>
      </c>
      <c r="K10" s="52" t="inlineStr">
        <is>
          <t>Deliverable: Migration timeline with risk mitigation</t>
        </is>
      </c>
    </row>
    <row r="11" ht="26" customHeight="1">
      <c r="A11" s="45" t="inlineStr">
        <is>
          <t>Development</t>
        </is>
      </c>
      <c r="B11" s="46" t="inlineStr">
        <is>
          <t>Spine Procurement</t>
        </is>
      </c>
      <c r="C11" s="46" t="inlineStr">
        <is>
          <t>Order Dell PowerSwitch Z9432F spine switches and optics</t>
        </is>
      </c>
      <c r="D11" s="46" t="inlineStr">
        <is>
          <t>EO Engineer</t>
        </is>
      </c>
      <c r="E11" s="47" t="n">
        <v>16</v>
      </c>
      <c r="F11" s="57">
        <f>'Estimate Settings'!$C$5</f>
        <v/>
      </c>
      <c r="G11" s="49">
        <f>$E11*$F11</f>
        <v/>
      </c>
      <c r="H11" s="50" t="n">
        <v>160</v>
      </c>
      <c r="I11" s="49">
        <f>TEXT($G11*$H11,"$#,##0")</f>
        <v/>
      </c>
      <c r="J11" s="46" t="inlineStr">
        <is>
          <t>Spine-Leaf Design</t>
        </is>
      </c>
      <c r="K11" s="46" t="inlineStr">
        <is>
          <t>Coordinate Dell sales and track delivery schedule</t>
        </is>
      </c>
    </row>
    <row r="12" ht="26" customHeight="1">
      <c r="A12" s="51" t="inlineStr">
        <is>
          <t>Development</t>
        </is>
      </c>
      <c r="B12" s="52" t="inlineStr">
        <is>
          <t>Leaf Procurement</t>
        </is>
      </c>
      <c r="C12" s="52" t="inlineStr">
        <is>
          <t>Order Dell PowerSwitch S5248F leaf ToR switches</t>
        </is>
      </c>
      <c r="D12" s="52" t="inlineStr">
        <is>
          <t>EO Engineer</t>
        </is>
      </c>
      <c r="E12" s="53" t="n">
        <v>16</v>
      </c>
      <c r="F12" s="54">
        <f>'Estimate Settings'!$C$5</f>
        <v/>
      </c>
      <c r="G12" s="55">
        <f>$E12*$F12</f>
        <v/>
      </c>
      <c r="H12" s="56" t="n">
        <v>160</v>
      </c>
      <c r="I12" s="55">
        <f>TEXT($G12*$H12,"$#,##0")</f>
        <v/>
      </c>
      <c r="J12" s="52" t="inlineStr">
        <is>
          <t>Spine-Leaf Design</t>
        </is>
      </c>
      <c r="K12" s="52" t="inlineStr">
        <is>
          <t>40 ToR switches with 100GbE uplink optics</t>
        </is>
      </c>
    </row>
    <row r="13" ht="26" customHeight="1">
      <c r="A13" s="45" t="inlineStr">
        <is>
          <t>Development</t>
        </is>
      </c>
      <c r="B13" s="46" t="inlineStr">
        <is>
          <t>Spine Installation</t>
        </is>
      </c>
      <c r="C13" s="46" t="inlineStr">
        <is>
          <t>Install spine switches in core data center rows</t>
        </is>
      </c>
      <c r="D13" s="46" t="inlineStr">
        <is>
          <t>EO Engineer</t>
        </is>
      </c>
      <c r="E13" s="47" t="n">
        <v>24</v>
      </c>
      <c r="F13" s="57">
        <f>'Estimate Settings'!$C$5</f>
        <v/>
      </c>
      <c r="G13" s="49">
        <f>$E13*$F13</f>
        <v/>
      </c>
      <c r="H13" s="50" t="n">
        <v>160</v>
      </c>
      <c r="I13" s="49">
        <f>TEXT($G13*$H13,"$#,##0")</f>
        <v/>
      </c>
      <c r="J13" s="46" t="inlineStr">
        <is>
          <t>Spine Procurement</t>
        </is>
      </c>
      <c r="K13" s="46" t="inlineStr">
        <is>
          <t>Rack installation and power connectivity</t>
        </is>
      </c>
    </row>
    <row r="14" ht="26" customHeight="1">
      <c r="A14" s="51" t="inlineStr">
        <is>
          <t>Development</t>
        </is>
      </c>
      <c r="B14" s="52" t="inlineStr">
        <is>
          <t>Leaf Installation</t>
        </is>
      </c>
      <c r="C14" s="52" t="inlineStr">
        <is>
          <t>Install leaf ToR switches in each server rack</t>
        </is>
      </c>
      <c r="D14" s="52" t="inlineStr">
        <is>
          <t>EO Engineer</t>
        </is>
      </c>
      <c r="E14" s="53" t="n">
        <v>64</v>
      </c>
      <c r="F14" s="54">
        <f>'Estimate Settings'!$C$5</f>
        <v/>
      </c>
      <c r="G14" s="55">
        <f>$E14*$F14</f>
        <v/>
      </c>
      <c r="H14" s="56" t="n">
        <v>160</v>
      </c>
      <c r="I14" s="55">
        <f>TEXT($G14*$H14,"$#,##0")</f>
        <v/>
      </c>
      <c r="J14" s="52" t="inlineStr">
        <is>
          <t>Leaf Procurement</t>
        </is>
      </c>
      <c r="K14" s="52" t="inlineStr">
        <is>
          <t>40 racks × 1 ToR per rack installation and cabling</t>
        </is>
      </c>
    </row>
    <row r="15" ht="26" customHeight="1">
      <c r="A15" s="45" t="inlineStr">
        <is>
          <t>Development</t>
        </is>
      </c>
      <c r="B15" s="46" t="inlineStr">
        <is>
          <t>OS10 Configuration</t>
        </is>
      </c>
      <c r="C15" s="46" t="inlineStr">
        <is>
          <t>Configure Dell OS10 base system and management</t>
        </is>
      </c>
      <c r="D15" s="46" t="inlineStr">
        <is>
          <t>EO Engineer</t>
        </is>
      </c>
      <c r="E15" s="47" t="n">
        <v>32</v>
      </c>
      <c r="F15" s="57">
        <f>'Estimate Settings'!$C$5</f>
        <v/>
      </c>
      <c r="G15" s="49">
        <f>$E15*$F15</f>
        <v/>
      </c>
      <c r="H15" s="50" t="n">
        <v>175</v>
      </c>
      <c r="I15" s="49">
        <f>TEXT($G15*$H15,"$#,##0")</f>
        <v/>
      </c>
      <c r="J15" s="46" t="inlineStr">
        <is>
          <t>Spine Installation</t>
        </is>
      </c>
      <c r="K15" s="46" t="inlineStr">
        <is>
          <t>Includes hostname IP management VLANs and AAA</t>
        </is>
      </c>
    </row>
    <row r="16" ht="26" customHeight="1">
      <c r="A16" s="51" t="inlineStr">
        <is>
          <t>Development</t>
        </is>
      </c>
      <c r="B16" s="52" t="inlineStr">
        <is>
          <t>BGP Configuration</t>
        </is>
      </c>
      <c r="C16" s="52" t="inlineStr">
        <is>
          <t>Configure BGP underlay routing on spine and leaf</t>
        </is>
      </c>
      <c r="D16" s="52" t="inlineStr">
        <is>
          <t>EO Engineer</t>
        </is>
      </c>
      <c r="E16" s="53" t="n">
        <v>40</v>
      </c>
      <c r="F16" s="54">
        <f>'Estimate Settings'!$C$5</f>
        <v/>
      </c>
      <c r="G16" s="55">
        <f>$E16*$F16</f>
        <v/>
      </c>
      <c r="H16" s="56" t="n">
        <v>200</v>
      </c>
      <c r="I16" s="55">
        <f>TEXT($G16*$H16,"$#,##0")</f>
        <v/>
      </c>
      <c r="J16" s="52" t="inlineStr">
        <is>
          <t>OS10 Configuration</t>
        </is>
      </c>
      <c r="K16" s="52" t="inlineStr">
        <is>
          <t>BGP peer configuration and route verification</t>
        </is>
      </c>
    </row>
    <row r="17" ht="26" customHeight="1">
      <c r="A17" s="45" t="inlineStr">
        <is>
          <t>Development</t>
        </is>
      </c>
      <c r="B17" s="46" t="inlineStr">
        <is>
          <t>VXLAN Setup</t>
        </is>
      </c>
      <c r="C17" s="46" t="inlineStr">
        <is>
          <t>Deploy EVPN-VXLAN overlay network</t>
        </is>
      </c>
      <c r="D17" s="46" t="inlineStr">
        <is>
          <t>EO Engineer</t>
        </is>
      </c>
      <c r="E17" s="47" t="n">
        <v>40</v>
      </c>
      <c r="F17" s="57">
        <f>'Estimate Settings'!$C$5</f>
        <v/>
      </c>
      <c r="G17" s="49">
        <f>$E17*$F17</f>
        <v/>
      </c>
      <c r="H17" s="50" t="n">
        <v>200</v>
      </c>
      <c r="I17" s="49">
        <f>TEXT($G17*$H17,"$#,##0")</f>
        <v/>
      </c>
      <c r="J17" s="46" t="inlineStr">
        <is>
          <t>BGP Configuration</t>
        </is>
      </c>
      <c r="K17" s="46" t="inlineStr">
        <is>
          <t>VXLAN VNID tenant configuration and gateway</t>
        </is>
      </c>
    </row>
    <row r="18" ht="26" customHeight="1">
      <c r="A18" s="51" t="inlineStr">
        <is>
          <t>Development</t>
        </is>
      </c>
      <c r="B18" s="52" t="inlineStr">
        <is>
          <t>Automation Deployment</t>
        </is>
      </c>
      <c r="C18" s="52" t="inlineStr">
        <is>
          <t>Configure Ansible playbooks and ZTP for leaf switches</t>
        </is>
      </c>
      <c r="D18" s="52" t="inlineStr">
        <is>
          <t>EO Engineer</t>
        </is>
      </c>
      <c r="E18" s="53" t="n">
        <v>32</v>
      </c>
      <c r="F18" s="54">
        <f>'Estimate Settings'!$C$5</f>
        <v/>
      </c>
      <c r="G18" s="55">
        <f>$E18*$F18</f>
        <v/>
      </c>
      <c r="H18" s="56" t="n">
        <v>175</v>
      </c>
      <c r="I18" s="55">
        <f>TEXT($G18*$H18,"$#,##0")</f>
        <v/>
      </c>
      <c r="J18" s="52" t="inlineStr">
        <is>
          <t>VXLAN Setup</t>
        </is>
      </c>
      <c r="K18" s="52" t="inlineStr">
        <is>
          <t>SmartFabric Services for zero-touch provisioning</t>
        </is>
      </c>
    </row>
    <row r="19" ht="26" customHeight="1">
      <c r="A19" s="45" t="inlineStr">
        <is>
          <t>Testing</t>
        </is>
      </c>
      <c r="B19" s="46" t="inlineStr">
        <is>
          <t>Fabric Validation</t>
        </is>
      </c>
      <c r="C19" s="46" t="inlineStr">
        <is>
          <t>Validate spine-leaf fabric connectivity and routing</t>
        </is>
      </c>
      <c r="D19" s="46" t="inlineStr">
        <is>
          <t>EO Engineer</t>
        </is>
      </c>
      <c r="E19" s="47" t="n">
        <v>24</v>
      </c>
      <c r="F19" s="57">
        <f>'Estimate Settings'!$C$6</f>
        <v/>
      </c>
      <c r="G19" s="49">
        <f>$E19*$F19</f>
        <v/>
      </c>
      <c r="H19" s="50" t="n">
        <v>160</v>
      </c>
      <c r="I19" s="49">
        <f>TEXT($G19*$H19,"$#,##0")</f>
        <v/>
      </c>
      <c r="J19" s="46" t="inlineStr">
        <is>
          <t>VXLAN Setup</t>
        </is>
      </c>
      <c r="K19" s="46" t="inlineStr">
        <is>
          <t>BGP adjacency and VXLAN tunnel verification</t>
        </is>
      </c>
    </row>
    <row r="20" ht="26" customHeight="1">
      <c r="A20" s="51" t="inlineStr">
        <is>
          <t>Testing</t>
        </is>
      </c>
      <c r="B20" s="52" t="inlineStr">
        <is>
          <t>Performance Testing</t>
        </is>
      </c>
      <c r="C20" s="52" t="inlineStr">
        <is>
          <t>Benchmark throughput and latency performance</t>
        </is>
      </c>
      <c r="D20" s="52" t="inlineStr">
        <is>
          <t>EO Engineer</t>
        </is>
      </c>
      <c r="E20" s="53" t="n">
        <v>24</v>
      </c>
      <c r="F20" s="54">
        <f>'Estimate Settings'!$C$6</f>
        <v/>
      </c>
      <c r="G20" s="55">
        <f>$E20*$F20</f>
        <v/>
      </c>
      <c r="H20" s="56" t="n">
        <v>160</v>
      </c>
      <c r="I20" s="55">
        <f>TEXT($G20*$H20,"$#,##0")</f>
        <v/>
      </c>
      <c r="J20" s="52" t="inlineStr">
        <is>
          <t>Fabric Validation</t>
        </is>
      </c>
      <c r="K20" s="52" t="inlineStr">
        <is>
          <t>Iperf testing between racks validates 25GbE bandwidth</t>
        </is>
      </c>
    </row>
    <row r="21" ht="26" customHeight="1">
      <c r="A21" s="45" t="inlineStr">
        <is>
          <t>Testing</t>
        </is>
      </c>
      <c r="B21" s="46" t="inlineStr">
        <is>
          <t>Failover Testing</t>
        </is>
      </c>
      <c r="C21" s="46" t="inlineStr">
        <is>
          <t>Test spine and leaf failover scenarios</t>
        </is>
      </c>
      <c r="D21" s="46" t="inlineStr">
        <is>
          <t>EO Engineer</t>
        </is>
      </c>
      <c r="E21" s="47" t="n">
        <v>16</v>
      </c>
      <c r="F21" s="57">
        <f>'Estimate Settings'!$C$6</f>
        <v/>
      </c>
      <c r="G21" s="49">
        <f>$E21*$F21</f>
        <v/>
      </c>
      <c r="H21" s="50" t="n">
        <v>150</v>
      </c>
      <c r="I21" s="49">
        <f>TEXT($G21*$H21,"$#,##0")</f>
        <v/>
      </c>
      <c r="J21" s="46" t="inlineStr">
        <is>
          <t>Fabric Validation</t>
        </is>
      </c>
      <c r="K21" s="46" t="inlineStr">
        <is>
          <t>Validate HA and redundancy design</t>
        </is>
      </c>
    </row>
    <row r="22" ht="26" customHeight="1">
      <c r="A22" s="51" t="inlineStr">
        <is>
          <t>Testing</t>
        </is>
      </c>
      <c r="B22" s="52" t="inlineStr">
        <is>
          <t>Pilot Rack Migration</t>
        </is>
      </c>
      <c r="C22" s="52" t="inlineStr">
        <is>
          <t>Migrate pilot rack to validate production readiness</t>
        </is>
      </c>
      <c r="D22" s="52" t="inlineStr">
        <is>
          <t>EO Engineer</t>
        </is>
      </c>
      <c r="E22" s="53" t="n">
        <v>24</v>
      </c>
      <c r="F22" s="54">
        <f>'Estimate Settings'!$C$6</f>
        <v/>
      </c>
      <c r="G22" s="55">
        <f>$E22*$F22</f>
        <v/>
      </c>
      <c r="H22" s="56" t="n">
        <v>160</v>
      </c>
      <c r="I22" s="55">
        <f>TEXT($G22*$H22,"$#,##0")</f>
        <v/>
      </c>
      <c r="J22" s="52" t="inlineStr">
        <is>
          <t>Performance Testing</t>
        </is>
      </c>
      <c r="K22" s="52" t="inlineStr">
        <is>
          <t>Customer must identify pilot rack and application</t>
        </is>
      </c>
    </row>
    <row r="23" ht="26" customHeight="1">
      <c r="A23" s="45" t="inlineStr">
        <is>
          <t>Deployment</t>
        </is>
      </c>
      <c r="B23" s="46" t="inlineStr">
        <is>
          <t>Phased Migration</t>
        </is>
      </c>
      <c r="C23" s="46" t="inlineStr">
        <is>
          <t>Migrate racks from Cisco to PowerSwitch fabric</t>
        </is>
      </c>
      <c r="D23" s="46" t="inlineStr">
        <is>
          <t>EO Engineer</t>
        </is>
      </c>
      <c r="E23" s="47" t="n">
        <v>80</v>
      </c>
      <c r="F23" s="57">
        <f>'Estimate Settings'!$C$7</f>
        <v/>
      </c>
      <c r="G23" s="49">
        <f>$E23*$F23</f>
        <v/>
      </c>
      <c r="H23" s="50" t="n">
        <v>175</v>
      </c>
      <c r="I23" s="49">
        <f>TEXT($G23*$H23,"$#,##0")</f>
        <v/>
      </c>
      <c r="J23" s="46" t="inlineStr">
        <is>
          <t>Pilot Rack Migration</t>
        </is>
      </c>
      <c r="K23" s="46" t="inlineStr">
        <is>
          <t>5-10 racks per weekend cutover window</t>
        </is>
      </c>
    </row>
    <row r="24" ht="26" customHeight="1">
      <c r="A24" s="51" t="inlineStr">
        <is>
          <t>Deployment</t>
        </is>
      </c>
      <c r="B24" s="52" t="inlineStr">
        <is>
          <t>Application Validation</t>
        </is>
      </c>
      <c r="C24" s="52" t="inlineStr">
        <is>
          <t>Validate application connectivity post-migration</t>
        </is>
      </c>
      <c r="D24" s="52" t="inlineStr">
        <is>
          <t>EO Engineer</t>
        </is>
      </c>
      <c r="E24" s="53" t="n">
        <v>32</v>
      </c>
      <c r="F24" s="54">
        <f>'Estimate Settings'!$C$7</f>
        <v/>
      </c>
      <c r="G24" s="55">
        <f>$E24*$F24</f>
        <v/>
      </c>
      <c r="H24" s="56" t="n">
        <v>150</v>
      </c>
      <c r="I24" s="55">
        <f>TEXT($G24*$H24,"$#,##0")</f>
        <v/>
      </c>
      <c r="J24" s="52" t="inlineStr">
        <is>
          <t>Phased Migration</t>
        </is>
      </c>
      <c r="K24" s="52" t="inlineStr">
        <is>
          <t>Application team validation and smoke testing</t>
        </is>
      </c>
    </row>
    <row r="25" ht="26" customHeight="1">
      <c r="A25" s="45" t="inlineStr">
        <is>
          <t>Deployment</t>
        </is>
      </c>
      <c r="B25" s="46" t="inlineStr">
        <is>
          <t>Cisco Decommission</t>
        </is>
      </c>
      <c r="C25" s="46" t="inlineStr">
        <is>
          <t>Decommission legacy Cisco infrastructure</t>
        </is>
      </c>
      <c r="D25" s="46" t="inlineStr">
        <is>
          <t>EO Engineer</t>
        </is>
      </c>
      <c r="E25" s="47" t="n">
        <v>24</v>
      </c>
      <c r="F25" s="57">
        <f>'Estimate Settings'!$C$7</f>
        <v/>
      </c>
      <c r="G25" s="49">
        <f>$E25*$F25</f>
        <v/>
      </c>
      <c r="H25" s="50" t="n">
        <v>140</v>
      </c>
      <c r="I25" s="49">
        <f>TEXT($G25*$H25,"$#,##0")</f>
        <v/>
      </c>
      <c r="J25" s="46" t="inlineStr">
        <is>
          <t>Application Validation</t>
        </is>
      </c>
      <c r="K25" s="46" t="inlineStr">
        <is>
          <t>Coordinate SmartNet cancellation and RMA</t>
        </is>
      </c>
    </row>
    <row r="26" ht="26" customHeight="1">
      <c r="A26" s="51" t="inlineStr">
        <is>
          <t>Deployment</t>
        </is>
      </c>
      <c r="B26" s="52" t="inlineStr">
        <is>
          <t>Production Support</t>
        </is>
      </c>
      <c r="C26" s="52" t="inlineStr">
        <is>
          <t>Provide hypercare support during migration</t>
        </is>
      </c>
      <c r="D26" s="52" t="inlineStr">
        <is>
          <t>EO Engineer</t>
        </is>
      </c>
      <c r="E26" s="53" t="n">
        <v>40</v>
      </c>
      <c r="F26" s="54">
        <f>'Estimate Settings'!$C$7</f>
        <v/>
      </c>
      <c r="G26" s="55">
        <f>$E26*$F26</f>
        <v/>
      </c>
      <c r="H26" s="56" t="n">
        <v>150</v>
      </c>
      <c r="I26" s="55">
        <f>TEXT($G26*$H26,"$#,##0")</f>
        <v/>
      </c>
      <c r="J26" s="52" t="inlineStr">
        <is>
          <t>Phased Migration</t>
        </is>
      </c>
      <c r="K26" s="52" t="inlineStr">
        <is>
          <t>Daily monitoring and rapid issue response</t>
        </is>
      </c>
    </row>
    <row r="27" ht="26" customHeight="1">
      <c r="A27" s="45" t="inlineStr">
        <is>
          <t>Training</t>
        </is>
      </c>
      <c r="B27" s="46" t="inlineStr">
        <is>
          <t>Network Engineer Training</t>
        </is>
      </c>
      <c r="C27" s="46" t="inlineStr">
        <is>
          <t>Train network team on OS10 and spine-leaf operations</t>
        </is>
      </c>
      <c r="D27" s="46" t="inlineStr">
        <is>
          <t>EO Engineer</t>
        </is>
      </c>
      <c r="E27" s="47" t="n">
        <v>24</v>
      </c>
      <c r="F27" s="57">
        <f>'Estimate Settings'!$C$8</f>
        <v/>
      </c>
      <c r="G27" s="49">
        <f>$E27*$F27</f>
        <v/>
      </c>
      <c r="H27" s="50" t="n">
        <v>175</v>
      </c>
      <c r="I27" s="49">
        <f>TEXT($G27*$H27,"$#,##0")</f>
        <v/>
      </c>
      <c r="J27" s="46" t="inlineStr">
        <is>
          <t>Production Support</t>
        </is>
      </c>
      <c r="K27" s="46" t="inlineStr">
        <is>
          <t>OS10 CLI BGP VXLAN troubleshooting</t>
        </is>
      </c>
    </row>
    <row r="28" ht="26" customHeight="1">
      <c r="A28" s="51" t="inlineStr">
        <is>
          <t>Training</t>
        </is>
      </c>
      <c r="B28" s="52" t="inlineStr">
        <is>
          <t>Automation Training</t>
        </is>
      </c>
      <c r="C28" s="52" t="inlineStr">
        <is>
          <t>Train team on Ansible automation and SmartFabric</t>
        </is>
      </c>
      <c r="D28" s="52" t="inlineStr">
        <is>
          <t>EO Engineer</t>
        </is>
      </c>
      <c r="E28" s="53" t="n">
        <v>16</v>
      </c>
      <c r="F28" s="54">
        <f>'Estimate Settings'!$C$8</f>
        <v/>
      </c>
      <c r="G28" s="55">
        <f>$E28*$F28</f>
        <v/>
      </c>
      <c r="H28" s="56" t="n">
        <v>175</v>
      </c>
      <c r="I28" s="55">
        <f>TEXT($G28*$H28,"$#,##0")</f>
        <v/>
      </c>
      <c r="J28" s="52" t="inlineStr">
        <is>
          <t>Network Engineer Training</t>
        </is>
      </c>
      <c r="K28" s="52" t="inlineStr">
        <is>
          <t>Ansible playbooks ZTP and GitOps workflow</t>
        </is>
      </c>
    </row>
    <row r="29" ht="26" customHeight="1">
      <c r="A29" s="45" t="inlineStr">
        <is>
          <t>Training</t>
        </is>
      </c>
      <c r="B29" s="46" t="inlineStr">
        <is>
          <t>Documentation</t>
        </is>
      </c>
      <c r="C29" s="46" t="inlineStr">
        <is>
          <t>Create network runbooks and troubleshooting guides</t>
        </is>
      </c>
      <c r="D29" s="46" t="inlineStr">
        <is>
          <t>EO Engineer</t>
        </is>
      </c>
      <c r="E29" s="47" t="n">
        <v>24</v>
      </c>
      <c r="F29" s="57">
        <f>'Estimate Settings'!$C$8</f>
        <v/>
      </c>
      <c r="G29" s="49">
        <f>$E29*$F29</f>
        <v/>
      </c>
      <c r="H29" s="50" t="n">
        <v>150</v>
      </c>
      <c r="I29" s="49">
        <f>TEXT($G29*$H29,"$#,##0")</f>
        <v/>
      </c>
      <c r="J29" s="46" t="inlineStr">
        <is>
          <t>Automation Training</t>
        </is>
      </c>
      <c r="K29" s="46" t="inlineStr">
        <is>
          <t>Deliverable: AS-built docs IP plan BGP design runbooks</t>
        </is>
      </c>
    </row>
    <row r="30" ht="26" customHeight="1">
      <c r="A30" s="51" t="inlineStr">
        <is>
          <t>Closeout</t>
        </is>
      </c>
      <c r="B30" s="52" t="inlineStr">
        <is>
          <t>Knowledge Transfer</t>
        </is>
      </c>
      <c r="C30" s="52" t="inlineStr">
        <is>
          <t>Transfer network ownership to IT operations</t>
        </is>
      </c>
      <c r="D30" s="52" t="inlineStr">
        <is>
          <t>EO Engineer</t>
        </is>
      </c>
      <c r="E30" s="53" t="n">
        <v>16</v>
      </c>
      <c r="F30" s="54">
        <f>'Estimate Settings'!$C$9</f>
        <v/>
      </c>
      <c r="G30" s="55">
        <f>$E30*$F30</f>
        <v/>
      </c>
      <c r="H30" s="56" t="n">
        <v>175</v>
      </c>
      <c r="I30" s="55">
        <f>TEXT($G30*$H30,"$#,##0")</f>
        <v/>
      </c>
      <c r="J30" s="52" t="inlineStr">
        <is>
          <t>Documentation</t>
        </is>
      </c>
      <c r="K30" s="52" t="inlineStr">
        <is>
          <t>Comprehensive handover including design and procedures</t>
        </is>
      </c>
    </row>
    <row r="31" ht="26" customHeight="1">
      <c r="A31" s="45" t="inlineStr">
        <is>
          <t>Closeout</t>
        </is>
      </c>
      <c r="B31" s="46" t="inlineStr">
        <is>
          <t>Performance Baseline</t>
        </is>
      </c>
      <c r="C31" s="46" t="inlineStr">
        <is>
          <t>Establish network performance baseline and monitoring</t>
        </is>
      </c>
      <c r="D31" s="46" t="inlineStr">
        <is>
          <t>EO Engineer</t>
        </is>
      </c>
      <c r="E31" s="47" t="n">
        <v>8</v>
      </c>
      <c r="F31" s="57">
        <f>'Estimate Settings'!$C$9</f>
        <v/>
      </c>
      <c r="G31" s="49">
        <f>$E31*$F31</f>
        <v/>
      </c>
      <c r="H31" s="50" t="n">
        <v>150</v>
      </c>
      <c r="I31" s="49">
        <f>TEXT($G31*$H31,"$#,##0")</f>
        <v/>
      </c>
      <c r="J31" s="46" t="inlineStr">
        <is>
          <t>Knowledge Transfer</t>
        </is>
      </c>
      <c r="K31" s="46" t="inlineStr">
        <is>
          <t>Baseline throughput latency and availability metrics</t>
        </is>
      </c>
    </row>
    <row r="32" ht="26" customHeight="1">
      <c r="A32" s="51" t="inlineStr">
        <is>
          <t>Management</t>
        </is>
      </c>
      <c r="B32" s="52" t="inlineStr">
        <is>
          <t>Technical Leadership</t>
        </is>
      </c>
      <c r="C32" s="52" t="inlineStr">
        <is>
          <t>Quarterback technical oversight and architecture review</t>
        </is>
      </c>
      <c r="D32" s="52" t="inlineStr">
        <is>
          <t>EO Quarterback</t>
        </is>
      </c>
      <c r="E32" s="55">
        <f>ROUND(SUM($G$3:$G$31)*0.10,0)</f>
        <v/>
      </c>
      <c r="F32" s="54">
        <f>'Estimate Settings'!$C$11</f>
        <v/>
      </c>
      <c r="G32" s="55">
        <f>$E32*$F32</f>
        <v/>
      </c>
      <c r="H32" s="56" t="n">
        <v>200</v>
      </c>
      <c r="I32" s="55">
        <f>TEXT($G32*$H32,"$#,##0")</f>
        <v/>
      </c>
      <c r="J32" s="52" t="inlineStr"/>
      <c r="K32" s="52" t="inlineStr">
        <is>
          <t>Spine-leaf architecture review and BGP optimization</t>
        </is>
      </c>
    </row>
    <row r="33" ht="26" customHeight="1">
      <c r="A33" s="45" t="inlineStr">
        <is>
          <t>Management</t>
        </is>
      </c>
      <c r="B33" s="46" t="inlineStr">
        <is>
          <t>Project Management</t>
        </is>
      </c>
      <c r="C33" s="46" t="inlineStr">
        <is>
          <t>Project coordination planning and vendor management</t>
        </is>
      </c>
      <c r="D33" s="46" t="inlineStr">
        <is>
          <t>EO Project Manager</t>
        </is>
      </c>
      <c r="E33" s="49">
        <f>ROUND(SUM($G$3:$G$31)*0.10,0)</f>
        <v/>
      </c>
      <c r="F33" s="57">
        <f>'Estimate Settings'!$C$10</f>
        <v/>
      </c>
      <c r="G33" s="49">
        <f>$E33*$F33</f>
        <v/>
      </c>
      <c r="H33" s="50" t="n">
        <v>175</v>
      </c>
      <c r="I33" s="49">
        <f>TEXT($G33*$H33,"$#,##0")</f>
        <v/>
      </c>
      <c r="J33" s="46" t="inlineStr"/>
      <c r="K33" s="46" t="inlineStr">
        <is>
          <t>Includes Dell coordination migration planning risk management</t>
        </is>
      </c>
    </row>
    <row r="34" ht="26" customHeight="1">
      <c r="A34" s="58" t="inlineStr"/>
      <c r="B34" s="58" t="inlineStr"/>
      <c r="C34" s="58" t="inlineStr"/>
      <c r="D34" s="58" t="inlineStr"/>
      <c r="E34" s="58" t="inlineStr"/>
      <c r="F34" s="59" t="inlineStr">
        <is>
          <t>TOTAL HOURS</t>
        </is>
      </c>
      <c r="G34" s="59">
        <f>SUM($G$3:$G$33)</f>
        <v/>
      </c>
      <c r="H34" s="59" t="inlineStr">
        <is>
          <t>TOTAL COST</t>
        </is>
      </c>
      <c r="I34" s="59">
        <f>TEXT(SUMPRODUCT($G$3:$G$33,$H$3:$H$33),"$#,##0")</f>
        <v/>
      </c>
      <c r="J34" s="58" t="inlineStr"/>
      <c r="K34" s="58" t="inlineStr">
        <is>
          <t>EO Sales Engineer: Update phase multipliers based on rack count</t>
        </is>
      </c>
    </row>
  </sheetData>
  <autoFilter ref="A2:K34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Dell Partner Discount</t>
        </is>
      </c>
      <c r="B3" s="60" t="n">
        <v>-25000</v>
      </c>
      <c r="C3" s="38" t="inlineStr">
        <is>
          <t>Dell Titanium Partner discount on PowerSwitch hardware (negotiate 5-10% on volume orders)</t>
        </is>
      </c>
    </row>
    <row r="4" ht="26" customHeight="1">
      <c r="A4" s="40" t="inlineStr">
        <is>
          <t>Implementation Discount</t>
        </is>
      </c>
      <c r="B4" s="61" t="n">
        <v>0</v>
      </c>
      <c r="C4" s="41" t="inlineStr">
        <is>
          <t>No implementation discount applicable</t>
        </is>
      </c>
    </row>
    <row r="5" ht="26" customHeight="1">
      <c r="A5" s="62" t="inlineStr">
        <is>
          <t>TOTAL</t>
        </is>
      </c>
      <c r="B5" s="63">
        <f>SUMPRODUCT($G$3:$G$33,$H$3:$H$33)-25000</f>
        <v/>
      </c>
      <c r="C5" s="62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2025-11-25T04:29:47Z</dcterms:modified>
  <cp:lastModifiedBy>Kishan Siram</cp:lastModifiedBy>
</cp:coreProperties>
</file>