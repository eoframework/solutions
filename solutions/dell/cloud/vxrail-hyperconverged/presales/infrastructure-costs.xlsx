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Guidelines'!$A$2:$F$10</definedName>
    <definedName name="_xlnm._FilterDatabase" localSheetId="2" hidden="1">'Infrastructure Costs'!$A$2:$K$24</definedName>
    <definedName name="_xlnm._FilterDatabase" localSheetId="3" hidden="1">'Credits'!$A$2:$D$6</definedName>
    <definedName name="_xlnm._FilterDatabase" localSheetId="4" hidden="1">'3-Year Summary'!$A$2:$G$10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left" vertical="center" wrapText="1" inden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left" vertical="center" wrapText="1" inden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Vxrail Hyperconverged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 (8 nodes)</t>
        </is>
      </c>
      <c r="D2" s="36" t="inlineStr">
        <is>
          <t>Medium (12 nodes)</t>
        </is>
      </c>
      <c r="E2" s="36" t="inlineStr">
        <is>
          <t>Large (16 nodes)</t>
        </is>
      </c>
      <c r="F2" s="36" t="inlineStr">
        <is>
          <t>Notes</t>
        </is>
      </c>
    </row>
    <row r="3" ht="26" customHeight="1">
      <c r="A3" s="37" t="inlineStr">
        <is>
          <t>Cluster Size</t>
        </is>
      </c>
      <c r="B3" s="38" t="inlineStr">
        <is>
          <t>VxRail P570 Nodes</t>
        </is>
      </c>
      <c r="C3" s="39" t="inlineStr">
        <is>
          <t>8 nodes</t>
        </is>
      </c>
      <c r="D3" s="39" t="inlineStr">
        <is>
          <t>12 nodes</t>
        </is>
      </c>
      <c r="E3" s="39" t="inlineStr">
        <is>
          <t>16 nodes</t>
        </is>
      </c>
      <c r="F3" s="38" t="inlineStr">
        <is>
          <t>All-NVMe for mission-critical workloads</t>
        </is>
      </c>
    </row>
    <row r="4" ht="26" customHeight="1">
      <c r="A4" s="40" t="inlineStr">
        <is>
          <t>Total vCPUs</t>
        </is>
      </c>
      <c r="B4" s="41" t="inlineStr">
        <is>
          <t>Xeon Platinum Processors</t>
        </is>
      </c>
      <c r="C4" s="42" t="inlineStr">
        <is>
          <t>512 vCPUs</t>
        </is>
      </c>
      <c r="D4" s="42" t="inlineStr">
        <is>
          <t>768 vCPUs</t>
        </is>
      </c>
      <c r="E4" s="42" t="inlineStr">
        <is>
          <t>1024 vCPUs</t>
        </is>
      </c>
      <c r="F4" s="41" t="inlineStr">
        <is>
          <t>64 cores per node (2x 32-core CPUs)</t>
        </is>
      </c>
    </row>
    <row r="5" ht="26" customHeight="1">
      <c r="A5" s="37" t="inlineStr">
        <is>
          <t>Total RAM</t>
        </is>
      </c>
      <c r="B5" s="38" t="inlineStr">
        <is>
          <t>DDR4 Memory</t>
        </is>
      </c>
      <c r="C5" s="39" t="inlineStr">
        <is>
          <t>12TB (1.5TB per node)</t>
        </is>
      </c>
      <c r="D5" s="39" t="inlineStr">
        <is>
          <t>18TB (1.5TB per node)</t>
        </is>
      </c>
      <c r="E5" s="39" t="inlineStr">
        <is>
          <t>24TB (1.5TB per node)</t>
        </is>
      </c>
      <c r="F5" s="38" t="inlineStr">
        <is>
          <t>Enterprise memory capacity for databases</t>
        </is>
      </c>
    </row>
    <row r="6" ht="26" customHeight="1">
      <c r="A6" s="40" t="inlineStr">
        <is>
          <t>vSAN Storage</t>
        </is>
      </c>
      <c r="B6" s="41" t="inlineStr">
        <is>
          <t>All-NVMe Capacity (raw)</t>
        </is>
      </c>
      <c r="C6" s="42" t="inlineStr">
        <is>
          <t>245TB raw / 122TB usable</t>
        </is>
      </c>
      <c r="D6" s="42" t="inlineStr">
        <is>
          <t>368TB raw / 184TB usable</t>
        </is>
      </c>
      <c r="E6" s="42" t="inlineStr">
        <is>
          <t>490TB raw / 245TB usable</t>
        </is>
      </c>
      <c r="F6" s="41" t="inlineStr">
        <is>
          <t>FTT=2 RAID-6 erasure coding for enterprise</t>
        </is>
      </c>
    </row>
    <row r="7" ht="26" customHeight="1">
      <c r="A7" s="37" t="inlineStr">
        <is>
          <t>VM Capacity</t>
        </is>
      </c>
      <c r="B7" s="38" t="inlineStr">
        <is>
          <t>Estimated VM Count</t>
        </is>
      </c>
      <c r="C7" s="39" t="inlineStr">
        <is>
          <t>500 VMs</t>
        </is>
      </c>
      <c r="D7" s="39" t="inlineStr">
        <is>
          <t>750 VMs</t>
        </is>
      </c>
      <c r="E7" s="39" t="inlineStr">
        <is>
          <t>1000 VMs</t>
        </is>
      </c>
      <c r="F7" s="38" t="inlineStr">
        <is>
          <t>Based on 4vCPU 24GB average enterprise VM</t>
        </is>
      </c>
    </row>
    <row r="8" ht="26" customHeight="1">
      <c r="A8" s="40" t="inlineStr">
        <is>
          <t>Performance</t>
        </is>
      </c>
      <c r="B8" s="41" t="inlineStr">
        <is>
          <t>Storage IOPS</t>
        </is>
      </c>
      <c r="C8" s="42" t="inlineStr">
        <is>
          <t>100000+ IOPS</t>
        </is>
      </c>
      <c r="D8" s="42" t="inlineStr">
        <is>
          <t>150000+ IOPS</t>
        </is>
      </c>
      <c r="E8" s="42" t="inlineStr">
        <is>
          <t>200000+ IOPS</t>
        </is>
      </c>
      <c r="F8" s="41" t="inlineStr">
        <is>
          <t>All-NVMe for Tier 1 database workloads</t>
        </is>
      </c>
    </row>
    <row r="9" ht="26" customHeight="1">
      <c r="A9" s="37" t="inlineStr">
        <is>
          <t>Network Fabric</t>
        </is>
      </c>
      <c r="B9" s="38" t="inlineStr">
        <is>
          <t>25GbE Connectivity</t>
        </is>
      </c>
      <c r="C9" s="39" t="inlineStr">
        <is>
          <t>8-node fabric</t>
        </is>
      </c>
      <c r="D9" s="39" t="inlineStr">
        <is>
          <t>12-node fabric</t>
        </is>
      </c>
      <c r="E9" s="39" t="inlineStr">
        <is>
          <t>16-node fabric</t>
        </is>
      </c>
      <c r="F9" s="38" t="inlineStr">
        <is>
          <t>Redundant spine-leaf for vSAN and vMotion</t>
        </is>
      </c>
    </row>
    <row r="10" ht="26" customHeight="1">
      <c r="A10" s="40" t="inlineStr">
        <is>
          <t>Support Tier</t>
        </is>
      </c>
      <c r="B10" s="41" t="inlineStr">
        <is>
          <t>Dell Mission Critical</t>
        </is>
      </c>
      <c r="C10" s="42" t="inlineStr">
        <is>
          <t>2-hour response 24x7</t>
        </is>
      </c>
      <c r="D10" s="42" t="inlineStr">
        <is>
          <t>2-hour response 24x7</t>
        </is>
      </c>
      <c r="E10" s="42" t="inlineStr">
        <is>
          <t>2-hour response 24x7</t>
        </is>
      </c>
      <c r="F10" s="41" t="inlineStr">
        <is>
          <t>Enterprise-grade support with TAM</t>
        </is>
      </c>
    </row>
  </sheetData>
  <autoFilter ref="A2:F10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Hardware</t>
        </is>
      </c>
      <c r="B3" s="44" t="inlineStr">
        <is>
          <t>VxRail P570 Node</t>
        </is>
      </c>
      <c r="C3" s="44" t="inlineStr">
        <is>
          <t>2U all-NVMe server 2x Xeon Platinum 8368 1.5TB RAM 30.72TB NVMe</t>
        </is>
      </c>
      <c r="D3" s="45" t="n">
        <v>8</v>
      </c>
      <c r="E3" s="44" t="inlineStr">
        <is>
          <t>Nodes</t>
        </is>
      </c>
      <c r="F3" s="46" t="n">
        <v>75000</v>
      </c>
      <c r="G3" s="47" t="n">
        <v>600000</v>
      </c>
      <c r="H3" s="46" t="n">
        <v>0</v>
      </c>
      <c r="I3" s="46" t="n">
        <v>0</v>
      </c>
      <c r="J3" s="46" t="n">
        <v>600000</v>
      </c>
      <c r="K3" s="44" t="inlineStr">
        <is>
          <t>Enterprise-grade HCI appliance</t>
        </is>
      </c>
    </row>
    <row r="4" ht="26" customHeight="1">
      <c r="A4" s="48" t="inlineStr">
        <is>
          <t>Hardware</t>
        </is>
      </c>
      <c r="B4" s="49" t="inlineStr">
        <is>
          <t>VxRail Manager Appliance</t>
        </is>
      </c>
      <c r="C4" s="49" t="inlineStr">
        <is>
          <t>Lifecycle management virtual appliance for automated updates</t>
        </is>
      </c>
      <c r="D4" s="50" t="n">
        <v>1</v>
      </c>
      <c r="E4" s="49" t="inlineStr">
        <is>
          <t>License</t>
        </is>
      </c>
      <c r="F4" s="51" t="n">
        <v>0</v>
      </c>
      <c r="G4" s="52" t="n">
        <v>0</v>
      </c>
      <c r="H4" s="51" t="n">
        <v>0</v>
      </c>
      <c r="I4" s="51" t="n">
        <v>0</v>
      </c>
      <c r="J4" s="51" t="n">
        <v>0</v>
      </c>
      <c r="K4" s="49" t="inlineStr">
        <is>
          <t>Included with VxRail purchase</t>
        </is>
      </c>
    </row>
    <row r="5" ht="26" customHeight="1">
      <c r="A5" s="43" t="inlineStr">
        <is>
          <t>Hardware</t>
        </is>
      </c>
      <c r="B5" s="44" t="inlineStr">
        <is>
          <t>Rack Rails &amp; Cable Arms</t>
        </is>
      </c>
      <c r="C5" s="44" t="inlineStr">
        <is>
          <t>Rack mounting hardware for VxRail P570 nodes</t>
        </is>
      </c>
      <c r="D5" s="45" t="n">
        <v>8</v>
      </c>
      <c r="E5" s="44" t="inlineStr">
        <is>
          <t>Kits</t>
        </is>
      </c>
      <c r="F5" s="46" t="n">
        <v>350</v>
      </c>
      <c r="G5" s="47" t="n">
        <v>2800</v>
      </c>
      <c r="H5" s="46" t="n">
        <v>0</v>
      </c>
      <c r="I5" s="46" t="n">
        <v>0</v>
      </c>
      <c r="J5" s="46" t="n">
        <v>2800</v>
      </c>
      <c r="K5" s="44" t="inlineStr">
        <is>
          <t>Physical installation accessories</t>
        </is>
      </c>
    </row>
    <row r="6" ht="26" customHeight="1">
      <c r="A6" s="48" t="inlineStr">
        <is>
          <t>Networking</t>
        </is>
      </c>
      <c r="B6" s="49" t="inlineStr">
        <is>
          <t>Dell PowerSwitch Z9332F-ON</t>
        </is>
      </c>
      <c r="C6" s="49" t="inlineStr">
        <is>
          <t>32-port 100GbE spine switch with OS10 for high-performance fabric</t>
        </is>
      </c>
      <c r="D6" s="50" t="n">
        <v>4</v>
      </c>
      <c r="E6" s="49" t="inlineStr">
        <is>
          <t>Switches</t>
        </is>
      </c>
      <c r="F6" s="51" t="n">
        <v>65000</v>
      </c>
      <c r="G6" s="52" t="n">
        <v>260000</v>
      </c>
      <c r="H6" s="51" t="n">
        <v>0</v>
      </c>
      <c r="I6" s="51" t="n">
        <v>0</v>
      </c>
      <c r="J6" s="51" t="n">
        <v>260000</v>
      </c>
      <c r="K6" s="49" t="inlineStr">
        <is>
          <t>Redundant spine-leaf architecture</t>
        </is>
      </c>
    </row>
    <row r="7" ht="26" customHeight="1">
      <c r="A7" s="43" t="inlineStr">
        <is>
          <t>Networking</t>
        </is>
      </c>
      <c r="B7" s="44" t="inlineStr">
        <is>
          <t>Dell PowerSwitch S5248F-ON</t>
        </is>
      </c>
      <c r="C7" s="44" t="inlineStr">
        <is>
          <t>48-port 25GbE leaf ToR switch for server connectivity</t>
        </is>
      </c>
      <c r="D7" s="45" t="n">
        <v>4</v>
      </c>
      <c r="E7" s="44" t="inlineStr">
        <is>
          <t>Switches</t>
        </is>
      </c>
      <c r="F7" s="46" t="n">
        <v>12000</v>
      </c>
      <c r="G7" s="47" t="n">
        <v>48000</v>
      </c>
      <c r="H7" s="46" t="n">
        <v>0</v>
      </c>
      <c r="I7" s="46" t="n">
        <v>0</v>
      </c>
      <c r="J7" s="46" t="n">
        <v>48000</v>
      </c>
      <c r="K7" s="44" t="inlineStr">
        <is>
          <t>Leaf switches for distributed fabric</t>
        </is>
      </c>
    </row>
    <row r="8" ht="26" customHeight="1">
      <c r="A8" s="48" t="inlineStr">
        <is>
          <t>Networking</t>
        </is>
      </c>
      <c r="B8" s="49" t="inlineStr">
        <is>
          <t>100GbE QSFP28 Transceivers</t>
        </is>
      </c>
      <c r="C8" s="49" t="inlineStr">
        <is>
          <t>Fiber optic transceivers for spine-leaf interconnects</t>
        </is>
      </c>
      <c r="D8" s="50" t="n">
        <v>64</v>
      </c>
      <c r="E8" s="49" t="inlineStr">
        <is>
          <t>Transceivers</t>
        </is>
      </c>
      <c r="F8" s="51" t="n">
        <v>850</v>
      </c>
      <c r="G8" s="52" t="n">
        <v>54400</v>
      </c>
      <c r="H8" s="51" t="n">
        <v>0</v>
      </c>
      <c r="I8" s="51" t="n">
        <v>0</v>
      </c>
      <c r="J8" s="51" t="n">
        <v>54400</v>
      </c>
      <c r="K8" s="49" t="inlineStr">
        <is>
          <t>High-speed fabric connectivity</t>
        </is>
      </c>
    </row>
    <row r="9" ht="26" customHeight="1">
      <c r="A9" s="43" t="inlineStr">
        <is>
          <t>Networking</t>
        </is>
      </c>
      <c r="B9" s="44" t="inlineStr">
        <is>
          <t>25GbE SFP28 Transceivers</t>
        </is>
      </c>
      <c r="C9" s="44" t="inlineStr">
        <is>
          <t>Fiber optic transceivers for node-to-leaf connectivity</t>
        </is>
      </c>
      <c r="D9" s="45" t="n">
        <v>64</v>
      </c>
      <c r="E9" s="44" t="inlineStr">
        <is>
          <t>Transceivers</t>
        </is>
      </c>
      <c r="F9" s="46" t="n">
        <v>400</v>
      </c>
      <c r="G9" s="47" t="n">
        <v>25600</v>
      </c>
      <c r="H9" s="46" t="n">
        <v>0</v>
      </c>
      <c r="I9" s="46" t="n">
        <v>0</v>
      </c>
      <c r="J9" s="46" t="n">
        <v>25600</v>
      </c>
      <c r="K9" s="44" t="inlineStr">
        <is>
          <t>Server uplinks (8 per node × 8 nodes)</t>
        </is>
      </c>
    </row>
    <row r="10" ht="26" customHeight="1">
      <c r="A10" s="48" t="inlineStr">
        <is>
          <t>Networking</t>
        </is>
      </c>
      <c r="B10" s="49" t="inlineStr">
        <is>
          <t>OM4 Fiber Cables</t>
        </is>
      </c>
      <c r="C10" s="49" t="inlineStr">
        <is>
          <t>Multimode fiber patch cables for 25/100GbE connections</t>
        </is>
      </c>
      <c r="D10" s="50" t="n">
        <v>128</v>
      </c>
      <c r="E10" s="49" t="inlineStr">
        <is>
          <t>Cables</t>
        </is>
      </c>
      <c r="F10" s="51" t="n">
        <v>45</v>
      </c>
      <c r="G10" s="52" t="n">
        <v>5760</v>
      </c>
      <c r="H10" s="51" t="n">
        <v>0</v>
      </c>
      <c r="I10" s="51" t="n">
        <v>0</v>
      </c>
      <c r="J10" s="51" t="n">
        <v>5760</v>
      </c>
      <c r="K10" s="49" t="inlineStr">
        <is>
          <t>Data center cabling infrastructure</t>
        </is>
      </c>
    </row>
    <row r="11" ht="26" customHeight="1">
      <c r="A11" s="43" t="inlineStr">
        <is>
          <t>Software</t>
        </is>
      </c>
      <c r="B11" s="44" t="inlineStr">
        <is>
          <t>VMware vSphere Enterprise Plus</t>
        </is>
      </c>
      <c r="C11" s="44" t="inlineStr">
        <is>
          <t>Hypervisor per-CPU licensing for advanced DRS and HA features</t>
        </is>
      </c>
      <c r="D11" s="45" t="n">
        <v>16</v>
      </c>
      <c r="E11" s="44" t="inlineStr">
        <is>
          <t>CPU Licenses</t>
        </is>
      </c>
      <c r="F11" s="46" t="n">
        <v>5750</v>
      </c>
      <c r="G11" s="47" t="n">
        <v>92000</v>
      </c>
      <c r="H11" s="46" t="n">
        <v>0</v>
      </c>
      <c r="I11" s="46" t="n">
        <v>0</v>
      </c>
      <c r="J11" s="46" t="n">
        <v>92000</v>
      </c>
      <c r="K11" s="44" t="inlineStr">
        <is>
          <t>2 CPUs per node × 8 nodes</t>
        </is>
      </c>
    </row>
    <row r="12" ht="26" customHeight="1">
      <c r="A12" s="48" t="inlineStr">
        <is>
          <t>Software</t>
        </is>
      </c>
      <c r="B12" s="49" t="inlineStr">
        <is>
          <t>VMware vSAN Enterprise</t>
        </is>
      </c>
      <c r="C12" s="49" t="inlineStr">
        <is>
          <t>Software-defined storage per-CPU with dedup compression encryption</t>
        </is>
      </c>
      <c r="D12" s="50" t="n">
        <v>16</v>
      </c>
      <c r="E12" s="49" t="inlineStr">
        <is>
          <t>CPU Licenses</t>
        </is>
      </c>
      <c r="F12" s="51" t="n">
        <v>3750</v>
      </c>
      <c r="G12" s="52" t="n">
        <v>60000</v>
      </c>
      <c r="H12" s="51" t="n">
        <v>0</v>
      </c>
      <c r="I12" s="51" t="n">
        <v>0</v>
      </c>
      <c r="J12" s="51" t="n">
        <v>60000</v>
      </c>
      <c r="K12" s="49" t="inlineStr">
        <is>
          <t>vSAN advanced features for enterprise</t>
        </is>
      </c>
    </row>
    <row r="13" ht="26" customHeight="1">
      <c r="A13" s="43" t="inlineStr">
        <is>
          <t>Software</t>
        </is>
      </c>
      <c r="B13" s="44" t="inlineStr">
        <is>
          <t>VMware vCenter Server Standard</t>
        </is>
      </c>
      <c r="C13" s="44" t="inlineStr">
        <is>
          <t>Centralized management for vSphere cluster</t>
        </is>
      </c>
      <c r="D13" s="45" t="n">
        <v>1</v>
      </c>
      <c r="E13" s="44" t="inlineStr">
        <is>
          <t>Instance</t>
        </is>
      </c>
      <c r="F13" s="46" t="n">
        <v>6000</v>
      </c>
      <c r="G13" s="47" t="n">
        <v>6000</v>
      </c>
      <c r="H13" s="46" t="n">
        <v>0</v>
      </c>
      <c r="I13" s="46" t="n">
        <v>0</v>
      </c>
      <c r="J13" s="46" t="n">
        <v>6000</v>
      </c>
      <c r="K13" s="44" t="inlineStr">
        <is>
          <t>One-time perpetual license</t>
        </is>
      </c>
    </row>
    <row r="14" ht="26" customHeight="1">
      <c r="A14" s="48" t="inlineStr">
        <is>
          <t>Software</t>
        </is>
      </c>
      <c r="B14" s="49" t="inlineStr">
        <is>
          <t>VMware NSX Data Center Enterprise Plus</t>
        </is>
      </c>
      <c r="C14" s="49" t="inlineStr">
        <is>
          <t>Network virtualization and micro-segmentation per-CPU</t>
        </is>
      </c>
      <c r="D14" s="50" t="n">
        <v>16</v>
      </c>
      <c r="E14" s="49" t="inlineStr">
        <is>
          <t>CPU Licenses</t>
        </is>
      </c>
      <c r="F14" s="51" t="n">
        <v>4995</v>
      </c>
      <c r="G14" s="52" t="n">
        <v>79920</v>
      </c>
      <c r="H14" s="51" t="n">
        <v>0</v>
      </c>
      <c r="I14" s="51" t="n">
        <v>0</v>
      </c>
      <c r="J14" s="51" t="n">
        <v>79920</v>
      </c>
      <c r="K14" s="49" t="inlineStr">
        <is>
          <t>Zero-trust security and distributed firewall</t>
        </is>
      </c>
    </row>
    <row r="15" ht="26" customHeight="1">
      <c r="A15" s="43" t="inlineStr">
        <is>
          <t>Software</t>
        </is>
      </c>
      <c r="B15" s="44" t="inlineStr">
        <is>
          <t>VMware vRealize Suite Enterprise</t>
        </is>
      </c>
      <c r="C15" s="44" t="inlineStr">
        <is>
          <t>Operations monitoring capacity planning and automation</t>
        </is>
      </c>
      <c r="D15" s="45" t="n">
        <v>16</v>
      </c>
      <c r="E15" s="44" t="inlineStr">
        <is>
          <t>CPU Licenses</t>
        </is>
      </c>
      <c r="F15" s="46" t="n">
        <v>4150</v>
      </c>
      <c r="G15" s="47" t="n">
        <v>66400</v>
      </c>
      <c r="H15" s="46" t="n">
        <v>66400</v>
      </c>
      <c r="I15" s="46" t="n">
        <v>66400</v>
      </c>
      <c r="J15" s="46" t="n">
        <v>199200</v>
      </c>
      <c r="K15" s="44" t="inlineStr">
        <is>
          <t>Annual subscription per CPU</t>
        </is>
      </c>
    </row>
    <row r="16" ht="26" customHeight="1">
      <c r="A16" s="48" t="inlineStr">
        <is>
          <t>Software</t>
        </is>
      </c>
      <c r="B16" s="49" t="inlineStr">
        <is>
          <t>Dell RecoverPoint for VMs</t>
        </is>
      </c>
      <c r="C16" s="49" t="inlineStr">
        <is>
          <t>Multi-site replication and disaster recovery orchestration</t>
        </is>
      </c>
      <c r="D16" s="50" t="n">
        <v>8</v>
      </c>
      <c r="E16" s="49" t="inlineStr">
        <is>
          <t>Nodes</t>
        </is>
      </c>
      <c r="F16" s="51" t="n">
        <v>10000</v>
      </c>
      <c r="G16" s="52" t="n">
        <v>80000</v>
      </c>
      <c r="H16" s="51" t="n">
        <v>80000</v>
      </c>
      <c r="I16" s="51" t="n">
        <v>80000</v>
      </c>
      <c r="J16" s="51" t="n">
        <v>240000</v>
      </c>
      <c r="K16" s="49" t="inlineStr">
        <is>
          <t>Annual subscription for DR solution</t>
        </is>
      </c>
    </row>
    <row r="17" ht="26" customHeight="1">
      <c r="A17" s="43" t="inlineStr">
        <is>
          <t>Software</t>
        </is>
      </c>
      <c r="B17" s="44" t="inlineStr">
        <is>
          <t>Veeam Backup &amp; Replication Enterprise Plus</t>
        </is>
      </c>
      <c r="C17" s="44" t="inlineStr">
        <is>
          <t>Enterprise VM backup with instant recovery</t>
        </is>
      </c>
      <c r="D17" s="45" t="n">
        <v>500</v>
      </c>
      <c r="E17" s="44" t="inlineStr">
        <is>
          <t>VM Licenses</t>
        </is>
      </c>
      <c r="F17" s="46" t="n">
        <v>75</v>
      </c>
      <c r="G17" s="47" t="n">
        <v>37500</v>
      </c>
      <c r="H17" s="46" t="n">
        <v>37500</v>
      </c>
      <c r="I17" s="46" t="n">
        <v>37500</v>
      </c>
      <c r="J17" s="46" t="n">
        <v>112500</v>
      </c>
      <c r="K17" s="44" t="inlineStr">
        <is>
          <t>Annual subscription per VM</t>
        </is>
      </c>
    </row>
    <row r="18" ht="26" customHeight="1">
      <c r="A18" s="48" t="inlineStr">
        <is>
          <t>Support &amp; Maintenance</t>
        </is>
      </c>
      <c r="B18" s="49" t="inlineStr">
        <is>
          <t>Dell Mission Critical Services</t>
        </is>
      </c>
      <c r="C18" s="49" t="inlineStr">
        <is>
          <t>2-hour response 24x7 with dedicated TAM and escalation</t>
        </is>
      </c>
      <c r="D18" s="50" t="n">
        <v>8</v>
      </c>
      <c r="E18" s="49" t="inlineStr">
        <is>
          <t>Nodes</t>
        </is>
      </c>
      <c r="F18" s="51" t="n">
        <v>12000</v>
      </c>
      <c r="G18" s="52" t="n">
        <v>96000</v>
      </c>
      <c r="H18" s="51" t="n">
        <v>96000</v>
      </c>
      <c r="I18" s="51" t="n">
        <v>96000</v>
      </c>
      <c r="J18" s="51" t="n">
        <v>288000</v>
      </c>
      <c r="K18" s="49" t="inlineStr">
        <is>
          <t>Highest-tier enterprise support</t>
        </is>
      </c>
    </row>
    <row r="19" ht="26" customHeight="1">
      <c r="A19" s="43" t="inlineStr">
        <is>
          <t>Support &amp; Maintenance</t>
        </is>
      </c>
      <c r="B19" s="44" t="inlineStr">
        <is>
          <t>Network Equipment Support</t>
        </is>
      </c>
      <c r="C19" s="44" t="inlineStr">
        <is>
          <t>ProSupport Plus for PowerSwitch spine and leaf switches</t>
        </is>
      </c>
      <c r="D19" s="45" t="n">
        <v>8</v>
      </c>
      <c r="E19" s="44" t="inlineStr">
        <is>
          <t>Switches</t>
        </is>
      </c>
      <c r="F19" s="46" t="n">
        <v>1800</v>
      </c>
      <c r="G19" s="47" t="n">
        <v>14400</v>
      </c>
      <c r="H19" s="46" t="n">
        <v>14400</v>
      </c>
      <c r="I19" s="46" t="n">
        <v>14400</v>
      </c>
      <c r="J19" s="46" t="n">
        <v>43200</v>
      </c>
      <c r="K19" s="44" t="inlineStr">
        <is>
          <t>Switch hardware support contracts</t>
        </is>
      </c>
    </row>
    <row r="20" ht="26" customHeight="1">
      <c r="A20" s="48" t="inlineStr">
        <is>
          <t>Professional Services</t>
        </is>
      </c>
      <c r="B20" s="49" t="inlineStr">
        <is>
          <t>VxRail Enterprise Deployment</t>
        </is>
      </c>
      <c r="C20" s="49" t="inlineStr">
        <is>
          <t>Architecture design on-site installation and configuration</t>
        </is>
      </c>
      <c r="D20" s="50" t="n">
        <v>8</v>
      </c>
      <c r="E20" s="49" t="inlineStr">
        <is>
          <t>Nodes</t>
        </is>
      </c>
      <c r="F20" s="51" t="n">
        <v>8000</v>
      </c>
      <c r="G20" s="52" t="n">
        <v>64000</v>
      </c>
      <c r="H20" s="51" t="n">
        <v>0</v>
      </c>
      <c r="I20" s="51" t="n">
        <v>0</v>
      </c>
      <c r="J20" s="51" t="n">
        <v>64000</v>
      </c>
      <c r="K20" s="49" t="inlineStr">
        <is>
          <t>2 week Dell ProDeploy engagement</t>
        </is>
      </c>
    </row>
    <row r="21" ht="26" customHeight="1">
      <c r="A21" s="43" t="inlineStr">
        <is>
          <t>Professional Services</t>
        </is>
      </c>
      <c r="B21" s="44" t="inlineStr">
        <is>
          <t>VMware Advanced Training</t>
        </is>
      </c>
      <c r="C21" s="44" t="inlineStr">
        <is>
          <t>vSphere vSAN NSX vRealize Operations 10-day course</t>
        </is>
      </c>
      <c r="D21" s="45" t="n">
        <v>4</v>
      </c>
      <c r="E21" s="44" t="inlineStr">
        <is>
          <t>Students</t>
        </is>
      </c>
      <c r="F21" s="46" t="n">
        <v>5000</v>
      </c>
      <c r="G21" s="47" t="n">
        <v>20000</v>
      </c>
      <c r="H21" s="46" t="n">
        <v>0</v>
      </c>
      <c r="I21" s="46" t="n">
        <v>0</v>
      </c>
      <c r="J21" s="46" t="n">
        <v>20000</v>
      </c>
      <c r="K21" s="44" t="inlineStr">
        <is>
          <t>Comprehensive enterprise training</t>
        </is>
      </c>
    </row>
    <row r="22" ht="26" customHeight="1">
      <c r="A22" s="48" t="inlineStr">
        <is>
          <t>Professional Services</t>
        </is>
      </c>
      <c r="B22" s="49" t="inlineStr">
        <is>
          <t>Database Migration Services</t>
        </is>
      </c>
      <c r="C22" s="49" t="inlineStr">
        <is>
          <t>Oracle RAC and SQL Always-On migration planning and execution</t>
        </is>
      </c>
      <c r="D22" s="50" t="n">
        <v>1</v>
      </c>
      <c r="E22" s="49" t="inlineStr">
        <is>
          <t>Project</t>
        </is>
      </c>
      <c r="F22" s="51" t="n">
        <v>50000</v>
      </c>
      <c r="G22" s="52" t="n">
        <v>50000</v>
      </c>
      <c r="H22" s="51" t="n">
        <v>0</v>
      </c>
      <c r="I22" s="51" t="n">
        <v>0</v>
      </c>
      <c r="J22" s="51" t="n">
        <v>50000</v>
      </c>
      <c r="K22" s="49" t="inlineStr">
        <is>
          <t>Professional services for Tier 1 migration</t>
        </is>
      </c>
    </row>
    <row r="23" ht="26" customHeight="1">
      <c r="A23" s="43" t="inlineStr">
        <is>
          <t>Professional Services</t>
        </is>
      </c>
      <c r="B23" s="44" t="inlineStr">
        <is>
          <t>Disaster Recovery Planning</t>
        </is>
      </c>
      <c r="C23" s="44" t="inlineStr">
        <is>
          <t>DR architecture design SRM configuration and failover testing</t>
        </is>
      </c>
      <c r="D23" s="45" t="n">
        <v>1</v>
      </c>
      <c r="E23" s="44" t="inlineStr">
        <is>
          <t>Project</t>
        </is>
      </c>
      <c r="F23" s="46" t="n">
        <v>25000</v>
      </c>
      <c r="G23" s="47" t="n">
        <v>25000</v>
      </c>
      <c r="H23" s="46" t="n">
        <v>0</v>
      </c>
      <c r="I23" s="46" t="n">
        <v>0</v>
      </c>
      <c r="J23" s="46" t="n">
        <v>25000</v>
      </c>
      <c r="K23" s="44" t="inlineStr">
        <is>
          <t>DR solution implementation services</t>
        </is>
      </c>
    </row>
    <row r="24" ht="26" customHeight="1">
      <c r="A24" s="53" t="inlineStr">
        <is>
          <t>TOTAL</t>
        </is>
      </c>
      <c r="B24" s="54" t="n"/>
      <c r="C24" s="54" t="n"/>
      <c r="D24" s="54" t="n"/>
      <c r="E24" s="54" t="n"/>
      <c r="F24" s="54" t="n"/>
      <c r="G24" s="55">
        <f>SUM(G3:G23)</f>
        <v/>
      </c>
      <c r="H24" s="55">
        <f>SUM(H3:H23)</f>
        <v/>
      </c>
      <c r="I24" s="55">
        <f>SUM(I3:I23)</f>
        <v/>
      </c>
      <c r="J24" s="55">
        <f>SUM(J3:J23)</f>
        <v/>
      </c>
      <c r="K24" s="54" t="n"/>
    </row>
  </sheetData>
  <autoFilter ref="A2:K24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Hardware</t>
        </is>
      </c>
      <c r="B3" s="44" t="inlineStr">
        <is>
          <t>Legacy Enterprise SAN Decommission</t>
        </is>
      </c>
      <c r="C3" s="46" t="n">
        <v>-250000</v>
      </c>
      <c r="D3" s="44" t="inlineStr">
        <is>
          <t>3-year maintenance savings from retiring EMC VMAX or NetApp enterprise SAN</t>
        </is>
      </c>
    </row>
    <row r="4" ht="26" customHeight="1">
      <c r="A4" s="48" t="inlineStr">
        <is>
          <t>Operational Savings</t>
        </is>
      </c>
      <c r="B4" s="49" t="inlineStr">
        <is>
          <t>Power and Cooling Reduction</t>
        </is>
      </c>
      <c r="C4" s="51" t="n">
        <v>-65000</v>
      </c>
      <c r="D4" s="49" t="inlineStr">
        <is>
          <t>Annual savings from 60% reduction in power vs legacy SAN and server infrastructure</t>
        </is>
      </c>
    </row>
    <row r="5" ht="26" customHeight="1">
      <c r="A5" s="43" t="inlineStr">
        <is>
          <t>Operational Savings</t>
        </is>
      </c>
      <c r="B5" s="44" t="inlineStr">
        <is>
          <t>Data Center Footprint Reduction</t>
        </is>
      </c>
      <c r="C5" s="46" t="n">
        <v>-36000</v>
      </c>
      <c r="D5" s="44" t="inlineStr">
        <is>
          <t>Annual savings from consolidating 8 racks to 2 racks (rack rental and cross-connects)</t>
        </is>
      </c>
    </row>
    <row r="6" ht="26" customHeight="1">
      <c r="A6" s="48" t="inlineStr">
        <is>
          <t>Operational Savings</t>
        </is>
      </c>
      <c r="B6" s="49" t="inlineStr">
        <is>
          <t>Administrative Labor Savings</t>
        </is>
      </c>
      <c r="C6" s="51" t="n">
        <v>-120000</v>
      </c>
      <c r="D6" s="49" t="inlineStr">
        <is>
          <t>Annual savings from reduced storage admin burden (LUN management automation)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Hardware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8" t="inlineStr">
        <is>
          <t>Networking</t>
        </is>
      </c>
      <c r="B4" s="51">
        <f>SUMIF('Infrastructure Costs'!$A:$A,A4,'Infrastructure Costs'!$G:$G)</f>
        <v/>
      </c>
      <c r="C4" s="51">
        <f>SUMIF(Credits!$A:$A,A4,Credits!$C:$C)</f>
        <v/>
      </c>
      <c r="D4" s="51">
        <f>B4+C4</f>
        <v/>
      </c>
      <c r="E4" s="51">
        <f>SUMIF('Infrastructure Costs'!$A:$A,A4,'Infrastructure Costs'!$H:$H)</f>
        <v/>
      </c>
      <c r="F4" s="51">
        <f>SUMIF('Infrastructure Costs'!$A:$A,A4,'Infrastructure Costs'!$I:$I)</f>
        <v/>
      </c>
      <c r="G4" s="51">
        <f>D4+E4+F4</f>
        <v/>
      </c>
    </row>
    <row r="5" ht="26" customHeight="1">
      <c r="A5" s="43" t="inlineStr">
        <is>
          <t>Software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8" t="inlineStr">
        <is>
          <t>Support &amp; Maintenance</t>
        </is>
      </c>
      <c r="B6" s="51">
        <f>SUMIF('Infrastructure Costs'!$A:$A,A6,'Infrastructure Costs'!$G:$G)</f>
        <v/>
      </c>
      <c r="C6" s="51">
        <f>SUMIF(Credits!$A:$A,A6,Credits!$C:$C)</f>
        <v/>
      </c>
      <c r="D6" s="51">
        <f>B6+C6</f>
        <v/>
      </c>
      <c r="E6" s="51">
        <f>SUMIF('Infrastructure Costs'!$A:$A,A6,'Infrastructure Costs'!$H:$H)</f>
        <v/>
      </c>
      <c r="F6" s="51">
        <f>SUMIF('Infrastructure Costs'!$A:$A,A6,'Infrastructure Costs'!$I:$I)</f>
        <v/>
      </c>
      <c r="G6" s="51">
        <f>D6+E6+F6</f>
        <v/>
      </c>
    </row>
    <row r="7" ht="26" customHeight="1">
      <c r="A7" s="43" t="inlineStr">
        <is>
          <t>Professional Services</t>
        </is>
      </c>
      <c r="B7" s="46">
        <f>SUMIF('Infrastructure Costs'!$A:$A,A7,'Infrastructure Costs'!$G:$G)</f>
        <v/>
      </c>
      <c r="C7" s="46">
        <f>SUMIF(Credits!$A:$A,A7,Credits!$C:$C)</f>
        <v/>
      </c>
      <c r="D7" s="46">
        <f>B7+C7</f>
        <v/>
      </c>
      <c r="E7" s="46">
        <f>SUMIF('Infrastructure Costs'!$A:$A,A7,'Infrastructure Costs'!$H:$H)</f>
        <v/>
      </c>
      <c r="F7" s="46">
        <f>SUMIF('Infrastructure Costs'!$A:$A,A7,'Infrastructure Costs'!$I:$I)</f>
        <v/>
      </c>
      <c r="G7" s="46">
        <f>D7+E7+F7</f>
        <v/>
      </c>
    </row>
    <row r="8" ht="26" customHeight="1">
      <c r="A8" s="53" t="inlineStr">
        <is>
          <t>TOTAL</t>
        </is>
      </c>
      <c r="B8" s="55">
        <f>SUM(B3:B7)</f>
        <v/>
      </c>
      <c r="C8" s="55">
        <f>SUM(C3:C7)</f>
        <v/>
      </c>
      <c r="D8" s="55">
        <f>SUM(D3:D7)</f>
        <v/>
      </c>
      <c r="E8" s="55">
        <f>SUM(E3:E7)</f>
        <v/>
      </c>
      <c r="F8" s="55">
        <f>SUM(F3:F7)</f>
        <v/>
      </c>
      <c r="G8" s="55">
        <f>SUM(G3:G7)</f>
        <v/>
      </c>
    </row>
    <row r="9" ht="26" customHeight="1">
      <c r="A9" s="43" t="inlineStr">
        <is>
          <t>Legacy Cost Avoidance</t>
        </is>
      </c>
      <c r="B9" s="46">
        <f>SUMIF('Infrastructure Costs'!$A:$A,A9,'Infrastructure Costs'!$G:$G)</f>
        <v/>
      </c>
      <c r="C9" s="46">
        <f>SUMIF(Credits!$A:$A,A9,Credits!$C:$C)</f>
        <v/>
      </c>
      <c r="D9" s="46">
        <f>B9+C9</f>
        <v/>
      </c>
      <c r="E9" s="46">
        <f>SUMIF('Infrastructure Costs'!$A:$A,A9,'Infrastructure Costs'!$H:$H)</f>
        <v/>
      </c>
      <c r="F9" s="46">
        <f>SUMIF('Infrastructure Costs'!$A:$A,A9,'Infrastructure Costs'!$I:$I)</f>
        <v/>
      </c>
      <c r="G9" s="46">
        <f>D9+E9+F9</f>
        <v/>
      </c>
    </row>
    <row r="10" ht="26" customHeight="1">
      <c r="A10" s="48" t="inlineStr">
        <is>
          <t>Net Investment After Savings</t>
        </is>
      </c>
      <c r="B10" s="51">
        <f>SUMIF('Infrastructure Costs'!$A:$A,A10,'Infrastructure Costs'!$G:$G)</f>
        <v/>
      </c>
      <c r="C10" s="51">
        <f>SUMIF(Credits!$A:$A,A10,Credits!$C:$C)</f>
        <v/>
      </c>
      <c r="D10" s="51">
        <f>B10+C10</f>
        <v/>
      </c>
      <c r="E10" s="51">
        <f>SUMIF('Infrastructure Costs'!$A:$A,A10,'Infrastructure Costs'!$H:$H)</f>
        <v/>
      </c>
      <c r="F10" s="51">
        <f>SUMIF('Infrastructure Costs'!$A:$A,A10,'Infrastructure Costs'!$I:$I)</f>
        <v/>
      </c>
      <c r="G10" s="51">
        <f>D10+E10+F10</f>
        <v/>
      </c>
    </row>
  </sheetData>
  <autoFilter ref="A2:G1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2025-11-22T20:11:34Z</dcterms:modified>
  <cp:lastModifiedBy>Kishan Siram</cp:lastModifiedBy>
</cp:coreProperties>
</file>