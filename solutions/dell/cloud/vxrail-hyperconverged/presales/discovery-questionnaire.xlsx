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ll Categories (Read Only)" sheetId="2" state="visible" r:id="rId2"/>
    <sheet xmlns:r="http://schemas.openxmlformats.org/officeDocument/2006/relationships" name="Business Requirements" sheetId="3" state="visible" r:id="rId3"/>
    <sheet xmlns:r="http://schemas.openxmlformats.org/officeDocument/2006/relationships" name="Technical Requirements" sheetId="4" state="visible" r:id="rId4"/>
    <sheet xmlns:r="http://schemas.openxmlformats.org/officeDocument/2006/relationships" name="Security &amp; Compliance" sheetId="5" state="visible" r:id="rId5"/>
    <sheet xmlns:r="http://schemas.openxmlformats.org/officeDocument/2006/relationships" name="Operations &amp; Support" sheetId="6" state="visible" r:id="rId6"/>
    <sheet xmlns:r="http://schemas.openxmlformats.org/officeDocument/2006/relationships" name="Implementation Planning" sheetId="7" state="visible" r:id="rId7"/>
    <sheet xmlns:r="http://schemas.openxmlformats.org/officeDocument/2006/relationships" name="Risk &amp; Constraint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7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color rgb="FF5D6D7E"/>
      <sz val="11"/>
      <u val="single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5D6D7E"/>
      <sz val="14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b val="1"/>
      <color rgb="FFFFFFFF"/>
      <sz val="12"/>
    </font>
    <font>
      <name val="Calibri"/>
      <b val="1"/>
      <color rgb="FF2C3E50"/>
      <sz val="12"/>
    </font>
  </fonts>
  <fills count="12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2CC"/>
        <bgColor rgb="00FFF2CC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top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5" fillId="5" borderId="2" applyAlignment="1" pivotButton="0" quotePrefix="0" xfId="0">
      <alignment horizontal="right" vertical="center" wrapText="1" indent="1"/>
    </xf>
    <xf numFmtId="0" fontId="6" fillId="3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horizontal="left" vertical="center"/>
    </xf>
    <xf numFmtId="0" fontId="11" fillId="7" borderId="4" applyAlignment="1" pivotButton="0" quotePrefix="0" xfId="0">
      <alignment horizontal="center" vertical="center"/>
    </xf>
    <xf numFmtId="0" fontId="11" fillId="8" borderId="4" applyAlignment="1" pivotButton="0" quotePrefix="0" xfId="0">
      <alignment horizontal="center" vertical="center"/>
    </xf>
    <xf numFmtId="9" fontId="11" fillId="8" borderId="4" applyAlignment="1" pivotButton="0" quotePrefix="0" xfId="0">
      <alignment horizontal="center" vertical="center"/>
    </xf>
    <xf numFmtId="0" fontId="14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2" fillId="4" borderId="2" applyAlignment="1" pivotButton="0" quotePrefix="0" xfId="0">
      <alignment horizontal="right" wrapText="1"/>
    </xf>
    <xf numFmtId="164" fontId="12" fillId="0" borderId="2" applyAlignment="1" pivotButton="0" quotePrefix="0" xfId="0">
      <alignment horizontal="right" wrapText="1"/>
    </xf>
    <xf numFmtId="164" fontId="12" fillId="4" borderId="2" applyAlignment="1" pivotButton="0" quotePrefix="0" xfId="0">
      <alignment horizontal="right" wrapText="1" indent="1"/>
    </xf>
    <xf numFmtId="164" fontId="12" fillId="0" borderId="2" applyAlignment="1" pivotButton="0" quotePrefix="0" xfId="0">
      <alignment horizontal="right" wrapText="1" indent="1"/>
    </xf>
    <xf numFmtId="164" fontId="14" fillId="5" borderId="2" applyAlignment="1" pivotButton="0" quotePrefix="0" xfId="0">
      <alignment horizontal="right" wrapText="1" indent="1"/>
    </xf>
    <xf numFmtId="0" fontId="12" fillId="4" borderId="2" applyAlignment="1" pivotButton="0" quotePrefix="0" xfId="0">
      <alignment horizontal="right" vertical="center" wrapText="1"/>
    </xf>
    <xf numFmtId="0" fontId="12" fillId="0" borderId="2" applyAlignment="1" pivotButton="0" quotePrefix="0" xfId="0">
      <alignment horizontal="right" vertical="center" wrapText="1"/>
    </xf>
    <xf numFmtId="0" fontId="5" fillId="5" borderId="2" applyAlignment="1" pivotButton="0" quotePrefix="0" xfId="0">
      <alignment horizontal="center" vertical="center" wrapText="1"/>
    </xf>
    <xf numFmtId="0" fontId="10" fillId="6" borderId="4" applyAlignment="1" pivotButton="0" quotePrefix="0" xfId="0">
      <alignment horizontal="left" vertical="center" wrapText="1" indent="1"/>
    </xf>
    <xf numFmtId="0" fontId="12" fillId="4" borderId="2" applyAlignment="1" pivotButton="0" quotePrefix="0" xfId="0">
      <alignment horizontal="left" vertical="center" wrapText="1" indent="1"/>
    </xf>
    <xf numFmtId="0" fontId="12" fillId="0" borderId="2" applyAlignment="1" pivotButton="0" quotePrefix="0" xfId="0">
      <alignment horizontal="left" vertical="center" wrapText="1" indent="1"/>
    </xf>
    <xf numFmtId="0" fontId="13" fillId="6" borderId="4" applyAlignment="1" pivotButton="0" quotePrefix="0" xfId="0">
      <alignment horizontal="left" vertical="center" wrapText="1" indent="1"/>
    </xf>
    <xf numFmtId="0" fontId="7" fillId="9" borderId="3" applyAlignment="1" pivotButton="0" quotePrefix="0" xfId="0">
      <alignment horizontal="center" vertical="center"/>
    </xf>
    <xf numFmtId="0" fontId="16" fillId="7" borderId="5" applyAlignment="1" pivotButton="0" quotePrefix="0" xfId="0">
      <alignment horizontal="center" vertical="center"/>
    </xf>
    <xf numFmtId="0" fontId="16" fillId="8" borderId="5" applyAlignment="1" pivotButton="0" quotePrefix="0" xfId="0">
      <alignment horizontal="center" vertical="center"/>
    </xf>
    <xf numFmtId="9" fontId="16" fillId="8" borderId="5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2" fillId="11" borderId="5" applyAlignment="1" pivotButton="0" quotePrefix="0" xfId="0">
      <alignment vertical="top" wrapText="1" indent="1"/>
    </xf>
    <xf numFmtId="0" fontId="2" fillId="10" borderId="5" applyAlignment="1" pivotButton="0" quotePrefix="0" xfId="0">
      <alignment vertical="top" wrapText="1" indent="1"/>
    </xf>
    <xf numFmtId="0" fontId="2" fillId="4" borderId="5" applyAlignment="1" pivotButton="0" quotePrefix="0" xfId="0">
      <alignment vertical="top" wrapText="1" inden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238250" cy="314325"/>
    <pic>
      <nvPicPr>
        <cNvPr id="2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workbookViewId="0">
      <selection activeCell="E24" sqref="E24"/>
    </sheetView>
  </sheetViews>
  <sheetFormatPr baseColWidth="8" defaultRowHeight="14.5"/>
  <cols>
    <col width="3" customWidth="1" min="1" max="1"/>
    <col width="25" customWidth="1" min="2" max="2"/>
    <col width="40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16" t="inlineStr">
        <is>
          <t>[DOCUMENT TITLE]</t>
        </is>
      </c>
    </row>
    <row r="4" ht="25" customHeight="1">
      <c r="B4" s="15" t="inlineStr">
        <is>
          <t>Discovery Questionnaire</t>
        </is>
      </c>
    </row>
    <row r="5" ht="30" customHeight="1">
      <c r="B5" t="inlineStr">
        <is>
          <t>Presales Document</t>
        </is>
      </c>
    </row>
    <row r="6" ht="18" customHeight="1">
      <c r="B6" s="2" t="inlineStr">
        <is>
          <t>Generated:</t>
        </is>
      </c>
      <c r="C6" s="3" t="inlineStr">
        <is>
          <t>November 16, 2025</t>
        </is>
      </c>
    </row>
    <row r="7" ht="18" customHeight="1">
      <c r="B7" s="2" t="inlineStr">
        <is>
          <t>Solution:</t>
        </is>
      </c>
      <c r="C7" s="3" t="inlineStr">
        <is>
          <t>November 22, 2025</t>
        </is>
      </c>
    </row>
    <row r="8" ht="18" customHeight="1">
      <c r="B8" s="2" t="inlineStr">
        <is>
          <t>Customer:</t>
        </is>
      </c>
      <c r="C8" s="3" t="inlineStr">
        <is>
          <t>Vxrail Hyperconverged</t>
        </is>
      </c>
    </row>
    <row r="9" ht="18" customHeight="1">
      <c r="B9" s="2" t="inlineStr">
        <is>
          <t>Version:</t>
        </is>
      </c>
      <c r="C9" s="3" t="inlineStr">
        <is>
          <t>[Customer Name]</t>
        </is>
      </c>
    </row>
    <row r="10" ht="18" customHeight="1">
      <c r="B10" s="2" t="inlineStr">
        <is>
          <t>Status:</t>
        </is>
      </c>
      <c r="C10" s="4" t="inlineStr">
        <is>
          <t>Draft</t>
        </is>
      </c>
    </row>
    <row r="11" ht="40" customHeight="1"/>
    <row r="12" ht="30" customHeight="1">
      <c r="C12" s="5" t="inlineStr">
        <is>
          <t>eoframework.org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26" customHeight="1">
      <c r="A1" s="35" t="inlineStr">
        <is>
          <t>Total Questions</t>
        </is>
      </c>
      <c r="B1" s="35" t="inlineStr">
        <is>
          <t>Answered</t>
        </is>
      </c>
      <c r="C1" s="35" t="inlineStr">
        <is>
          <t>Remaining</t>
        </is>
      </c>
      <c r="D1" s="35" t="inlineStr">
        <is>
          <t>% Complete</t>
        </is>
      </c>
    </row>
    <row r="2" ht="26" customHeight="1">
      <c r="A2" s="36" t="n">
        <v>61</v>
      </c>
      <c r="B2" s="36">
        <f>SUMPRODUCT(--(LEN(F5:F65)&gt;0))</f>
        <v/>
      </c>
      <c r="C2" s="36">
        <f>A2-B2</f>
        <v/>
      </c>
      <c r="D2" s="37">
        <f>B2/A2</f>
        <v/>
      </c>
    </row>
    <row r="4" ht="32" customHeight="1">
      <c r="A4" s="38" t="inlineStr">
        <is>
          <t>Question ID</t>
        </is>
      </c>
      <c r="B4" s="38" t="inlineStr">
        <is>
          <t>Category</t>
        </is>
      </c>
      <c r="C4" s="38" t="inlineStr">
        <is>
          <t>Sub-Category</t>
        </is>
      </c>
      <c r="D4" s="38" t="inlineStr">
        <is>
          <t>Question</t>
        </is>
      </c>
      <c r="E4" s="38" t="inlineStr">
        <is>
          <t>Guidance</t>
        </is>
      </c>
      <c r="F4" s="38" t="inlineStr">
        <is>
          <t>Customer Response</t>
        </is>
      </c>
      <c r="G4" s="38" t="inlineStr">
        <is>
          <t>Notes</t>
        </is>
      </c>
    </row>
    <row r="5">
      <c r="A5" s="39">
        <f>IF('Business Requirements'!A2="","",'Business Requirements'!A2)</f>
        <v/>
      </c>
      <c r="B5" s="39">
        <f>IF('Business Requirements'!B2="","",'Business Requirements'!B2)</f>
        <v/>
      </c>
      <c r="C5" s="39">
        <f>IF('Business Requirements'!C2="","",'Business Requirements'!C2)</f>
        <v/>
      </c>
      <c r="D5" s="39">
        <f>IF('Business Requirements'!D2="","",'Business Requirements'!D2)</f>
        <v/>
      </c>
      <c r="E5" s="39">
        <f>IF('Business Requirements'!E2="","",'Business Requirements'!E2)</f>
        <v/>
      </c>
      <c r="F5" s="40">
        <f>IF('Business Requirements'!F2="","",'Business Requirements'!F2)</f>
        <v/>
      </c>
      <c r="G5" s="39">
        <f>IF('Business Requirements'!G2="","",'Business Requirements'!G2)</f>
        <v/>
      </c>
    </row>
    <row r="6">
      <c r="A6" s="41">
        <f>IF('Business Requirements'!A3="","",'Business Requirements'!A3)</f>
        <v/>
      </c>
      <c r="B6" s="41">
        <f>IF('Business Requirements'!B3="","",'Business Requirements'!B3)</f>
        <v/>
      </c>
      <c r="C6" s="41">
        <f>IF('Business Requirements'!C3="","",'Business Requirements'!C3)</f>
        <v/>
      </c>
      <c r="D6" s="41">
        <f>IF('Business Requirements'!D3="","",'Business Requirements'!D3)</f>
        <v/>
      </c>
      <c r="E6" s="41">
        <f>IF('Business Requirements'!E3="","",'Business Requirements'!E3)</f>
        <v/>
      </c>
      <c r="F6" s="40">
        <f>IF('Business Requirements'!F3="","",'Business Requirements'!F3)</f>
        <v/>
      </c>
      <c r="G6" s="41">
        <f>IF('Business Requirements'!G3="","",'Business Requirements'!G3)</f>
        <v/>
      </c>
    </row>
    <row r="7">
      <c r="A7" s="39">
        <f>IF('Business Requirements'!A4="","",'Business Requirements'!A4)</f>
        <v/>
      </c>
      <c r="B7" s="39">
        <f>IF('Business Requirements'!B4="","",'Business Requirements'!B4)</f>
        <v/>
      </c>
      <c r="C7" s="39">
        <f>IF('Business Requirements'!C4="","",'Business Requirements'!C4)</f>
        <v/>
      </c>
      <c r="D7" s="39">
        <f>IF('Business Requirements'!D4="","",'Business Requirements'!D4)</f>
        <v/>
      </c>
      <c r="E7" s="39">
        <f>IF('Business Requirements'!E4="","",'Business Requirements'!E4)</f>
        <v/>
      </c>
      <c r="F7" s="40">
        <f>IF('Business Requirements'!F4="","",'Business Requirements'!F4)</f>
        <v/>
      </c>
      <c r="G7" s="39">
        <f>IF('Business Requirements'!G4="","",'Business Requirements'!G4)</f>
        <v/>
      </c>
    </row>
    <row r="8">
      <c r="A8" s="41">
        <f>IF('Business Requirements'!A5="","",'Business Requirements'!A5)</f>
        <v/>
      </c>
      <c r="B8" s="41">
        <f>IF('Business Requirements'!B5="","",'Business Requirements'!B5)</f>
        <v/>
      </c>
      <c r="C8" s="41">
        <f>IF('Business Requirements'!C5="","",'Business Requirements'!C5)</f>
        <v/>
      </c>
      <c r="D8" s="41">
        <f>IF('Business Requirements'!D5="","",'Business Requirements'!D5)</f>
        <v/>
      </c>
      <c r="E8" s="41">
        <f>IF('Business Requirements'!E5="","",'Business Requirements'!E5)</f>
        <v/>
      </c>
      <c r="F8" s="40">
        <f>IF('Business Requirements'!F5="","",'Business Requirements'!F5)</f>
        <v/>
      </c>
      <c r="G8" s="41">
        <f>IF('Business Requirements'!G5="","",'Business Requirements'!G5)</f>
        <v/>
      </c>
    </row>
    <row r="9">
      <c r="A9" s="39">
        <f>IF('Business Requirements'!A6="","",'Business Requirements'!A6)</f>
        <v/>
      </c>
      <c r="B9" s="39">
        <f>IF('Business Requirements'!B6="","",'Business Requirements'!B6)</f>
        <v/>
      </c>
      <c r="C9" s="39">
        <f>IF('Business Requirements'!C6="","",'Business Requirements'!C6)</f>
        <v/>
      </c>
      <c r="D9" s="39">
        <f>IF('Business Requirements'!D6="","",'Business Requirements'!D6)</f>
        <v/>
      </c>
      <c r="E9" s="39">
        <f>IF('Business Requirements'!E6="","",'Business Requirements'!E6)</f>
        <v/>
      </c>
      <c r="F9" s="40">
        <f>IF('Business Requirements'!F6="","",'Business Requirements'!F6)</f>
        <v/>
      </c>
      <c r="G9" s="39">
        <f>IF('Business Requirements'!G6="","",'Business Requirements'!G6)</f>
        <v/>
      </c>
    </row>
    <row r="10">
      <c r="A10" s="41">
        <f>IF('Business Requirements'!A7="","",'Business Requirements'!A7)</f>
        <v/>
      </c>
      <c r="B10" s="41">
        <f>IF('Business Requirements'!B7="","",'Business Requirements'!B7)</f>
        <v/>
      </c>
      <c r="C10" s="41">
        <f>IF('Business Requirements'!C7="","",'Business Requirements'!C7)</f>
        <v/>
      </c>
      <c r="D10" s="41">
        <f>IF('Business Requirements'!D7="","",'Business Requirements'!D7)</f>
        <v/>
      </c>
      <c r="E10" s="41">
        <f>IF('Business Requirements'!E7="","",'Business Requirements'!E7)</f>
        <v/>
      </c>
      <c r="F10" s="40">
        <f>IF('Business Requirements'!F7="","",'Business Requirements'!F7)</f>
        <v/>
      </c>
      <c r="G10" s="41">
        <f>IF('Business Requirements'!G7="","",'Business Requirements'!G7)</f>
        <v/>
      </c>
    </row>
    <row r="11">
      <c r="A11" s="39">
        <f>IF('Business Requirements'!A8="","",'Business Requirements'!A8)</f>
        <v/>
      </c>
      <c r="B11" s="39">
        <f>IF('Business Requirements'!B8="","",'Business Requirements'!B8)</f>
        <v/>
      </c>
      <c r="C11" s="39">
        <f>IF('Business Requirements'!C8="","",'Business Requirements'!C8)</f>
        <v/>
      </c>
      <c r="D11" s="39">
        <f>IF('Business Requirements'!D8="","",'Business Requirements'!D8)</f>
        <v/>
      </c>
      <c r="E11" s="39">
        <f>IF('Business Requirements'!E8="","",'Business Requirements'!E8)</f>
        <v/>
      </c>
      <c r="F11" s="40">
        <f>IF('Business Requirements'!F8="","",'Business Requirements'!F8)</f>
        <v/>
      </c>
      <c r="G11" s="39">
        <f>IF('Business Requirements'!G8="","",'Business Requirements'!G8)</f>
        <v/>
      </c>
    </row>
    <row r="12">
      <c r="A12" s="41">
        <f>IF('Business Requirements'!A9="","",'Business Requirements'!A9)</f>
        <v/>
      </c>
      <c r="B12" s="41">
        <f>IF('Business Requirements'!B9="","",'Business Requirements'!B9)</f>
        <v/>
      </c>
      <c r="C12" s="41">
        <f>IF('Business Requirements'!C9="","",'Business Requirements'!C9)</f>
        <v/>
      </c>
      <c r="D12" s="41">
        <f>IF('Business Requirements'!D9="","",'Business Requirements'!D9)</f>
        <v/>
      </c>
      <c r="E12" s="41">
        <f>IF('Business Requirements'!E9="","",'Business Requirements'!E9)</f>
        <v/>
      </c>
      <c r="F12" s="40">
        <f>IF('Business Requirements'!F9="","",'Business Requirements'!F9)</f>
        <v/>
      </c>
      <c r="G12" s="41">
        <f>IF('Business Requirements'!G9="","",'Business Requirements'!G9)</f>
        <v/>
      </c>
    </row>
    <row r="13">
      <c r="A13" s="39">
        <f>IF('Business Requirements'!A10="","",'Business Requirements'!A10)</f>
        <v/>
      </c>
      <c r="B13" s="39">
        <f>IF('Business Requirements'!B10="","",'Business Requirements'!B10)</f>
        <v/>
      </c>
      <c r="C13" s="39">
        <f>IF('Business Requirements'!C10="","",'Business Requirements'!C10)</f>
        <v/>
      </c>
      <c r="D13" s="39">
        <f>IF('Business Requirements'!D10="","",'Business Requirements'!D10)</f>
        <v/>
      </c>
      <c r="E13" s="39">
        <f>IF('Business Requirements'!E10="","",'Business Requirements'!E10)</f>
        <v/>
      </c>
      <c r="F13" s="40">
        <f>IF('Business Requirements'!F10="","",'Business Requirements'!F10)</f>
        <v/>
      </c>
      <c r="G13" s="39">
        <f>IF('Business Requirements'!G10="","",'Business Requirements'!G10)</f>
        <v/>
      </c>
    </row>
    <row r="14">
      <c r="A14" s="41">
        <f>IF('Business Requirements'!A11="","",'Business Requirements'!A11)</f>
        <v/>
      </c>
      <c r="B14" s="41">
        <f>IF('Business Requirements'!B11="","",'Business Requirements'!B11)</f>
        <v/>
      </c>
      <c r="C14" s="41">
        <f>IF('Business Requirements'!C11="","",'Business Requirements'!C11)</f>
        <v/>
      </c>
      <c r="D14" s="41">
        <f>IF('Business Requirements'!D11="","",'Business Requirements'!D11)</f>
        <v/>
      </c>
      <c r="E14" s="41">
        <f>IF('Business Requirements'!E11="","",'Business Requirements'!E11)</f>
        <v/>
      </c>
      <c r="F14" s="40">
        <f>IF('Business Requirements'!F11="","",'Business Requirements'!F11)</f>
        <v/>
      </c>
      <c r="G14" s="41">
        <f>IF('Business Requirements'!G11="","",'Business Requirements'!G11)</f>
        <v/>
      </c>
    </row>
    <row r="15">
      <c r="A15" s="39">
        <f>IF('Business Requirements'!A12="","",'Business Requirements'!A12)</f>
        <v/>
      </c>
      <c r="B15" s="39">
        <f>IF('Business Requirements'!B12="","",'Business Requirements'!B12)</f>
        <v/>
      </c>
      <c r="C15" s="39">
        <f>IF('Business Requirements'!C12="","",'Business Requirements'!C12)</f>
        <v/>
      </c>
      <c r="D15" s="39">
        <f>IF('Business Requirements'!D12="","",'Business Requirements'!D12)</f>
        <v/>
      </c>
      <c r="E15" s="39">
        <f>IF('Business Requirements'!E12="","",'Business Requirements'!E12)</f>
        <v/>
      </c>
      <c r="F15" s="40">
        <f>IF('Business Requirements'!F12="","",'Business Requirements'!F12)</f>
        <v/>
      </c>
      <c r="G15" s="39">
        <f>IF('Business Requirements'!G12="","",'Business Requirements'!G12)</f>
        <v/>
      </c>
    </row>
    <row r="16">
      <c r="A16" s="41">
        <f>IF('Business Requirements'!A13="","",'Business Requirements'!A13)</f>
        <v/>
      </c>
      <c r="B16" s="41">
        <f>IF('Business Requirements'!B13="","",'Business Requirements'!B13)</f>
        <v/>
      </c>
      <c r="C16" s="41">
        <f>IF('Business Requirements'!C13="","",'Business Requirements'!C13)</f>
        <v/>
      </c>
      <c r="D16" s="41">
        <f>IF('Business Requirements'!D13="","",'Business Requirements'!D13)</f>
        <v/>
      </c>
      <c r="E16" s="41">
        <f>IF('Business Requirements'!E13="","",'Business Requirements'!E13)</f>
        <v/>
      </c>
      <c r="F16" s="40">
        <f>IF('Business Requirements'!F13="","",'Business Requirements'!F13)</f>
        <v/>
      </c>
      <c r="G16" s="41">
        <f>IF('Business Requirements'!G13="","",'Business Requirements'!G13)</f>
        <v/>
      </c>
    </row>
    <row r="17">
      <c r="A17" s="39">
        <f>IF('Business Requirements'!A14="","",'Business Requirements'!A14)</f>
        <v/>
      </c>
      <c r="B17" s="39">
        <f>IF('Business Requirements'!B14="","",'Business Requirements'!B14)</f>
        <v/>
      </c>
      <c r="C17" s="39">
        <f>IF('Business Requirements'!C14="","",'Business Requirements'!C14)</f>
        <v/>
      </c>
      <c r="D17" s="39">
        <f>IF('Business Requirements'!D14="","",'Business Requirements'!D14)</f>
        <v/>
      </c>
      <c r="E17" s="39">
        <f>IF('Business Requirements'!E14="","",'Business Requirements'!E14)</f>
        <v/>
      </c>
      <c r="F17" s="40">
        <f>IF('Business Requirements'!F14="","",'Business Requirements'!F14)</f>
        <v/>
      </c>
      <c r="G17" s="39">
        <f>IF('Business Requirements'!G14="","",'Business Requirements'!G14)</f>
        <v/>
      </c>
    </row>
    <row r="18">
      <c r="A18" s="41">
        <f>IF('Business Requirements'!A15="","",'Business Requirements'!A15)</f>
        <v/>
      </c>
      <c r="B18" s="41">
        <f>IF('Business Requirements'!B15="","",'Business Requirements'!B15)</f>
        <v/>
      </c>
      <c r="C18" s="41">
        <f>IF('Business Requirements'!C15="","",'Business Requirements'!C15)</f>
        <v/>
      </c>
      <c r="D18" s="41">
        <f>IF('Business Requirements'!D15="","",'Business Requirements'!D15)</f>
        <v/>
      </c>
      <c r="E18" s="41">
        <f>IF('Business Requirements'!E15="","",'Business Requirements'!E15)</f>
        <v/>
      </c>
      <c r="F18" s="40">
        <f>IF('Business Requirements'!F15="","",'Business Requirements'!F15)</f>
        <v/>
      </c>
      <c r="G18" s="41">
        <f>IF('Business Requirements'!G15="","",'Business Requirements'!G15)</f>
        <v/>
      </c>
    </row>
    <row r="19">
      <c r="A19" s="39">
        <f>IF('Business Requirements'!A16="","",'Business Requirements'!A16)</f>
        <v/>
      </c>
      <c r="B19" s="39">
        <f>IF('Business Requirements'!B16="","",'Business Requirements'!B16)</f>
        <v/>
      </c>
      <c r="C19" s="39">
        <f>IF('Business Requirements'!C16="","",'Business Requirements'!C16)</f>
        <v/>
      </c>
      <c r="D19" s="39">
        <f>IF('Business Requirements'!D16="","",'Business Requirements'!D16)</f>
        <v/>
      </c>
      <c r="E19" s="39">
        <f>IF('Business Requirements'!E16="","",'Business Requirements'!E16)</f>
        <v/>
      </c>
      <c r="F19" s="40">
        <f>IF('Business Requirements'!F16="","",'Business Requirements'!F16)</f>
        <v/>
      </c>
      <c r="G19" s="39">
        <f>IF('Business Requirements'!G16="","",'Business Requirements'!G16)</f>
        <v/>
      </c>
    </row>
    <row r="20">
      <c r="A20" s="41">
        <f>IF('Business Requirements'!A17="","",'Business Requirements'!A17)</f>
        <v/>
      </c>
      <c r="B20" s="41">
        <f>IF('Business Requirements'!B17="","",'Business Requirements'!B17)</f>
        <v/>
      </c>
      <c r="C20" s="41">
        <f>IF('Business Requirements'!C17="","",'Business Requirements'!C17)</f>
        <v/>
      </c>
      <c r="D20" s="41">
        <f>IF('Business Requirements'!D17="","",'Business Requirements'!D17)</f>
        <v/>
      </c>
      <c r="E20" s="41">
        <f>IF('Business Requirements'!E17="","",'Business Requirements'!E17)</f>
        <v/>
      </c>
      <c r="F20" s="40">
        <f>IF('Business Requirements'!F17="","",'Business Requirements'!F17)</f>
        <v/>
      </c>
      <c r="G20" s="41">
        <f>IF('Business Requirements'!G17="","",'Business Requirements'!G17)</f>
        <v/>
      </c>
    </row>
    <row r="21">
      <c r="A21" s="39">
        <f>IF('Business Requirements'!A18="","",'Business Requirements'!A18)</f>
        <v/>
      </c>
      <c r="B21" s="39">
        <f>IF('Business Requirements'!B18="","",'Business Requirements'!B18)</f>
        <v/>
      </c>
      <c r="C21" s="39">
        <f>IF('Business Requirements'!C18="","",'Business Requirements'!C18)</f>
        <v/>
      </c>
      <c r="D21" s="39">
        <f>IF('Business Requirements'!D18="","",'Business Requirements'!D18)</f>
        <v/>
      </c>
      <c r="E21" s="39">
        <f>IF('Business Requirements'!E18="","",'Business Requirements'!E18)</f>
        <v/>
      </c>
      <c r="F21" s="40">
        <f>IF('Business Requirements'!F18="","",'Business Requirements'!F18)</f>
        <v/>
      </c>
      <c r="G21" s="39">
        <f>IF('Business Requirements'!G18="","",'Business Requirements'!G18)</f>
        <v/>
      </c>
    </row>
    <row r="22">
      <c r="A22" s="41">
        <f>IF('Technical Requirements'!A2="","",'Technical Requirements'!A2)</f>
        <v/>
      </c>
      <c r="B22" s="41">
        <f>IF('Technical Requirements'!B2="","",'Technical Requirements'!B2)</f>
        <v/>
      </c>
      <c r="C22" s="41">
        <f>IF('Technical Requirements'!C2="","",'Technical Requirements'!C2)</f>
        <v/>
      </c>
      <c r="D22" s="41">
        <f>IF('Technical Requirements'!D2="","",'Technical Requirements'!D2)</f>
        <v/>
      </c>
      <c r="E22" s="41">
        <f>IF('Technical Requirements'!E2="","",'Technical Requirements'!E2)</f>
        <v/>
      </c>
      <c r="F22" s="40">
        <f>IF('Technical Requirements'!F2="","",'Technical Requirements'!F2)</f>
        <v/>
      </c>
      <c r="G22" s="41">
        <f>IF('Technical Requirements'!G2="","",'Technical Requirements'!G2)</f>
        <v/>
      </c>
    </row>
    <row r="23">
      <c r="A23" s="39">
        <f>IF('Technical Requirements'!A3="","",'Technical Requirements'!A3)</f>
        <v/>
      </c>
      <c r="B23" s="39">
        <f>IF('Technical Requirements'!B3="","",'Technical Requirements'!B3)</f>
        <v/>
      </c>
      <c r="C23" s="39">
        <f>IF('Technical Requirements'!C3="","",'Technical Requirements'!C3)</f>
        <v/>
      </c>
      <c r="D23" s="39">
        <f>IF('Technical Requirements'!D3="","",'Technical Requirements'!D3)</f>
        <v/>
      </c>
      <c r="E23" s="39">
        <f>IF('Technical Requirements'!E3="","",'Technical Requirements'!E3)</f>
        <v/>
      </c>
      <c r="F23" s="40">
        <f>IF('Technical Requirements'!F3="","",'Technical Requirements'!F3)</f>
        <v/>
      </c>
      <c r="G23" s="39">
        <f>IF('Technical Requirements'!G3="","",'Technical Requirements'!G3)</f>
        <v/>
      </c>
    </row>
    <row r="24">
      <c r="A24" s="41">
        <f>IF('Technical Requirements'!A4="","",'Technical Requirements'!A4)</f>
        <v/>
      </c>
      <c r="B24" s="41">
        <f>IF('Technical Requirements'!B4="","",'Technical Requirements'!B4)</f>
        <v/>
      </c>
      <c r="C24" s="41">
        <f>IF('Technical Requirements'!C4="","",'Technical Requirements'!C4)</f>
        <v/>
      </c>
      <c r="D24" s="41">
        <f>IF('Technical Requirements'!D4="","",'Technical Requirements'!D4)</f>
        <v/>
      </c>
      <c r="E24" s="41">
        <f>IF('Technical Requirements'!E4="","",'Technical Requirements'!E4)</f>
        <v/>
      </c>
      <c r="F24" s="40">
        <f>IF('Technical Requirements'!F4="","",'Technical Requirements'!F4)</f>
        <v/>
      </c>
      <c r="G24" s="41">
        <f>IF('Technical Requirements'!G4="","",'Technical Requirements'!G4)</f>
        <v/>
      </c>
    </row>
    <row r="25">
      <c r="A25" s="39">
        <f>IF('Technical Requirements'!A5="","",'Technical Requirements'!A5)</f>
        <v/>
      </c>
      <c r="B25" s="39">
        <f>IF('Technical Requirements'!B5="","",'Technical Requirements'!B5)</f>
        <v/>
      </c>
      <c r="C25" s="39">
        <f>IF('Technical Requirements'!C5="","",'Technical Requirements'!C5)</f>
        <v/>
      </c>
      <c r="D25" s="39">
        <f>IF('Technical Requirements'!D5="","",'Technical Requirements'!D5)</f>
        <v/>
      </c>
      <c r="E25" s="39">
        <f>IF('Technical Requirements'!E5="","",'Technical Requirements'!E5)</f>
        <v/>
      </c>
      <c r="F25" s="40">
        <f>IF('Technical Requirements'!F5="","",'Technical Requirements'!F5)</f>
        <v/>
      </c>
      <c r="G25" s="39">
        <f>IF('Technical Requirements'!G5="","",'Technical Requirements'!G5)</f>
        <v/>
      </c>
    </row>
    <row r="26">
      <c r="A26" s="41">
        <f>IF('Technical Requirements'!A6="","",'Technical Requirements'!A6)</f>
        <v/>
      </c>
      <c r="B26" s="41">
        <f>IF('Technical Requirements'!B6="","",'Technical Requirements'!B6)</f>
        <v/>
      </c>
      <c r="C26" s="41">
        <f>IF('Technical Requirements'!C6="","",'Technical Requirements'!C6)</f>
        <v/>
      </c>
      <c r="D26" s="41">
        <f>IF('Technical Requirements'!D6="","",'Technical Requirements'!D6)</f>
        <v/>
      </c>
      <c r="E26" s="41">
        <f>IF('Technical Requirements'!E6="","",'Technical Requirements'!E6)</f>
        <v/>
      </c>
      <c r="F26" s="40">
        <f>IF('Technical Requirements'!F6="","",'Technical Requirements'!F6)</f>
        <v/>
      </c>
      <c r="G26" s="41">
        <f>IF('Technical Requirements'!G6="","",'Technical Requirements'!G6)</f>
        <v/>
      </c>
    </row>
    <row r="27">
      <c r="A27" s="39">
        <f>IF('Technical Requirements'!A7="","",'Technical Requirements'!A7)</f>
        <v/>
      </c>
      <c r="B27" s="39">
        <f>IF('Technical Requirements'!B7="","",'Technical Requirements'!B7)</f>
        <v/>
      </c>
      <c r="C27" s="39">
        <f>IF('Technical Requirements'!C7="","",'Technical Requirements'!C7)</f>
        <v/>
      </c>
      <c r="D27" s="39">
        <f>IF('Technical Requirements'!D7="","",'Technical Requirements'!D7)</f>
        <v/>
      </c>
      <c r="E27" s="39">
        <f>IF('Technical Requirements'!E7="","",'Technical Requirements'!E7)</f>
        <v/>
      </c>
      <c r="F27" s="40">
        <f>IF('Technical Requirements'!F7="","",'Technical Requirements'!F7)</f>
        <v/>
      </c>
      <c r="G27" s="39">
        <f>IF('Technical Requirements'!G7="","",'Technical Requirements'!G7)</f>
        <v/>
      </c>
    </row>
    <row r="28">
      <c r="A28" s="41">
        <f>IF('Technical Requirements'!A8="","",'Technical Requirements'!A8)</f>
        <v/>
      </c>
      <c r="B28" s="41">
        <f>IF('Technical Requirements'!B8="","",'Technical Requirements'!B8)</f>
        <v/>
      </c>
      <c r="C28" s="41">
        <f>IF('Technical Requirements'!C8="","",'Technical Requirements'!C8)</f>
        <v/>
      </c>
      <c r="D28" s="41">
        <f>IF('Technical Requirements'!D8="","",'Technical Requirements'!D8)</f>
        <v/>
      </c>
      <c r="E28" s="41">
        <f>IF('Technical Requirements'!E8="","",'Technical Requirements'!E8)</f>
        <v/>
      </c>
      <c r="F28" s="40">
        <f>IF('Technical Requirements'!F8="","",'Technical Requirements'!F8)</f>
        <v/>
      </c>
      <c r="G28" s="41">
        <f>IF('Technical Requirements'!G8="","",'Technical Requirements'!G8)</f>
        <v/>
      </c>
    </row>
    <row r="29">
      <c r="A29" s="39">
        <f>IF('Technical Requirements'!A9="","",'Technical Requirements'!A9)</f>
        <v/>
      </c>
      <c r="B29" s="39">
        <f>IF('Technical Requirements'!B9="","",'Technical Requirements'!B9)</f>
        <v/>
      </c>
      <c r="C29" s="39">
        <f>IF('Technical Requirements'!C9="","",'Technical Requirements'!C9)</f>
        <v/>
      </c>
      <c r="D29" s="39">
        <f>IF('Technical Requirements'!D9="","",'Technical Requirements'!D9)</f>
        <v/>
      </c>
      <c r="E29" s="39">
        <f>IF('Technical Requirements'!E9="","",'Technical Requirements'!E9)</f>
        <v/>
      </c>
      <c r="F29" s="40">
        <f>IF('Technical Requirements'!F9="","",'Technical Requirements'!F9)</f>
        <v/>
      </c>
      <c r="G29" s="39">
        <f>IF('Technical Requirements'!G9="","",'Technical Requirements'!G9)</f>
        <v/>
      </c>
    </row>
    <row r="30">
      <c r="A30" s="41">
        <f>IF('Technical Requirements'!A10="","",'Technical Requirements'!A10)</f>
        <v/>
      </c>
      <c r="B30" s="41">
        <f>IF('Technical Requirements'!B10="","",'Technical Requirements'!B10)</f>
        <v/>
      </c>
      <c r="C30" s="41">
        <f>IF('Technical Requirements'!C10="","",'Technical Requirements'!C10)</f>
        <v/>
      </c>
      <c r="D30" s="41">
        <f>IF('Technical Requirements'!D10="","",'Technical Requirements'!D10)</f>
        <v/>
      </c>
      <c r="E30" s="41">
        <f>IF('Technical Requirements'!E10="","",'Technical Requirements'!E10)</f>
        <v/>
      </c>
      <c r="F30" s="40">
        <f>IF('Technical Requirements'!F10="","",'Technical Requirements'!F10)</f>
        <v/>
      </c>
      <c r="G30" s="41">
        <f>IF('Technical Requirements'!G10="","",'Technical Requirements'!G10)</f>
        <v/>
      </c>
    </row>
    <row r="31">
      <c r="A31" s="39">
        <f>IF('Technical Requirements'!A11="","",'Technical Requirements'!A11)</f>
        <v/>
      </c>
      <c r="B31" s="39">
        <f>IF('Technical Requirements'!B11="","",'Technical Requirements'!B11)</f>
        <v/>
      </c>
      <c r="C31" s="39">
        <f>IF('Technical Requirements'!C11="","",'Technical Requirements'!C11)</f>
        <v/>
      </c>
      <c r="D31" s="39">
        <f>IF('Technical Requirements'!D11="","",'Technical Requirements'!D11)</f>
        <v/>
      </c>
      <c r="E31" s="39">
        <f>IF('Technical Requirements'!E11="","",'Technical Requirements'!E11)</f>
        <v/>
      </c>
      <c r="F31" s="40">
        <f>IF('Technical Requirements'!F11="","",'Technical Requirements'!F11)</f>
        <v/>
      </c>
      <c r="G31" s="39">
        <f>IF('Technical Requirements'!G11="","",'Technical Requirements'!G11)</f>
        <v/>
      </c>
    </row>
    <row r="32">
      <c r="A32" s="41">
        <f>IF('Technical Requirements'!A12="","",'Technical Requirements'!A12)</f>
        <v/>
      </c>
      <c r="B32" s="41">
        <f>IF('Technical Requirements'!B12="","",'Technical Requirements'!B12)</f>
        <v/>
      </c>
      <c r="C32" s="41">
        <f>IF('Technical Requirements'!C12="","",'Technical Requirements'!C12)</f>
        <v/>
      </c>
      <c r="D32" s="41">
        <f>IF('Technical Requirements'!D12="","",'Technical Requirements'!D12)</f>
        <v/>
      </c>
      <c r="E32" s="41">
        <f>IF('Technical Requirements'!E12="","",'Technical Requirements'!E12)</f>
        <v/>
      </c>
      <c r="F32" s="40">
        <f>IF('Technical Requirements'!F12="","",'Technical Requirements'!F12)</f>
        <v/>
      </c>
      <c r="G32" s="41">
        <f>IF('Technical Requirements'!G12="","",'Technical Requirements'!G12)</f>
        <v/>
      </c>
    </row>
    <row r="33">
      <c r="A33" s="39">
        <f>IF('Technical Requirements'!A13="","",'Technical Requirements'!A13)</f>
        <v/>
      </c>
      <c r="B33" s="39">
        <f>IF('Technical Requirements'!B13="","",'Technical Requirements'!B13)</f>
        <v/>
      </c>
      <c r="C33" s="39">
        <f>IF('Technical Requirements'!C13="","",'Technical Requirements'!C13)</f>
        <v/>
      </c>
      <c r="D33" s="39">
        <f>IF('Technical Requirements'!D13="","",'Technical Requirements'!D13)</f>
        <v/>
      </c>
      <c r="E33" s="39">
        <f>IF('Technical Requirements'!E13="","",'Technical Requirements'!E13)</f>
        <v/>
      </c>
      <c r="F33" s="40">
        <f>IF('Technical Requirements'!F13="","",'Technical Requirements'!F13)</f>
        <v/>
      </c>
      <c r="G33" s="39">
        <f>IF('Technical Requirements'!G13="","",'Technical Requirements'!G13)</f>
        <v/>
      </c>
    </row>
    <row r="34">
      <c r="A34" s="41">
        <f>IF('Technical Requirements'!A14="","",'Technical Requirements'!A14)</f>
        <v/>
      </c>
      <c r="B34" s="41">
        <f>IF('Technical Requirements'!B14="","",'Technical Requirements'!B14)</f>
        <v/>
      </c>
      <c r="C34" s="41">
        <f>IF('Technical Requirements'!C14="","",'Technical Requirements'!C14)</f>
        <v/>
      </c>
      <c r="D34" s="41">
        <f>IF('Technical Requirements'!D14="","",'Technical Requirements'!D14)</f>
        <v/>
      </c>
      <c r="E34" s="41">
        <f>IF('Technical Requirements'!E14="","",'Technical Requirements'!E14)</f>
        <v/>
      </c>
      <c r="F34" s="40">
        <f>IF('Technical Requirements'!F14="","",'Technical Requirements'!F14)</f>
        <v/>
      </c>
      <c r="G34" s="41">
        <f>IF('Technical Requirements'!G14="","",'Technical Requirements'!G14)</f>
        <v/>
      </c>
    </row>
    <row r="35">
      <c r="A35" s="39">
        <f>IF('Technical Requirements'!A15="","",'Technical Requirements'!A15)</f>
        <v/>
      </c>
      <c r="B35" s="39">
        <f>IF('Technical Requirements'!B15="","",'Technical Requirements'!B15)</f>
        <v/>
      </c>
      <c r="C35" s="39">
        <f>IF('Technical Requirements'!C15="","",'Technical Requirements'!C15)</f>
        <v/>
      </c>
      <c r="D35" s="39">
        <f>IF('Technical Requirements'!D15="","",'Technical Requirements'!D15)</f>
        <v/>
      </c>
      <c r="E35" s="39">
        <f>IF('Technical Requirements'!E15="","",'Technical Requirements'!E15)</f>
        <v/>
      </c>
      <c r="F35" s="40">
        <f>IF('Technical Requirements'!F15="","",'Technical Requirements'!F15)</f>
        <v/>
      </c>
      <c r="G35" s="39">
        <f>IF('Technical Requirements'!G15="","",'Technical Requirements'!G15)</f>
        <v/>
      </c>
    </row>
    <row r="36">
      <c r="A36" s="41">
        <f>IF('Security &amp; Compliance'!A2="","",'Security &amp; Compliance'!A2)</f>
        <v/>
      </c>
      <c r="B36" s="41">
        <f>IF('Security &amp; Compliance'!B2="","",'Security &amp; Compliance'!B2)</f>
        <v/>
      </c>
      <c r="C36" s="41">
        <f>IF('Security &amp; Compliance'!C2="","",'Security &amp; Compliance'!C2)</f>
        <v/>
      </c>
      <c r="D36" s="41">
        <f>IF('Security &amp; Compliance'!D2="","",'Security &amp; Compliance'!D2)</f>
        <v/>
      </c>
      <c r="E36" s="41">
        <f>IF('Security &amp; Compliance'!E2="","",'Security &amp; Compliance'!E2)</f>
        <v/>
      </c>
      <c r="F36" s="40">
        <f>IF('Security &amp; Compliance'!F2="","",'Security &amp; Compliance'!F2)</f>
        <v/>
      </c>
      <c r="G36" s="41">
        <f>IF('Security &amp; Compliance'!G2="","",'Security &amp; Compliance'!G2)</f>
        <v/>
      </c>
    </row>
    <row r="37">
      <c r="A37" s="39">
        <f>IF('Security &amp; Compliance'!A3="","",'Security &amp; Compliance'!A3)</f>
        <v/>
      </c>
      <c r="B37" s="39">
        <f>IF('Security &amp; Compliance'!B3="","",'Security &amp; Compliance'!B3)</f>
        <v/>
      </c>
      <c r="C37" s="39">
        <f>IF('Security &amp; Compliance'!C3="","",'Security &amp; Compliance'!C3)</f>
        <v/>
      </c>
      <c r="D37" s="39">
        <f>IF('Security &amp; Compliance'!D3="","",'Security &amp; Compliance'!D3)</f>
        <v/>
      </c>
      <c r="E37" s="39">
        <f>IF('Security &amp; Compliance'!E3="","",'Security &amp; Compliance'!E3)</f>
        <v/>
      </c>
      <c r="F37" s="40">
        <f>IF('Security &amp; Compliance'!F3="","",'Security &amp; Compliance'!F3)</f>
        <v/>
      </c>
      <c r="G37" s="39">
        <f>IF('Security &amp; Compliance'!G3="","",'Security &amp; Compliance'!G3)</f>
        <v/>
      </c>
    </row>
    <row r="38">
      <c r="A38" s="41">
        <f>IF('Security &amp; Compliance'!A4="","",'Security &amp; Compliance'!A4)</f>
        <v/>
      </c>
      <c r="B38" s="41">
        <f>IF('Security &amp; Compliance'!B4="","",'Security &amp; Compliance'!B4)</f>
        <v/>
      </c>
      <c r="C38" s="41">
        <f>IF('Security &amp; Compliance'!C4="","",'Security &amp; Compliance'!C4)</f>
        <v/>
      </c>
      <c r="D38" s="41">
        <f>IF('Security &amp; Compliance'!D4="","",'Security &amp; Compliance'!D4)</f>
        <v/>
      </c>
      <c r="E38" s="41">
        <f>IF('Security &amp; Compliance'!E4="","",'Security &amp; Compliance'!E4)</f>
        <v/>
      </c>
      <c r="F38" s="40">
        <f>IF('Security &amp; Compliance'!F4="","",'Security &amp; Compliance'!F4)</f>
        <v/>
      </c>
      <c r="G38" s="41">
        <f>IF('Security &amp; Compliance'!G4="","",'Security &amp; Compliance'!G4)</f>
        <v/>
      </c>
    </row>
    <row r="39">
      <c r="A39" s="39">
        <f>IF('Security &amp; Compliance'!A5="","",'Security &amp; Compliance'!A5)</f>
        <v/>
      </c>
      <c r="B39" s="39">
        <f>IF('Security &amp; Compliance'!B5="","",'Security &amp; Compliance'!B5)</f>
        <v/>
      </c>
      <c r="C39" s="39">
        <f>IF('Security &amp; Compliance'!C5="","",'Security &amp; Compliance'!C5)</f>
        <v/>
      </c>
      <c r="D39" s="39">
        <f>IF('Security &amp; Compliance'!D5="","",'Security &amp; Compliance'!D5)</f>
        <v/>
      </c>
      <c r="E39" s="39">
        <f>IF('Security &amp; Compliance'!E5="","",'Security &amp; Compliance'!E5)</f>
        <v/>
      </c>
      <c r="F39" s="40">
        <f>IF('Security &amp; Compliance'!F5="","",'Security &amp; Compliance'!F5)</f>
        <v/>
      </c>
      <c r="G39" s="39">
        <f>IF('Security &amp; Compliance'!G5="","",'Security &amp; Compliance'!G5)</f>
        <v/>
      </c>
    </row>
    <row r="40">
      <c r="A40" s="41">
        <f>IF('Security &amp; Compliance'!A6="","",'Security &amp; Compliance'!A6)</f>
        <v/>
      </c>
      <c r="B40" s="41">
        <f>IF('Security &amp; Compliance'!B6="","",'Security &amp; Compliance'!B6)</f>
        <v/>
      </c>
      <c r="C40" s="41">
        <f>IF('Security &amp; Compliance'!C6="","",'Security &amp; Compliance'!C6)</f>
        <v/>
      </c>
      <c r="D40" s="41">
        <f>IF('Security &amp; Compliance'!D6="","",'Security &amp; Compliance'!D6)</f>
        <v/>
      </c>
      <c r="E40" s="41">
        <f>IF('Security &amp; Compliance'!E6="","",'Security &amp; Compliance'!E6)</f>
        <v/>
      </c>
      <c r="F40" s="40">
        <f>IF('Security &amp; Compliance'!F6="","",'Security &amp; Compliance'!F6)</f>
        <v/>
      </c>
      <c r="G40" s="41">
        <f>IF('Security &amp; Compliance'!G6="","",'Security &amp; Compliance'!G6)</f>
        <v/>
      </c>
    </row>
    <row r="41">
      <c r="A41" s="39">
        <f>IF('Operations &amp; Support'!A2="","",'Operations &amp; Support'!A2)</f>
        <v/>
      </c>
      <c r="B41" s="39">
        <f>IF('Operations &amp; Support'!B2="","",'Operations &amp; Support'!B2)</f>
        <v/>
      </c>
      <c r="C41" s="39">
        <f>IF('Operations &amp; Support'!C2="","",'Operations &amp; Support'!C2)</f>
        <v/>
      </c>
      <c r="D41" s="39">
        <f>IF('Operations &amp; Support'!D2="","",'Operations &amp; Support'!D2)</f>
        <v/>
      </c>
      <c r="E41" s="39">
        <f>IF('Operations &amp; Support'!E2="","",'Operations &amp; Support'!E2)</f>
        <v/>
      </c>
      <c r="F41" s="40">
        <f>IF('Operations &amp; Support'!F2="","",'Operations &amp; Support'!F2)</f>
        <v/>
      </c>
      <c r="G41" s="39">
        <f>IF('Operations &amp; Support'!G2="","",'Operations &amp; Support'!G2)</f>
        <v/>
      </c>
    </row>
    <row r="42">
      <c r="A42" s="41">
        <f>IF('Operations &amp; Support'!A3="","",'Operations &amp; Support'!A3)</f>
        <v/>
      </c>
      <c r="B42" s="41">
        <f>IF('Operations &amp; Support'!B3="","",'Operations &amp; Support'!B3)</f>
        <v/>
      </c>
      <c r="C42" s="41">
        <f>IF('Operations &amp; Support'!C3="","",'Operations &amp; Support'!C3)</f>
        <v/>
      </c>
      <c r="D42" s="41">
        <f>IF('Operations &amp; Support'!D3="","",'Operations &amp; Support'!D3)</f>
        <v/>
      </c>
      <c r="E42" s="41">
        <f>IF('Operations &amp; Support'!E3="","",'Operations &amp; Support'!E3)</f>
        <v/>
      </c>
      <c r="F42" s="40">
        <f>IF('Operations &amp; Support'!F3="","",'Operations &amp; Support'!F3)</f>
        <v/>
      </c>
      <c r="G42" s="41">
        <f>IF('Operations &amp; Support'!G3="","",'Operations &amp; Support'!G3)</f>
        <v/>
      </c>
    </row>
    <row r="43">
      <c r="A43" s="39">
        <f>IF('Operations &amp; Support'!A4="","",'Operations &amp; Support'!A4)</f>
        <v/>
      </c>
      <c r="B43" s="39">
        <f>IF('Operations &amp; Support'!B4="","",'Operations &amp; Support'!B4)</f>
        <v/>
      </c>
      <c r="C43" s="39">
        <f>IF('Operations &amp; Support'!C4="","",'Operations &amp; Support'!C4)</f>
        <v/>
      </c>
      <c r="D43" s="39">
        <f>IF('Operations &amp; Support'!D4="","",'Operations &amp; Support'!D4)</f>
        <v/>
      </c>
      <c r="E43" s="39">
        <f>IF('Operations &amp; Support'!E4="","",'Operations &amp; Support'!E4)</f>
        <v/>
      </c>
      <c r="F43" s="40">
        <f>IF('Operations &amp; Support'!F4="","",'Operations &amp; Support'!F4)</f>
        <v/>
      </c>
      <c r="G43" s="39">
        <f>IF('Operations &amp; Support'!G4="","",'Operations &amp; Support'!G4)</f>
        <v/>
      </c>
    </row>
    <row r="44">
      <c r="A44" s="41">
        <f>IF('Operations &amp; Support'!A5="","",'Operations &amp; Support'!A5)</f>
        <v/>
      </c>
      <c r="B44" s="41">
        <f>IF('Operations &amp; Support'!B5="","",'Operations &amp; Support'!B5)</f>
        <v/>
      </c>
      <c r="C44" s="41">
        <f>IF('Operations &amp; Support'!C5="","",'Operations &amp; Support'!C5)</f>
        <v/>
      </c>
      <c r="D44" s="41">
        <f>IF('Operations &amp; Support'!D5="","",'Operations &amp; Support'!D5)</f>
        <v/>
      </c>
      <c r="E44" s="41">
        <f>IF('Operations &amp; Support'!E5="","",'Operations &amp; Support'!E5)</f>
        <v/>
      </c>
      <c r="F44" s="40">
        <f>IF('Operations &amp; Support'!F5="","",'Operations &amp; Support'!F5)</f>
        <v/>
      </c>
      <c r="G44" s="41">
        <f>IF('Operations &amp; Support'!G5="","",'Operations &amp; Support'!G5)</f>
        <v/>
      </c>
    </row>
    <row r="45">
      <c r="A45" s="39">
        <f>IF('Operations &amp; Support'!A6="","",'Operations &amp; Support'!A6)</f>
        <v/>
      </c>
      <c r="B45" s="39">
        <f>IF('Operations &amp; Support'!B6="","",'Operations &amp; Support'!B6)</f>
        <v/>
      </c>
      <c r="C45" s="39">
        <f>IF('Operations &amp; Support'!C6="","",'Operations &amp; Support'!C6)</f>
        <v/>
      </c>
      <c r="D45" s="39">
        <f>IF('Operations &amp; Support'!D6="","",'Operations &amp; Support'!D6)</f>
        <v/>
      </c>
      <c r="E45" s="39">
        <f>IF('Operations &amp; Support'!E6="","",'Operations &amp; Support'!E6)</f>
        <v/>
      </c>
      <c r="F45" s="40">
        <f>IF('Operations &amp; Support'!F6="","",'Operations &amp; Support'!F6)</f>
        <v/>
      </c>
      <c r="G45" s="39">
        <f>IF('Operations &amp; Support'!G6="","",'Operations &amp; Support'!G6)</f>
        <v/>
      </c>
    </row>
    <row r="46">
      <c r="A46" s="41">
        <f>IF('Operations &amp; Support'!A7="","",'Operations &amp; Support'!A7)</f>
        <v/>
      </c>
      <c r="B46" s="41">
        <f>IF('Operations &amp; Support'!B7="","",'Operations &amp; Support'!B7)</f>
        <v/>
      </c>
      <c r="C46" s="41">
        <f>IF('Operations &amp; Support'!C7="","",'Operations &amp; Support'!C7)</f>
        <v/>
      </c>
      <c r="D46" s="41">
        <f>IF('Operations &amp; Support'!D7="","",'Operations &amp; Support'!D7)</f>
        <v/>
      </c>
      <c r="E46" s="41">
        <f>IF('Operations &amp; Support'!E7="","",'Operations &amp; Support'!E7)</f>
        <v/>
      </c>
      <c r="F46" s="40">
        <f>IF('Operations &amp; Support'!F7="","",'Operations &amp; Support'!F7)</f>
        <v/>
      </c>
      <c r="G46" s="41">
        <f>IF('Operations &amp; Support'!G7="","",'Operations &amp; Support'!G7)</f>
        <v/>
      </c>
    </row>
    <row r="47">
      <c r="A47" s="39">
        <f>IF('Operations &amp; Support'!A8="","",'Operations &amp; Support'!A8)</f>
        <v/>
      </c>
      <c r="B47" s="39">
        <f>IF('Operations &amp; Support'!B8="","",'Operations &amp; Support'!B8)</f>
        <v/>
      </c>
      <c r="C47" s="39">
        <f>IF('Operations &amp; Support'!C8="","",'Operations &amp; Support'!C8)</f>
        <v/>
      </c>
      <c r="D47" s="39">
        <f>IF('Operations &amp; Support'!D8="","",'Operations &amp; Support'!D8)</f>
        <v/>
      </c>
      <c r="E47" s="39">
        <f>IF('Operations &amp; Support'!E8="","",'Operations &amp; Support'!E8)</f>
        <v/>
      </c>
      <c r="F47" s="40">
        <f>IF('Operations &amp; Support'!F8="","",'Operations &amp; Support'!F8)</f>
        <v/>
      </c>
      <c r="G47" s="39">
        <f>IF('Operations &amp; Support'!G8="","",'Operations &amp; Support'!G8)</f>
        <v/>
      </c>
    </row>
    <row r="48">
      <c r="A48" s="41">
        <f>IF('Operations &amp; Support'!A9="","",'Operations &amp; Support'!A9)</f>
        <v/>
      </c>
      <c r="B48" s="41">
        <f>IF('Operations &amp; Support'!B9="","",'Operations &amp; Support'!B9)</f>
        <v/>
      </c>
      <c r="C48" s="41">
        <f>IF('Operations &amp; Support'!C9="","",'Operations &amp; Support'!C9)</f>
        <v/>
      </c>
      <c r="D48" s="41">
        <f>IF('Operations &amp; Support'!D9="","",'Operations &amp; Support'!D9)</f>
        <v/>
      </c>
      <c r="E48" s="41">
        <f>IF('Operations &amp; Support'!E9="","",'Operations &amp; Support'!E9)</f>
        <v/>
      </c>
      <c r="F48" s="40">
        <f>IF('Operations &amp; Support'!F9="","",'Operations &amp; Support'!F9)</f>
        <v/>
      </c>
      <c r="G48" s="41">
        <f>IF('Operations &amp; Support'!G9="","",'Operations &amp; Support'!G9)</f>
        <v/>
      </c>
    </row>
    <row r="49">
      <c r="A49" s="39">
        <f>IF('Operations &amp; Support'!A10="","",'Operations &amp; Support'!A10)</f>
        <v/>
      </c>
      <c r="B49" s="39">
        <f>IF('Operations &amp; Support'!B10="","",'Operations &amp; Support'!B10)</f>
        <v/>
      </c>
      <c r="C49" s="39">
        <f>IF('Operations &amp; Support'!C10="","",'Operations &amp; Support'!C10)</f>
        <v/>
      </c>
      <c r="D49" s="39">
        <f>IF('Operations &amp; Support'!D10="","",'Operations &amp; Support'!D10)</f>
        <v/>
      </c>
      <c r="E49" s="39">
        <f>IF('Operations &amp; Support'!E10="","",'Operations &amp; Support'!E10)</f>
        <v/>
      </c>
      <c r="F49" s="40">
        <f>IF('Operations &amp; Support'!F10="","",'Operations &amp; Support'!F10)</f>
        <v/>
      </c>
      <c r="G49" s="39">
        <f>IF('Operations &amp; Support'!G10="","",'Operations &amp; Support'!G10)</f>
        <v/>
      </c>
    </row>
    <row r="50">
      <c r="A50" s="41">
        <f>IF('Operations &amp; Support'!A11="","",'Operations &amp; Support'!A11)</f>
        <v/>
      </c>
      <c r="B50" s="41">
        <f>IF('Operations &amp; Support'!B11="","",'Operations &amp; Support'!B11)</f>
        <v/>
      </c>
      <c r="C50" s="41">
        <f>IF('Operations &amp; Support'!C11="","",'Operations &amp; Support'!C11)</f>
        <v/>
      </c>
      <c r="D50" s="41">
        <f>IF('Operations &amp; Support'!D11="","",'Operations &amp; Support'!D11)</f>
        <v/>
      </c>
      <c r="E50" s="41">
        <f>IF('Operations &amp; Support'!E11="","",'Operations &amp; Support'!E11)</f>
        <v/>
      </c>
      <c r="F50" s="40">
        <f>IF('Operations &amp; Support'!F11="","",'Operations &amp; Support'!F11)</f>
        <v/>
      </c>
      <c r="G50" s="41">
        <f>IF('Operations &amp; Support'!G11="","",'Operations &amp; Support'!G11)</f>
        <v/>
      </c>
    </row>
    <row r="51">
      <c r="A51" s="39">
        <f>IF('Implementation Planning'!A2="","",'Implementation Planning'!A2)</f>
        <v/>
      </c>
      <c r="B51" s="39">
        <f>IF('Implementation Planning'!B2="","",'Implementation Planning'!B2)</f>
        <v/>
      </c>
      <c r="C51" s="39">
        <f>IF('Implementation Planning'!C2="","",'Implementation Planning'!C2)</f>
        <v/>
      </c>
      <c r="D51" s="39">
        <f>IF('Implementation Planning'!D2="","",'Implementation Planning'!D2)</f>
        <v/>
      </c>
      <c r="E51" s="39">
        <f>IF('Implementation Planning'!E2="","",'Implementation Planning'!E2)</f>
        <v/>
      </c>
      <c r="F51" s="40">
        <f>IF('Implementation Planning'!F2="","",'Implementation Planning'!F2)</f>
        <v/>
      </c>
      <c r="G51" s="39">
        <f>IF('Implementation Planning'!G2="","",'Implementation Planning'!G2)</f>
        <v/>
      </c>
    </row>
    <row r="52">
      <c r="A52" s="41">
        <f>IF('Implementation Planning'!A3="","",'Implementation Planning'!A3)</f>
        <v/>
      </c>
      <c r="B52" s="41">
        <f>IF('Implementation Planning'!B3="","",'Implementation Planning'!B3)</f>
        <v/>
      </c>
      <c r="C52" s="41">
        <f>IF('Implementation Planning'!C3="","",'Implementation Planning'!C3)</f>
        <v/>
      </c>
      <c r="D52" s="41">
        <f>IF('Implementation Planning'!D3="","",'Implementation Planning'!D3)</f>
        <v/>
      </c>
      <c r="E52" s="41">
        <f>IF('Implementation Planning'!E3="","",'Implementation Planning'!E3)</f>
        <v/>
      </c>
      <c r="F52" s="40">
        <f>IF('Implementation Planning'!F3="","",'Implementation Planning'!F3)</f>
        <v/>
      </c>
      <c r="G52" s="41">
        <f>IF('Implementation Planning'!G3="","",'Implementation Planning'!G3)</f>
        <v/>
      </c>
    </row>
    <row r="53">
      <c r="A53" s="39">
        <f>IF('Implementation Planning'!A4="","",'Implementation Planning'!A4)</f>
        <v/>
      </c>
      <c r="B53" s="39">
        <f>IF('Implementation Planning'!B4="","",'Implementation Planning'!B4)</f>
        <v/>
      </c>
      <c r="C53" s="39">
        <f>IF('Implementation Planning'!C4="","",'Implementation Planning'!C4)</f>
        <v/>
      </c>
      <c r="D53" s="39">
        <f>IF('Implementation Planning'!D4="","",'Implementation Planning'!D4)</f>
        <v/>
      </c>
      <c r="E53" s="39">
        <f>IF('Implementation Planning'!E4="","",'Implementation Planning'!E4)</f>
        <v/>
      </c>
      <c r="F53" s="40">
        <f>IF('Implementation Planning'!F4="","",'Implementation Planning'!F4)</f>
        <v/>
      </c>
      <c r="G53" s="39">
        <f>IF('Implementation Planning'!G4="","",'Implementation Planning'!G4)</f>
        <v/>
      </c>
    </row>
    <row r="54">
      <c r="A54" s="41">
        <f>IF('Implementation Planning'!A5="","",'Implementation Planning'!A5)</f>
        <v/>
      </c>
      <c r="B54" s="41">
        <f>IF('Implementation Planning'!B5="","",'Implementation Planning'!B5)</f>
        <v/>
      </c>
      <c r="C54" s="41">
        <f>IF('Implementation Planning'!C5="","",'Implementation Planning'!C5)</f>
        <v/>
      </c>
      <c r="D54" s="41">
        <f>IF('Implementation Planning'!D5="","",'Implementation Planning'!D5)</f>
        <v/>
      </c>
      <c r="E54" s="41">
        <f>IF('Implementation Planning'!E5="","",'Implementation Planning'!E5)</f>
        <v/>
      </c>
      <c r="F54" s="40">
        <f>IF('Implementation Planning'!F5="","",'Implementation Planning'!F5)</f>
        <v/>
      </c>
      <c r="G54" s="41">
        <f>IF('Implementation Planning'!G5="","",'Implementation Planning'!G5)</f>
        <v/>
      </c>
    </row>
    <row r="55">
      <c r="A55" s="39">
        <f>IF('Implementation Planning'!A6="","",'Implementation Planning'!A6)</f>
        <v/>
      </c>
      <c r="B55" s="39">
        <f>IF('Implementation Planning'!B6="","",'Implementation Planning'!B6)</f>
        <v/>
      </c>
      <c r="C55" s="39">
        <f>IF('Implementation Planning'!C6="","",'Implementation Planning'!C6)</f>
        <v/>
      </c>
      <c r="D55" s="39">
        <f>IF('Implementation Planning'!D6="","",'Implementation Planning'!D6)</f>
        <v/>
      </c>
      <c r="E55" s="39">
        <f>IF('Implementation Planning'!E6="","",'Implementation Planning'!E6)</f>
        <v/>
      </c>
      <c r="F55" s="40">
        <f>IF('Implementation Planning'!F6="","",'Implementation Planning'!F6)</f>
        <v/>
      </c>
      <c r="G55" s="39">
        <f>IF('Implementation Planning'!G6="","",'Implementation Planning'!G6)</f>
        <v/>
      </c>
    </row>
    <row r="56">
      <c r="A56" s="41">
        <f>IF('Implementation Planning'!A7="","",'Implementation Planning'!A7)</f>
        <v/>
      </c>
      <c r="B56" s="41">
        <f>IF('Implementation Planning'!B7="","",'Implementation Planning'!B7)</f>
        <v/>
      </c>
      <c r="C56" s="41">
        <f>IF('Implementation Planning'!C7="","",'Implementation Planning'!C7)</f>
        <v/>
      </c>
      <c r="D56" s="41">
        <f>IF('Implementation Planning'!D7="","",'Implementation Planning'!D7)</f>
        <v/>
      </c>
      <c r="E56" s="41">
        <f>IF('Implementation Planning'!E7="","",'Implementation Planning'!E7)</f>
        <v/>
      </c>
      <c r="F56" s="40">
        <f>IF('Implementation Planning'!F7="","",'Implementation Planning'!F7)</f>
        <v/>
      </c>
      <c r="G56" s="41">
        <f>IF('Implementation Planning'!G7="","",'Implementation Planning'!G7)</f>
        <v/>
      </c>
    </row>
    <row r="57">
      <c r="A57" s="39">
        <f>IF('Implementation Planning'!A8="","",'Implementation Planning'!A8)</f>
        <v/>
      </c>
      <c r="B57" s="39">
        <f>IF('Implementation Planning'!B8="","",'Implementation Planning'!B8)</f>
        <v/>
      </c>
      <c r="C57" s="39">
        <f>IF('Implementation Planning'!C8="","",'Implementation Planning'!C8)</f>
        <v/>
      </c>
      <c r="D57" s="39">
        <f>IF('Implementation Planning'!D8="","",'Implementation Planning'!D8)</f>
        <v/>
      </c>
      <c r="E57" s="39">
        <f>IF('Implementation Planning'!E8="","",'Implementation Planning'!E8)</f>
        <v/>
      </c>
      <c r="F57" s="40">
        <f>IF('Implementation Planning'!F8="","",'Implementation Planning'!F8)</f>
        <v/>
      </c>
      <c r="G57" s="39">
        <f>IF('Implementation Planning'!G8="","",'Implementation Planning'!G8)</f>
        <v/>
      </c>
    </row>
    <row r="58">
      <c r="A58" s="41">
        <f>IF('Implementation Planning'!A9="","",'Implementation Planning'!A9)</f>
        <v/>
      </c>
      <c r="B58" s="41">
        <f>IF('Implementation Planning'!B9="","",'Implementation Planning'!B9)</f>
        <v/>
      </c>
      <c r="C58" s="41">
        <f>IF('Implementation Planning'!C9="","",'Implementation Planning'!C9)</f>
        <v/>
      </c>
      <c r="D58" s="41">
        <f>IF('Implementation Planning'!D9="","",'Implementation Planning'!D9)</f>
        <v/>
      </c>
      <c r="E58" s="41">
        <f>IF('Implementation Planning'!E9="","",'Implementation Planning'!E9)</f>
        <v/>
      </c>
      <c r="F58" s="40">
        <f>IF('Implementation Planning'!F9="","",'Implementation Planning'!F9)</f>
        <v/>
      </c>
      <c r="G58" s="41">
        <f>IF('Implementation Planning'!G9="","",'Implementation Planning'!G9)</f>
        <v/>
      </c>
    </row>
    <row r="59">
      <c r="A59" s="39">
        <f>IF('Implementation Planning'!A10="","",'Implementation Planning'!A10)</f>
        <v/>
      </c>
      <c r="B59" s="39">
        <f>IF('Implementation Planning'!B10="","",'Implementation Planning'!B10)</f>
        <v/>
      </c>
      <c r="C59" s="39">
        <f>IF('Implementation Planning'!C10="","",'Implementation Planning'!C10)</f>
        <v/>
      </c>
      <c r="D59" s="39">
        <f>IF('Implementation Planning'!D10="","",'Implementation Planning'!D10)</f>
        <v/>
      </c>
      <c r="E59" s="39">
        <f>IF('Implementation Planning'!E10="","",'Implementation Planning'!E10)</f>
        <v/>
      </c>
      <c r="F59" s="40">
        <f>IF('Implementation Planning'!F10="","",'Implementation Planning'!F10)</f>
        <v/>
      </c>
      <c r="G59" s="39">
        <f>IF('Implementation Planning'!G10="","",'Implementation Planning'!G10)</f>
        <v/>
      </c>
    </row>
    <row r="60">
      <c r="A60" s="41">
        <f>IF('Implementation Planning'!A11="","",'Implementation Planning'!A11)</f>
        <v/>
      </c>
      <c r="B60" s="41">
        <f>IF('Implementation Planning'!B11="","",'Implementation Planning'!B11)</f>
        <v/>
      </c>
      <c r="C60" s="41">
        <f>IF('Implementation Planning'!C11="","",'Implementation Planning'!C11)</f>
        <v/>
      </c>
      <c r="D60" s="41">
        <f>IF('Implementation Planning'!D11="","",'Implementation Planning'!D11)</f>
        <v/>
      </c>
      <c r="E60" s="41">
        <f>IF('Implementation Planning'!E11="","",'Implementation Planning'!E11)</f>
        <v/>
      </c>
      <c r="F60" s="40">
        <f>IF('Implementation Planning'!F11="","",'Implementation Planning'!F11)</f>
        <v/>
      </c>
      <c r="G60" s="41">
        <f>IF('Implementation Planning'!G11="","",'Implementation Planning'!G11)</f>
        <v/>
      </c>
    </row>
    <row r="61">
      <c r="A61" s="39">
        <f>IF('Risk &amp; Constraints'!A2="","",'Risk &amp; Constraints'!A2)</f>
        <v/>
      </c>
      <c r="B61" s="39">
        <f>IF('Risk &amp; Constraints'!B2="","",'Risk &amp; Constraints'!B2)</f>
        <v/>
      </c>
      <c r="C61" s="39">
        <f>IF('Risk &amp; Constraints'!C2="","",'Risk &amp; Constraints'!C2)</f>
        <v/>
      </c>
      <c r="D61" s="39">
        <f>IF('Risk &amp; Constraints'!D2="","",'Risk &amp; Constraints'!D2)</f>
        <v/>
      </c>
      <c r="E61" s="39">
        <f>IF('Risk &amp; Constraints'!E2="","",'Risk &amp; Constraints'!E2)</f>
        <v/>
      </c>
      <c r="F61" s="40">
        <f>IF('Risk &amp; Constraints'!F2="","",'Risk &amp; Constraints'!F2)</f>
        <v/>
      </c>
      <c r="G61" s="39">
        <f>IF('Risk &amp; Constraints'!G2="","",'Risk &amp; Constraints'!G2)</f>
        <v/>
      </c>
    </row>
    <row r="62">
      <c r="A62" s="41">
        <f>IF('Risk &amp; Constraints'!A3="","",'Risk &amp; Constraints'!A3)</f>
        <v/>
      </c>
      <c r="B62" s="41">
        <f>IF('Risk &amp; Constraints'!B3="","",'Risk &amp; Constraints'!B3)</f>
        <v/>
      </c>
      <c r="C62" s="41">
        <f>IF('Risk &amp; Constraints'!C3="","",'Risk &amp; Constraints'!C3)</f>
        <v/>
      </c>
      <c r="D62" s="41">
        <f>IF('Risk &amp; Constraints'!D3="","",'Risk &amp; Constraints'!D3)</f>
        <v/>
      </c>
      <c r="E62" s="41">
        <f>IF('Risk &amp; Constraints'!E3="","",'Risk &amp; Constraints'!E3)</f>
        <v/>
      </c>
      <c r="F62" s="40">
        <f>IF('Risk &amp; Constraints'!F3="","",'Risk &amp; Constraints'!F3)</f>
        <v/>
      </c>
      <c r="G62" s="41">
        <f>IF('Risk &amp; Constraints'!G3="","",'Risk &amp; Constraints'!G3)</f>
        <v/>
      </c>
    </row>
    <row r="63">
      <c r="A63" s="39">
        <f>IF('Risk &amp; Constraints'!A4="","",'Risk &amp; Constraints'!A4)</f>
        <v/>
      </c>
      <c r="B63" s="39">
        <f>IF('Risk &amp; Constraints'!B4="","",'Risk &amp; Constraints'!B4)</f>
        <v/>
      </c>
      <c r="C63" s="39">
        <f>IF('Risk &amp; Constraints'!C4="","",'Risk &amp; Constraints'!C4)</f>
        <v/>
      </c>
      <c r="D63" s="39">
        <f>IF('Risk &amp; Constraints'!D4="","",'Risk &amp; Constraints'!D4)</f>
        <v/>
      </c>
      <c r="E63" s="39">
        <f>IF('Risk &amp; Constraints'!E4="","",'Risk &amp; Constraints'!E4)</f>
        <v/>
      </c>
      <c r="F63" s="40">
        <f>IF('Risk &amp; Constraints'!F4="","",'Risk &amp; Constraints'!F4)</f>
        <v/>
      </c>
      <c r="G63" s="39">
        <f>IF('Risk &amp; Constraints'!G4="","",'Risk &amp; Constraints'!G4)</f>
        <v/>
      </c>
    </row>
    <row r="64">
      <c r="A64" s="41">
        <f>IF('Risk &amp; Constraints'!A5="","",'Risk &amp; Constraints'!A5)</f>
        <v/>
      </c>
      <c r="B64" s="41">
        <f>IF('Risk &amp; Constraints'!B5="","",'Risk &amp; Constraints'!B5)</f>
        <v/>
      </c>
      <c r="C64" s="41">
        <f>IF('Risk &amp; Constraints'!C5="","",'Risk &amp; Constraints'!C5)</f>
        <v/>
      </c>
      <c r="D64" s="41">
        <f>IF('Risk &amp; Constraints'!D5="","",'Risk &amp; Constraints'!D5)</f>
        <v/>
      </c>
      <c r="E64" s="41">
        <f>IF('Risk &amp; Constraints'!E5="","",'Risk &amp; Constraints'!E5)</f>
        <v/>
      </c>
      <c r="F64" s="40">
        <f>IF('Risk &amp; Constraints'!F5="","",'Risk &amp; Constraints'!F5)</f>
        <v/>
      </c>
      <c r="G64" s="41">
        <f>IF('Risk &amp; Constraints'!G5="","",'Risk &amp; Constraints'!G5)</f>
        <v/>
      </c>
    </row>
    <row r="65">
      <c r="A65" s="39">
        <f>IF('Risk &amp; Constraints'!A6="","",'Risk &amp; Constraints'!A6)</f>
        <v/>
      </c>
      <c r="B65" s="39">
        <f>IF('Risk &amp; Constraints'!B6="","",'Risk &amp; Constraints'!B6)</f>
        <v/>
      </c>
      <c r="C65" s="39">
        <f>IF('Risk &amp; Constraints'!C6="","",'Risk &amp; Constraints'!C6)</f>
        <v/>
      </c>
      <c r="D65" s="39">
        <f>IF('Risk &amp; Constraints'!D6="","",'Risk &amp; Constraints'!D6)</f>
        <v/>
      </c>
      <c r="E65" s="39">
        <f>IF('Risk &amp; Constraints'!E6="","",'Risk &amp; Constraints'!E6)</f>
        <v/>
      </c>
      <c r="F65" s="40">
        <f>IF('Risk &amp; Constraints'!F6="","",'Risk &amp; Constraints'!F6)</f>
        <v/>
      </c>
      <c r="G65" s="39">
        <f>IF('Risk &amp; Constraints'!G6="","",'Risk &amp; Constraints'!G6)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BUS-001</t>
        </is>
      </c>
      <c r="B2" s="41" t="inlineStr">
        <is>
          <t>Business Requirements</t>
        </is>
      </c>
      <c r="C2" s="41" t="inlineStr">
        <is>
          <t>Project Information</t>
        </is>
      </c>
      <c r="D2" s="41" t="inlineStr">
        <is>
          <t>What is the name of your hyperconverged infrastructure project?</t>
        </is>
      </c>
      <c r="E2" s="41" t="inlineStr">
        <is>
          <t>Provide internal project reference name</t>
        </is>
      </c>
      <c r="F2" s="40" t="n"/>
      <c r="G2" s="41" t="inlineStr">
        <is>
          <t>Internal project reference for tracking</t>
        </is>
      </c>
    </row>
    <row r="3">
      <c r="A3" s="39" t="inlineStr">
        <is>
          <t>BUS-002</t>
        </is>
      </c>
      <c r="B3" s="39" t="inlineStr">
        <is>
          <t>Business Requirements</t>
        </is>
      </c>
      <c r="C3" s="39" t="inlineStr">
        <is>
          <t>Project Information</t>
        </is>
      </c>
      <c r="D3" s="39" t="inlineStr">
        <is>
          <t>Who is the primary stakeholder for this VxRail HCI project?</t>
        </is>
      </c>
      <c r="E3" s="39" t="inlineStr">
        <is>
          <t>Name, role, and decision-making authority (typically VP Infrastructure or IT Director)</t>
        </is>
      </c>
      <c r="F3" s="40" t="n"/>
      <c r="G3" s="39" t="inlineStr">
        <is>
          <t>Main point of contact and decision authority</t>
        </is>
      </c>
    </row>
    <row r="4">
      <c r="A4" s="41" t="inlineStr">
        <is>
          <t>BUS-003</t>
        </is>
      </c>
      <c r="B4" s="41" t="inlineStr">
        <is>
          <t>Business Requirements</t>
        </is>
      </c>
      <c r="C4" s="41" t="inlineStr">
        <is>
          <t>Business Drivers</t>
        </is>
      </c>
      <c r="D4" s="41" t="inlineStr">
        <is>
          <t>What infrastructure challenges are you trying to solve with VxRail HCI?</t>
        </is>
      </c>
      <c r="E4" s="41" t="inlineStr">
        <is>
          <t>Common challenges: Aging SAN end-of-life, Complex storage management, Slow VM provisioning, High support costs, Data center footprint, Multi-vendor finger-pointing</t>
        </is>
      </c>
      <c r="F4" s="40" t="n"/>
      <c r="G4" s="41" t="inlineStr">
        <is>
          <t>Primary business driver for HCI investment</t>
        </is>
      </c>
    </row>
    <row r="5">
      <c r="A5" s="39" t="inlineStr">
        <is>
          <t>BUS-004</t>
        </is>
      </c>
      <c r="B5" s="39" t="inlineStr">
        <is>
          <t>Business Requirements</t>
        </is>
      </c>
      <c r="C5" s="39" t="inlineStr">
        <is>
          <t>Current State</t>
        </is>
      </c>
      <c r="D5" s="39" t="inlineStr">
        <is>
          <t>What is your current virtualization and storage infrastructure?</t>
        </is>
      </c>
      <c r="E5" s="39" t="inlineStr">
        <is>
          <t>Describe: VMware vSphere version, SAN vendor (EMC NetApp Dell), Server vendor, Storage capacity, Pain points</t>
        </is>
      </c>
      <c r="F5" s="40" t="n"/>
      <c r="G5" s="39" t="inlineStr">
        <is>
          <t>Current state baseline assessment</t>
        </is>
      </c>
    </row>
    <row r="6">
      <c r="A6" s="41" t="inlineStr">
        <is>
          <t>BUS-005</t>
        </is>
      </c>
      <c r="B6" s="41" t="inlineStr">
        <is>
          <t>Business Requirements</t>
        </is>
      </c>
      <c r="C6" s="41" t="inlineStr">
        <is>
          <t>VM Count</t>
        </is>
      </c>
      <c r="D6" s="41" t="inlineStr">
        <is>
          <t>How many virtual machines are currently running?</t>
        </is>
      </c>
      <c r="E6" s="41" t="inlineStr">
        <is>
          <t>Typical ranges: &lt;100 VMs, 100-250 VMs, 250-500 VMs, 500-1000 VMs, 1000+ VMs</t>
        </is>
      </c>
      <c r="F6" s="40" t="n"/>
      <c r="G6" s="41" t="inlineStr">
        <is>
          <t>Determines VxRail cluster size and scale</t>
        </is>
      </c>
    </row>
    <row r="7">
      <c r="A7" s="39" t="inlineStr">
        <is>
          <t>BUS-006</t>
        </is>
      </c>
      <c r="B7" s="39" t="inlineStr">
        <is>
          <t>Business Requirements</t>
        </is>
      </c>
      <c r="C7" s="39" t="inlineStr">
        <is>
          <t>Workload Types</t>
        </is>
      </c>
      <c r="D7" s="39" t="inlineStr">
        <is>
          <t>What applications and workloads run in your virtual environment?</t>
        </is>
      </c>
      <c r="E7" s="39" t="inlineStr">
        <is>
          <t>Common workloads: File servers, Web servers, Databases (SQL Oracle), VDI (Horizon Citrix), ERP, CRM, Email (Exchange)</t>
        </is>
      </c>
      <c r="F7" s="40" t="n"/>
      <c r="G7" s="39" t="inlineStr">
        <is>
          <t>Workload classification drives sizing and performance</t>
        </is>
      </c>
    </row>
    <row r="8">
      <c r="A8" s="41" t="inlineStr">
        <is>
          <t>BUS-007</t>
        </is>
      </c>
      <c r="B8" s="41" t="inlineStr">
        <is>
          <t>Business Requirements</t>
        </is>
      </c>
      <c r="C8" s="41" t="inlineStr">
        <is>
          <t>Objectives</t>
        </is>
      </c>
      <c r="D8" s="41" t="inlineStr">
        <is>
          <t>What are your primary goals for deploying VxRail HCI?</t>
        </is>
      </c>
      <c r="E8" s="41" t="inlineStr">
        <is>
          <t>Common goals: Simplify operations, Reduce TCO, Eliminate SAN complexity, Faster VM provisioning, Single vendor support, Data center consolidation</t>
        </is>
      </c>
      <c r="F8" s="40" t="n"/>
      <c r="G8" s="41" t="inlineStr">
        <is>
          <t>Business objectives and expected outcomes</t>
        </is>
      </c>
    </row>
    <row r="9">
      <c r="A9" s="39" t="inlineStr">
        <is>
          <t>BUS-008</t>
        </is>
      </c>
      <c r="B9" s="39" t="inlineStr">
        <is>
          <t>Business Requirements</t>
        </is>
      </c>
      <c r="C9" s="39" t="inlineStr">
        <is>
          <t>Success Criteria</t>
        </is>
      </c>
      <c r="D9" s="39" t="inlineStr">
        <is>
          <t>How will you measure VxRail deployment success?</t>
        </is>
      </c>
      <c r="E9" s="39" t="inlineStr">
        <is>
          <t>Define KPIs: TCO reduction %, 99.9%+ uptime, VM provisioning time (minutes vs days), Operational FTE reduction, Single vendor support</t>
        </is>
      </c>
      <c r="F9" s="40" t="n"/>
      <c r="G9" s="39" t="inlineStr">
        <is>
          <t>Success metrics for project evaluation</t>
        </is>
      </c>
    </row>
    <row r="10">
      <c r="A10" s="41" t="inlineStr">
        <is>
          <t>BUS-009</t>
        </is>
      </c>
      <c r="B10" s="41" t="inlineStr">
        <is>
          <t>Business Requirements</t>
        </is>
      </c>
      <c r="C10" s="41" t="inlineStr">
        <is>
          <t>Timeline</t>
        </is>
      </c>
      <c r="D10" s="41" t="inlineStr">
        <is>
          <t>What is your expected timeline for VxRail deployment and VM migration?</t>
        </is>
      </c>
      <c r="E10" s="41" t="inlineStr">
        <is>
          <t>Typical ranges: 4-6 weeks (design + deploy), 6-8 weeks (with migration), 8-12 weeks (large enterprise)</t>
        </is>
      </c>
      <c r="F10" s="40" t="n"/>
      <c r="G10" s="41" t="inlineStr">
        <is>
          <t>Project timeline and migration windows</t>
        </is>
      </c>
    </row>
    <row r="11">
      <c r="A11" s="39" t="inlineStr">
        <is>
          <t>BUS-010</t>
        </is>
      </c>
      <c r="B11" s="39" t="inlineStr">
        <is>
          <t>Business Requirements</t>
        </is>
      </c>
      <c r="C11" s="39" t="inlineStr">
        <is>
          <t>Budget</t>
        </is>
      </c>
      <c r="D11" s="39" t="inlineStr">
        <is>
          <t>What is your approved budget range for HCI infrastructure?</t>
        </is>
      </c>
      <c r="E11" s="39" t="inlineStr">
        <is>
          <t>Common ranges: $300K-$600K (4-node), $600K-$1M (8-node), $1M-$2M (16+ node). Include hardware software support</t>
        </is>
      </c>
      <c r="F11" s="40" t="n"/>
      <c r="G11" s="39" t="inlineStr">
        <is>
          <t>Budget constraints for solution sizing</t>
        </is>
      </c>
    </row>
    <row r="12">
      <c r="A12" s="41" t="inlineStr">
        <is>
          <t>BUS-011</t>
        </is>
      </c>
      <c r="B12" s="41" t="inlineStr">
        <is>
          <t>Business Requirements</t>
        </is>
      </c>
      <c r="C12" s="41" t="inlineStr">
        <is>
          <t>TCO Comparison</t>
        </is>
      </c>
      <c r="D12" s="41" t="inlineStr">
        <is>
          <t>What are your current annual infrastructure costs to compare against?</t>
        </is>
      </c>
      <c r="E12" s="41" t="inlineStr">
        <is>
          <t>Include: SAN support, Server support, VMware licenses, Power/cooling, Admin labor, Replacement CapEx</t>
        </is>
      </c>
      <c r="F12" s="40" t="n"/>
      <c r="G12" s="41" t="inlineStr">
        <is>
          <t>TCO baseline for cost comparison analysis</t>
        </is>
      </c>
    </row>
    <row r="13">
      <c r="A13" s="39" t="inlineStr">
        <is>
          <t>BUS-012</t>
        </is>
      </c>
      <c r="B13" s="39" t="inlineStr">
        <is>
          <t>Business Requirements</t>
        </is>
      </c>
      <c r="C13" s="39" t="inlineStr">
        <is>
          <t>Growth Projections</t>
        </is>
      </c>
      <c r="D13" s="39" t="inlineStr">
        <is>
          <t>How do you expect VM count and capacity to change over 3 years?</t>
        </is>
      </c>
      <c r="E13" s="39" t="inlineStr">
        <is>
          <t>Provide current VM count and projected annual growth rate (10%, 25%, 50%)</t>
        </is>
      </c>
      <c r="F13" s="40" t="n"/>
      <c r="G13" s="39" t="inlineStr">
        <is>
          <t>Scalability requirements and expansion planning</t>
        </is>
      </c>
    </row>
    <row r="14">
      <c r="A14" s="41" t="inlineStr">
        <is>
          <t>COST-001</t>
        </is>
      </c>
      <c r="B14" s="41" t="inlineStr">
        <is>
          <t>Business Requirements</t>
        </is>
      </c>
      <c r="C14" s="41" t="inlineStr">
        <is>
          <t>SAN Costs</t>
        </is>
      </c>
      <c r="D14" s="41" t="inlineStr">
        <is>
          <t>What is your current annual SAN support cost?</t>
        </is>
      </c>
      <c r="E14" s="41" t="inlineStr">
        <is>
          <t>Calculate: SAN maintenance contract + disk shelf expansion + SAN admin labor. Example: EMC Unity $50K/year + $30K admin = $80K</t>
        </is>
      </c>
      <c r="F14" s="40" t="n"/>
      <c r="G14" s="41" t="inlineStr">
        <is>
          <t>Baseline for cost savings and TCO analysis</t>
        </is>
      </c>
    </row>
    <row r="15">
      <c r="A15" s="39" t="inlineStr">
        <is>
          <t>COST-002</t>
        </is>
      </c>
      <c r="B15" s="39" t="inlineStr">
        <is>
          <t>Business Requirements</t>
        </is>
      </c>
      <c r="C15" s="39" t="inlineStr">
        <is>
          <t>Server Costs</t>
        </is>
      </c>
      <c r="D15" s="39" t="inlineStr">
        <is>
          <t>What are your current annual server and VMware costs?</t>
        </is>
      </c>
      <c r="E15" s="39" t="inlineStr">
        <is>
          <t>Include: Server hardware support, vSphere licenses (if EA), Compute admin labor</t>
        </is>
      </c>
      <c r="F15" s="40" t="n"/>
      <c r="G15" s="39" t="inlineStr">
        <is>
          <t>Infrastructure cost baseline</t>
        </is>
      </c>
    </row>
    <row r="16">
      <c r="A16" s="41" t="inlineStr">
        <is>
          <t>COST-003</t>
        </is>
      </c>
      <c r="B16" s="41" t="inlineStr">
        <is>
          <t>Business Requirements</t>
        </is>
      </c>
      <c r="C16" s="41" t="inlineStr">
        <is>
          <t>Cost Avoidance</t>
        </is>
      </c>
      <c r="D16" s="41" t="inlineStr">
        <is>
          <t>What infrastructure costs will VxRail eliminate?</t>
        </is>
      </c>
      <c r="E16" s="41" t="inlineStr">
        <is>
          <t>Avoided costs: SAN support, Separate server/storage purchases, Multi-vendor complexity, Power/cooling for SAN, Admin labor</t>
        </is>
      </c>
      <c r="F16" s="40" t="n"/>
      <c r="G16" s="41" t="inlineStr">
        <is>
          <t>Cost avoidance and TCO benefits</t>
        </is>
      </c>
    </row>
    <row r="17">
      <c r="A17" s="39" t="inlineStr">
        <is>
          <t>COST-004</t>
        </is>
      </c>
      <c r="B17" s="39" t="inlineStr">
        <is>
          <t>Business Requirements</t>
        </is>
      </c>
      <c r="C17" s="39" t="inlineStr">
        <is>
          <t>ROI Timeline</t>
        </is>
      </c>
      <c r="D17" s="39" t="inlineStr">
        <is>
          <t>What ROI timeline and payback period are you targeting?</t>
        </is>
      </c>
      <c r="E17" s="39" t="inlineStr">
        <is>
          <t>VxRail typically achieves ROI in 24-36 months through operational cost avoidance and SAN elimination</t>
        </is>
      </c>
      <c r="F17" s="40" t="n"/>
      <c r="G17" s="39" t="inlineStr">
        <is>
          <t>Financial justification and approval thresholds</t>
        </is>
      </c>
    </row>
    <row r="18">
      <c r="A18" s="41" t="inlineStr">
        <is>
          <t>COST-005</t>
        </is>
      </c>
      <c r="B18" s="41" t="inlineStr">
        <is>
          <t>Business Requirements</t>
        </is>
      </c>
      <c r="C18" s="41" t="inlineStr">
        <is>
          <t>CapEx vs OpEx</t>
        </is>
      </c>
      <c r="D18" s="41" t="inlineStr">
        <is>
          <t>Do you have preferences around CapEx vs OpEx spending?</t>
        </is>
      </c>
      <c r="E18" s="41" t="inlineStr">
        <is>
          <t>Consider: VxRail upfront purchase (CapEx), Dell Financial Services leasing (converts to OpEx), Budget approval processes</t>
        </is>
      </c>
      <c r="F18" s="40" t="n"/>
      <c r="G18" s="41" t="inlineStr">
        <is>
          <t>Financial structuring and procurement approach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TECH-001</t>
        </is>
      </c>
      <c r="B2" s="41" t="inlineStr">
        <is>
          <t>Technical Requirements</t>
        </is>
      </c>
      <c r="C2" s="41" t="inlineStr">
        <is>
          <t>vSphere Version</t>
        </is>
      </c>
      <c r="D2" s="41" t="inlineStr">
        <is>
          <t>What VMware vSphere version are you currently running?</t>
        </is>
      </c>
      <c r="E2" s="41" t="inlineStr">
        <is>
          <t>Common versions: vSphere 6.5/6.7 (upgrade required), vSphere 7.0, vSphere 8.0 (current)</t>
        </is>
      </c>
      <c r="F2" s="40" t="n"/>
      <c r="G2" s="41" t="inlineStr">
        <is>
          <t>vSphere compatibility and upgrade requirements</t>
        </is>
      </c>
    </row>
    <row r="3">
      <c r="A3" s="39" t="inlineStr">
        <is>
          <t>TECH-002</t>
        </is>
      </c>
      <c r="B3" s="39" t="inlineStr">
        <is>
          <t>Technical Requirements</t>
        </is>
      </c>
      <c r="C3" s="39" t="inlineStr">
        <is>
          <t>vSphere Licensing</t>
        </is>
      </c>
      <c r="D3" s="39" t="inlineStr">
        <is>
          <t>What VMware licensing do you currently have?</t>
        </is>
      </c>
      <c r="E3" s="39" t="inlineStr">
        <is>
          <t>Licenses: vSphere Standard, Enterprise, Enterprise Plus (required for vSAN). Can reuse existing or purchase new</t>
        </is>
      </c>
      <c r="F3" s="40" t="n"/>
      <c r="G3" s="39" t="inlineStr">
        <is>
          <t>vSphere license reuse or new purchase</t>
        </is>
      </c>
    </row>
    <row r="4">
      <c r="A4" s="41" t="inlineStr">
        <is>
          <t>TECH-003</t>
        </is>
      </c>
      <c r="B4" s="41" t="inlineStr">
        <is>
          <t>Technical Requirements</t>
        </is>
      </c>
      <c r="C4" s="41" t="inlineStr">
        <is>
          <t>Cluster Size</t>
        </is>
      </c>
      <c r="D4" s="41" t="inlineStr">
        <is>
          <t>What VxRail cluster size do you prefer?</t>
        </is>
      </c>
      <c r="E4" s="41" t="inlineStr">
        <is>
          <t>Cluster options: 4-node (entry), 6-node, 8-node (recommended), 12-16 node (large), Start small and expand</t>
        </is>
      </c>
      <c r="F4" s="40" t="n"/>
      <c r="G4" s="41" t="inlineStr">
        <is>
          <t>Cluster sizing and scalability approach</t>
        </is>
      </c>
    </row>
    <row r="5">
      <c r="A5" s="39" t="inlineStr">
        <is>
          <t>TECH-004</t>
        </is>
      </c>
      <c r="B5" s="39" t="inlineStr">
        <is>
          <t>Technical Requirements</t>
        </is>
      </c>
      <c r="C5" s="39" t="inlineStr">
        <is>
          <t>Node Model</t>
        </is>
      </c>
      <c r="D5" s="39" t="inlineStr">
        <is>
          <t>What VxRail node model fits your performance requirements?</t>
        </is>
      </c>
      <c r="E5" s="39" t="inlineStr">
        <is>
          <t>Models: E560 (hybrid SSD), E565 (all-flash NVMe), P570 (all-NVMe performance), D560 (dense storage), G560 (GPU workloads)</t>
        </is>
      </c>
      <c r="F5" s="40" t="n"/>
      <c r="G5" s="39" t="inlineStr">
        <is>
          <t>Node selection based on performance and capacity</t>
        </is>
      </c>
    </row>
    <row r="6">
      <c r="A6" s="41" t="inlineStr">
        <is>
          <t>TECH-005</t>
        </is>
      </c>
      <c r="B6" s="41" t="inlineStr">
        <is>
          <t>Technical Requirements</t>
        </is>
      </c>
      <c r="C6" s="41" t="inlineStr">
        <is>
          <t>Storage Capacity</t>
        </is>
      </c>
      <c r="D6" s="41" t="inlineStr">
        <is>
          <t>What total usable storage capacity is required?</t>
        </is>
      </c>
      <c r="E6" s="41" t="inlineStr">
        <is>
          <t>Calculate: Current data + 3-year growth + 30% buffer. vSAN deduplication/compression provides 2-3x savings. Account for FTT=1 mirroring (50% overhead)</t>
        </is>
      </c>
      <c r="F6" s="40" t="n"/>
      <c r="G6" s="41" t="inlineStr">
        <is>
          <t>Storage capacity planning with vSAN efficiency</t>
        </is>
      </c>
    </row>
    <row r="7">
      <c r="A7" s="39" t="inlineStr">
        <is>
          <t>TECH-006</t>
        </is>
      </c>
      <c r="B7" s="39" t="inlineStr">
        <is>
          <t>Technical Requirements</t>
        </is>
      </c>
      <c r="C7" s="39" t="inlineStr">
        <is>
          <t>vCPU Count</t>
        </is>
      </c>
      <c r="D7" s="39" t="inlineStr">
        <is>
          <t>How many total vCPUs are required for all VMs?</t>
        </is>
      </c>
      <c r="E7" s="39" t="inlineStr">
        <is>
          <t>Calculate: Sum of VM vCPUs. Typical 4:1 oversubscription acceptable. Account for N+1 or N+2 failover capacity</t>
        </is>
      </c>
      <c r="F7" s="40" t="n"/>
      <c r="G7" s="39" t="inlineStr">
        <is>
          <t>Compute capacity sizing</t>
        </is>
      </c>
    </row>
    <row r="8">
      <c r="A8" s="41" t="inlineStr">
        <is>
          <t>TECH-007</t>
        </is>
      </c>
      <c r="B8" s="41" t="inlineStr">
        <is>
          <t>Technical Requirements</t>
        </is>
      </c>
      <c r="C8" s="41" t="inlineStr">
        <is>
          <t>Memory Capacity</t>
        </is>
      </c>
      <c r="D8" s="41" t="inlineStr">
        <is>
          <t>How much total RAM is required for all VMs?</t>
        </is>
      </c>
      <c r="E8" s="41" t="inlineStr">
        <is>
          <t>Calculate: Sum of VM RAM + 30% buffer + ESXi overhead. Account for N+1 failover capacity</t>
        </is>
      </c>
      <c r="F8" s="40" t="n"/>
      <c r="G8" s="41" t="inlineStr">
        <is>
          <t>Memory capacity sizing</t>
        </is>
      </c>
    </row>
    <row r="9">
      <c r="A9" s="39" t="inlineStr">
        <is>
          <t>TECH-008</t>
        </is>
      </c>
      <c r="B9" s="39" t="inlineStr">
        <is>
          <t>Technical Requirements</t>
        </is>
      </c>
      <c r="C9" s="39" t="inlineStr">
        <is>
          <t>Network Requirements</t>
        </is>
      </c>
      <c r="D9" s="39" t="inlineStr">
        <is>
          <t>What network connectivity is required?</t>
        </is>
      </c>
      <c r="E9" s="39" t="inlineStr">
        <is>
          <t>Network: 10GbE adequate, 25GbE recommended for vSAN, Dual 10/25GbE for redundancy, ToR switch integration</t>
        </is>
      </c>
      <c r="F9" s="40" t="n"/>
      <c r="G9" s="39" t="inlineStr">
        <is>
          <t>Network fabric and bandwidth requirements</t>
        </is>
      </c>
    </row>
    <row r="10">
      <c r="A10" s="41" t="inlineStr">
        <is>
          <t>TECH-009</t>
        </is>
      </c>
      <c r="B10" s="41" t="inlineStr">
        <is>
          <t>Technical Requirements</t>
        </is>
      </c>
      <c r="C10" s="41" t="inlineStr">
        <is>
          <t>vSAN Features</t>
        </is>
      </c>
      <c r="D10" s="41" t="inlineStr">
        <is>
          <t>What vSAN features are required?</t>
        </is>
      </c>
      <c r="E10" s="41" t="inlineStr">
        <is>
          <t>Features: Deduplication and compression (standard), Encryption at rest, Stretched cluster (DR), RAID-5/6 erasure coding (6+ nodes)</t>
        </is>
      </c>
      <c r="F10" s="40" t="n"/>
      <c r="G10" s="41" t="inlineStr">
        <is>
          <t>vSAN feature requirements and licensing</t>
        </is>
      </c>
    </row>
    <row r="11">
      <c r="A11" s="39" t="inlineStr">
        <is>
          <t>TECH-010</t>
        </is>
      </c>
      <c r="B11" s="39" t="inlineStr">
        <is>
          <t>Technical Requirements</t>
        </is>
      </c>
      <c r="C11" s="39" t="inlineStr">
        <is>
          <t>Backup</t>
        </is>
      </c>
      <c r="D11" s="39" t="inlineStr">
        <is>
          <t>What backup solution will you use with VxRail?</t>
        </is>
      </c>
      <c r="E11" s="39" t="inlineStr">
        <is>
          <t>Common: Veeam Backup &amp; Replication, Dell IDPA (Integrated Data Protection Appliance), Commvault, Rubrik, Cohesity, Native vSphere snapshots</t>
        </is>
      </c>
      <c r="F11" s="40" t="n"/>
      <c r="G11" s="39" t="inlineStr">
        <is>
          <t>Backup integration and data protection</t>
        </is>
      </c>
    </row>
    <row r="12">
      <c r="A12" s="41" t="inlineStr">
        <is>
          <t>TECH-011</t>
        </is>
      </c>
      <c r="B12" s="41" t="inlineStr">
        <is>
          <t>Technical Requirements</t>
        </is>
      </c>
      <c r="C12" s="41" t="inlineStr">
        <is>
          <t>Replication</t>
        </is>
      </c>
      <c r="D12" s="41" t="inlineStr">
        <is>
          <t>Do you need disaster recovery replication to second site?</t>
        </is>
      </c>
      <c r="E12" s="41" t="inlineStr">
        <is>
          <t>DR options: No DR, VMware SRM (Site Recovery Manager), vSphere Replication, Array-based replication, RecoverPoint for VMs</t>
        </is>
      </c>
      <c r="F12" s="40" t="n"/>
      <c r="G12" s="41" t="inlineStr">
        <is>
          <t>Disaster recovery requirements</t>
        </is>
      </c>
    </row>
    <row r="13">
      <c r="A13" s="39" t="inlineStr">
        <is>
          <t>TECH-012</t>
        </is>
      </c>
      <c r="B13" s="39" t="inlineStr">
        <is>
          <t>Technical Requirements</t>
        </is>
      </c>
      <c r="C13" s="39" t="inlineStr">
        <is>
          <t>Existing VMware</t>
        </is>
      </c>
      <c r="D13" s="39" t="inlineStr">
        <is>
          <t>Can you reuse existing VMware infrastructure during migration?</t>
        </is>
      </c>
      <c r="E13" s="39" t="inlineStr">
        <is>
          <t>Migration options: Parallel run (keep old SAN during migration), vMotion VMs to VxRail, Lift-and-shift cutover, Green-field deployment</t>
        </is>
      </c>
      <c r="F13" s="40" t="n"/>
      <c r="G13" s="39" t="inlineStr">
        <is>
          <t>Migration approach and risk mitigation</t>
        </is>
      </c>
    </row>
    <row r="14">
      <c r="A14" s="41" t="inlineStr">
        <is>
          <t>TECH-013</t>
        </is>
      </c>
      <c r="B14" s="41" t="inlineStr">
        <is>
          <t>Technical Requirements</t>
        </is>
      </c>
      <c r="C14" s="41" t="inlineStr">
        <is>
          <t>Management</t>
        </is>
      </c>
      <c r="D14" s="41" t="inlineStr">
        <is>
          <t>What management and monitoring tools are required?</t>
        </is>
      </c>
      <c r="E14" s="41" t="inlineStr">
        <is>
          <t>Management: vCenter Server (standard), vRealize Operations (recommended), vRealize Log Insight, VxRail Manager, Dell OpenManage</t>
        </is>
      </c>
      <c r="F14" s="40" t="n"/>
      <c r="G14" s="41" t="inlineStr">
        <is>
          <t>Management and monitoring platform</t>
        </is>
      </c>
    </row>
    <row r="15">
      <c r="A15" s="39" t="inlineStr">
        <is>
          <t>TECH-014</t>
        </is>
      </c>
      <c r="B15" s="39" t="inlineStr">
        <is>
          <t>Technical Requirements</t>
        </is>
      </c>
      <c r="C15" s="39" t="inlineStr">
        <is>
          <t>vSAN All-Flash</t>
        </is>
      </c>
      <c r="D15" s="39" t="inlineStr">
        <is>
          <t>Do you require all-flash (NVMe) or is hybrid SSD acceptable?</t>
        </is>
      </c>
      <c r="E15" s="39" t="inlineStr">
        <is>
          <t>All-flash: Higher performance and density. Hybrid: Lower cost with SSD cache + HDD capacity tier. Most choose all-flash</t>
        </is>
      </c>
      <c r="F15" s="40" t="n"/>
      <c r="G15" s="39" t="inlineStr">
        <is>
          <t>Performance tier and cost tradeoff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SEC-001</t>
        </is>
      </c>
      <c r="B2" s="41" t="inlineStr">
        <is>
          <t>Security &amp; Compliance</t>
        </is>
      </c>
      <c r="C2" s="41" t="inlineStr">
        <is>
          <t>Data Classification</t>
        </is>
      </c>
      <c r="D2" s="41" t="inlineStr">
        <is>
          <t>What is the highest data classification in VMs?</t>
        </is>
      </c>
      <c r="E2" s="41" t="inlineStr">
        <is>
          <t>Levels: Public, Internal, Confidential, Restricted, Regulated (HIPAA PCI FedRAMP)</t>
        </is>
      </c>
      <c r="F2" s="40" t="n"/>
      <c r="G2" s="41" t="inlineStr">
        <is>
          <t>Determines encryption and security requirements</t>
        </is>
      </c>
    </row>
    <row r="3">
      <c r="A3" s="39" t="inlineStr">
        <is>
          <t>SEC-002</t>
        </is>
      </c>
      <c r="B3" s="39" t="inlineStr">
        <is>
          <t>Security &amp; Compliance</t>
        </is>
      </c>
      <c r="C3" s="39" t="inlineStr">
        <is>
          <t>Encryption</t>
        </is>
      </c>
      <c r="D3" s="39" t="inlineStr">
        <is>
          <t>Is vSAN encryption at rest required?</t>
        </is>
      </c>
      <c r="E3" s="39" t="inlineStr">
        <is>
          <t>Encryption: Not required, vSAN encryption (FIPS 140-2), VM-level encryption, Both vSAN and VM encryption</t>
        </is>
      </c>
      <c r="F3" s="40" t="n"/>
      <c r="G3" s="39" t="inlineStr">
        <is>
          <t>Data protection and compliance requirements</t>
        </is>
      </c>
    </row>
    <row r="4">
      <c r="A4" s="41" t="inlineStr">
        <is>
          <t>SEC-003</t>
        </is>
      </c>
      <c r="B4" s="41" t="inlineStr">
        <is>
          <t>Security &amp; Compliance</t>
        </is>
      </c>
      <c r="C4" s="41" t="inlineStr">
        <is>
          <t>Compliance Standards</t>
        </is>
      </c>
      <c r="D4" s="41" t="inlineStr">
        <is>
          <t>What compliance standards must the infrastructure meet?</t>
        </is>
      </c>
      <c r="E4" s="41" t="inlineStr">
        <is>
          <t>Common standards: SOC 2, ISO 27001, PCI DSS, HIPAA, FedRAMP, GDPR</t>
        </is>
      </c>
      <c r="F4" s="40" t="n"/>
      <c r="G4" s="41" t="inlineStr">
        <is>
          <t>Compliance controls and audit requirements</t>
        </is>
      </c>
    </row>
    <row r="5">
      <c r="A5" s="39" t="inlineStr">
        <is>
          <t>SEC-004</t>
        </is>
      </c>
      <c r="B5" s="39" t="inlineStr">
        <is>
          <t>Security &amp; Compliance</t>
        </is>
      </c>
      <c r="C5" s="39" t="inlineStr">
        <is>
          <t>Access Control</t>
        </is>
      </c>
      <c r="D5" s="39" t="inlineStr">
        <is>
          <t>What authentication and authorization requirements apply?</t>
        </is>
      </c>
      <c r="E5" s="39" t="inlineStr">
        <is>
          <t>Options: vCenter local accounts, Active Directory/LDAP, vSphere SSO, MFA, Certificate-based, RBAC roles</t>
        </is>
      </c>
      <c r="F5" s="40" t="n"/>
      <c r="G5" s="39" t="inlineStr">
        <is>
          <t>Identity and access management requirements</t>
        </is>
      </c>
    </row>
    <row r="6">
      <c r="A6" s="41" t="inlineStr">
        <is>
          <t>SEC-005</t>
        </is>
      </c>
      <c r="B6" s="41" t="inlineStr">
        <is>
          <t>Security &amp; Compliance</t>
        </is>
      </c>
      <c r="C6" s="41" t="inlineStr">
        <is>
          <t>Audit Logging</t>
        </is>
      </c>
      <c r="D6" s="41" t="inlineStr">
        <is>
          <t>What audit and compliance logging is required?</t>
        </is>
      </c>
      <c r="E6" s="41" t="inlineStr">
        <is>
          <t>Requirements: vCenter audit logs, vSAN event logs, VM access logs, SIEM integration (Splunk QRadar), Retention (1 year 3 years 7 years)</t>
        </is>
      </c>
      <c r="F6" s="40" t="n"/>
      <c r="G6" s="41" t="inlineStr">
        <is>
          <t>Audit trail and compliance reporting needs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OPS-001</t>
        </is>
      </c>
      <c r="B2" s="41" t="inlineStr">
        <is>
          <t>Operations &amp; Support</t>
        </is>
      </c>
      <c r="C2" s="41" t="inlineStr">
        <is>
          <t>Physical Location</t>
        </is>
      </c>
      <c r="D2" s="41" t="inlineStr">
        <is>
          <t>Where will VxRail be deployed?</t>
        </is>
      </c>
      <c r="E2" s="41" t="inlineStr">
        <is>
          <t>Options: On-premises data center, Colocation facility, Branch office, ROBO (remote office), Multi-site</t>
        </is>
      </c>
      <c r="F2" s="40" t="n"/>
      <c r="G2" s="41" t="inlineStr">
        <is>
          <t>Physical deployment location</t>
        </is>
      </c>
    </row>
    <row r="3">
      <c r="A3" s="39" t="inlineStr">
        <is>
          <t>OPS-002</t>
        </is>
      </c>
      <c r="B3" s="39" t="inlineStr">
        <is>
          <t>Operations &amp; Support</t>
        </is>
      </c>
      <c r="C3" s="39" t="inlineStr">
        <is>
          <t>Power &amp; Cooling</t>
        </is>
      </c>
      <c r="D3" s="39" t="inlineStr">
        <is>
          <t>What power and cooling capacity is available?</t>
        </is>
      </c>
      <c r="E3" s="39" t="inlineStr">
        <is>
          <t>VxRail 4-node cluster: ~12-16kW (3-4kW per node). Ensure adequate 208/240V circuits and HVAC cooling capacity</t>
        </is>
      </c>
      <c r="F3" s="40" t="n"/>
      <c r="G3" s="39" t="inlineStr">
        <is>
          <t>Electrical infrastructure and thermal management</t>
        </is>
      </c>
    </row>
    <row r="4">
      <c r="A4" s="41" t="inlineStr">
        <is>
          <t>OPS-003</t>
        </is>
      </c>
      <c r="B4" s="41" t="inlineStr">
        <is>
          <t>Operations &amp; Support</t>
        </is>
      </c>
      <c r="C4" s="41" t="inlineStr">
        <is>
          <t>Rack Space</t>
        </is>
      </c>
      <c r="D4" s="41" t="inlineStr">
        <is>
          <t>How much rack space is available?</t>
        </is>
      </c>
      <c r="E4" s="41" t="inlineStr">
        <is>
          <t>VxRail nodes: 2U per node (4-node = 8U, 8-node = 16U). Include ToR switches (2U) and UPS. Plan 12-20U total</t>
        </is>
      </c>
      <c r="F4" s="40" t="n"/>
      <c r="G4" s="41" t="inlineStr">
        <is>
          <t>Physical space and rack elevation planning</t>
        </is>
      </c>
    </row>
    <row r="5">
      <c r="A5" s="39" t="inlineStr">
        <is>
          <t>OPS-004</t>
        </is>
      </c>
      <c r="B5" s="39" t="inlineStr">
        <is>
          <t>Operations &amp; Support</t>
        </is>
      </c>
      <c r="C5" s="39" t="inlineStr">
        <is>
          <t>Virtualization Team</t>
        </is>
      </c>
      <c r="D5" s="39" t="inlineStr">
        <is>
          <t>How many virtualization administrators manage VMware?</t>
        </is>
      </c>
      <c r="E5" s="39" t="inlineStr">
        <is>
          <t>Team size: 1-2 admins (small), 3-5 admins (medium), 6+ admins (large enterprise)</t>
        </is>
      </c>
      <c r="F5" s="40" t="n"/>
      <c r="G5" s="39" t="inlineStr">
        <is>
          <t>Support team size and training requirements</t>
        </is>
      </c>
    </row>
    <row r="6">
      <c r="A6" s="41" t="inlineStr">
        <is>
          <t>OPS-005</t>
        </is>
      </c>
      <c r="B6" s="41" t="inlineStr">
        <is>
          <t>Operations &amp; Support</t>
        </is>
      </c>
      <c r="C6" s="41" t="inlineStr">
        <is>
          <t>vSphere Expertise</t>
        </is>
      </c>
      <c r="D6" s="41" t="inlineStr">
        <is>
          <t>What is your team's experience with VMware vSphere?</t>
        </is>
      </c>
      <c r="E6" s="41" t="inlineStr">
        <is>
          <t>Experience: Basic (vCenter GUI), Intermediate (vMotion DRS HA), Advanced (optimization troubleshooting), Expert (VCAP/VCDX)</t>
        </is>
      </c>
      <c r="F6" s="40" t="n"/>
      <c r="G6" s="41" t="inlineStr">
        <is>
          <t>vSphere skill level and training needs</t>
        </is>
      </c>
    </row>
    <row r="7">
      <c r="A7" s="39" t="inlineStr">
        <is>
          <t>OPS-006</t>
        </is>
      </c>
      <c r="B7" s="39" t="inlineStr">
        <is>
          <t>Operations &amp; Support</t>
        </is>
      </c>
      <c r="C7" s="39" t="inlineStr">
        <is>
          <t>vSAN Experience</t>
        </is>
      </c>
      <c r="D7" s="39" t="inlineStr">
        <is>
          <t>What is your team's experience with VMware vSAN?</t>
        </is>
      </c>
      <c r="E7" s="39" t="inlineStr">
        <is>
          <t>Experience: None (SAN only), Basic (vSAN concepts), Intermediate (vSAN administration), Advanced (performance tuning troubleshooting)</t>
        </is>
      </c>
      <c r="F7" s="40" t="n"/>
      <c r="G7" s="39" t="inlineStr">
        <is>
          <t>vSAN training needs assessment</t>
        </is>
      </c>
    </row>
    <row r="8">
      <c r="A8" s="41" t="inlineStr">
        <is>
          <t>OPS-007</t>
        </is>
      </c>
      <c r="B8" s="41" t="inlineStr">
        <is>
          <t>Operations &amp; Support</t>
        </is>
      </c>
      <c r="C8" s="41" t="inlineStr">
        <is>
          <t>Availability</t>
        </is>
      </c>
      <c r="D8" s="41" t="inlineStr">
        <is>
          <t>What uptime requirements do you have for virtual infrastructure?</t>
        </is>
      </c>
      <c r="E8" s="41" t="inlineStr">
        <is>
          <t>SLA: Best-effort 99% (no HA), Business 99.9% (N+1 HA), Mission-critical 99.99% (N+2 or stretched cluster)</t>
        </is>
      </c>
      <c r="F8" s="40" t="n"/>
      <c r="G8" s="41" t="inlineStr">
        <is>
          <t>High availability and redundancy requirements</t>
        </is>
      </c>
    </row>
    <row r="9">
      <c r="A9" s="39" t="inlineStr">
        <is>
          <t>OPS-008</t>
        </is>
      </c>
      <c r="B9" s="39" t="inlineStr">
        <is>
          <t>Operations &amp; Support</t>
        </is>
      </c>
      <c r="C9" s="39" t="inlineStr">
        <is>
          <t>Maintenance Windows</t>
        </is>
      </c>
      <c r="D9" s="39" t="inlineStr">
        <is>
          <t>What maintenance windows are acceptable for updates?</t>
        </is>
      </c>
      <c r="E9" s="39" t="inlineStr">
        <is>
          <t>Change windows: Monthly patching window, Quarterly updates, Annual hardware refresh, Zero-downtime (rolling upgrades)</t>
        </is>
      </c>
      <c r="F9" s="40" t="n"/>
      <c r="G9" s="39" t="inlineStr">
        <is>
          <t>Change management and VxRail Lifecycle Manager</t>
        </is>
      </c>
    </row>
    <row r="10">
      <c r="A10" s="41" t="inlineStr">
        <is>
          <t>OPS-009</t>
        </is>
      </c>
      <c r="B10" s="41" t="inlineStr">
        <is>
          <t>Operations &amp; Support</t>
        </is>
      </c>
      <c r="C10" s="41" t="inlineStr">
        <is>
          <t>Monitoring</t>
        </is>
      </c>
      <c r="D10" s="41" t="inlineStr">
        <is>
          <t>What monitoring and alerting is required?</t>
        </is>
      </c>
      <c r="E10" s="41" t="inlineStr">
        <is>
          <t>Monitoring: vCenter alarms, vRealize Operations, vSAN health checks, Dell OpenManage, Email/SNMP alerts</t>
        </is>
      </c>
      <c r="F10" s="40" t="n"/>
      <c r="G10" s="41" t="inlineStr">
        <is>
          <t>Monitoring and observability requirements</t>
        </is>
      </c>
    </row>
    <row r="11">
      <c r="A11" s="39" t="inlineStr">
        <is>
          <t>OPS-010</t>
        </is>
      </c>
      <c r="B11" s="39" t="inlineStr">
        <is>
          <t>Operations &amp; Support</t>
        </is>
      </c>
      <c r="C11" s="39" t="inlineStr">
        <is>
          <t>Support Coverage</t>
        </is>
      </c>
      <c r="D11" s="39" t="inlineStr">
        <is>
          <t>What support coverage do you require from Dell?</t>
        </is>
      </c>
      <c r="E11" s="39" t="inlineStr">
        <is>
          <t>Options: ProSupport (NBD), ProSupport Plus (4-hour), Mission Critical (2-hour with TAM), 24x7 phone support</t>
        </is>
      </c>
      <c r="F11" s="40" t="n"/>
      <c r="G11" s="39" t="inlineStr">
        <is>
          <t>Dell support contract level selection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IMPL-001</t>
        </is>
      </c>
      <c r="B2" s="41" t="inlineStr">
        <is>
          <t>Implementation Planning</t>
        </is>
      </c>
      <c r="C2" s="41" t="inlineStr">
        <is>
          <t>Resources</t>
        </is>
      </c>
      <c r="D2" s="41" t="inlineStr">
        <is>
          <t>Who will be the technical lead for VxRail deployment?</t>
        </is>
      </c>
      <c r="E2" s="41" t="inlineStr">
        <is>
          <t>Name, role, contact information (Virtualization Manager, Infrastructure Architect)</t>
        </is>
      </c>
      <c r="F2" s="40" t="n"/>
      <c r="G2" s="41" t="inlineStr">
        <is>
          <t>Technical ownership and project management</t>
        </is>
      </c>
    </row>
    <row r="3">
      <c r="A3" s="39" t="inlineStr">
        <is>
          <t>IMPL-002</t>
        </is>
      </c>
      <c r="B3" s="39" t="inlineStr">
        <is>
          <t>Implementation Planning</t>
        </is>
      </c>
      <c r="C3" s="39" t="inlineStr">
        <is>
          <t>Team Availability</t>
        </is>
      </c>
      <c r="D3" s="39" t="inlineStr">
        <is>
          <t>What internal resources are available for deployment and migration?</t>
        </is>
      </c>
      <c r="E3" s="39" t="inlineStr">
        <is>
          <t>List team members, roles, and time commitment (hours per week)</t>
        </is>
      </c>
      <c r="F3" s="40" t="n"/>
      <c r="G3" s="39" t="inlineStr">
        <is>
          <t>Resource planning and timeline feasibility</t>
        </is>
      </c>
    </row>
    <row r="4">
      <c r="A4" s="41" t="inlineStr">
        <is>
          <t>IMPL-003</t>
        </is>
      </c>
      <c r="B4" s="41" t="inlineStr">
        <is>
          <t>Implementation Planning</t>
        </is>
      </c>
      <c r="C4" s="41" t="inlineStr">
        <is>
          <t>ProDeploy</t>
        </is>
      </c>
      <c r="D4" s="41" t="inlineStr">
        <is>
          <t>Do you need Dell ProDeploy services for installation?</t>
        </is>
      </c>
      <c r="E4" s="41" t="inlineStr">
        <is>
          <t>ProDeploy: Rack installation, Cable management, Initial configuration, vSphere setup, Knowledge transfer. Recommended for first VxRail deployment</t>
        </is>
      </c>
      <c r="F4" s="40" t="n"/>
      <c r="G4" s="41" t="inlineStr">
        <is>
          <t>Professional services and on-site support needs</t>
        </is>
      </c>
    </row>
    <row r="5">
      <c r="A5" s="39" t="inlineStr">
        <is>
          <t>IMPL-004</t>
        </is>
      </c>
      <c r="B5" s="39" t="inlineStr">
        <is>
          <t>Implementation Planning</t>
        </is>
      </c>
      <c r="C5" s="39" t="inlineStr">
        <is>
          <t>Pilot Workloads</t>
        </is>
      </c>
      <c r="D5" s="39" t="inlineStr">
        <is>
          <t>What pilot VMs or applications will validate VxRail performance?</t>
        </is>
      </c>
      <c r="E5" s="39" t="inlineStr">
        <is>
          <t>Pilot selection: Non-critical VMs (file servers), Dev/test environment, Specific application tier, 10-20% of total VMs</t>
        </is>
      </c>
      <c r="F5" s="40" t="n"/>
      <c r="G5" s="39" t="inlineStr">
        <is>
          <t>Pilot testing and validation approach</t>
        </is>
      </c>
    </row>
    <row r="6">
      <c r="A6" s="41" t="inlineStr">
        <is>
          <t>IMPL-005</t>
        </is>
      </c>
      <c r="B6" s="41" t="inlineStr">
        <is>
          <t>Implementation Planning</t>
        </is>
      </c>
      <c r="C6" s="41" t="inlineStr">
        <is>
          <t>Migration Method</t>
        </is>
      </c>
      <c r="D6" s="41" t="inlineStr">
        <is>
          <t>What migration method do you prefer for VMs?</t>
        </is>
      </c>
      <c r="E6" s="41" t="inlineStr">
        <is>
          <t>Options: vMotion (zero-downtime for VMware VMs), Cold migration (shutdown and move), Backup and restore, New builds</t>
        </is>
      </c>
      <c r="F6" s="40" t="n"/>
      <c r="G6" s="41" t="inlineStr">
        <is>
          <t>Migration approach and downtime tolerance</t>
        </is>
      </c>
    </row>
    <row r="7">
      <c r="A7" s="39" t="inlineStr">
        <is>
          <t>IMPL-006</t>
        </is>
      </c>
      <c r="B7" s="39" t="inlineStr">
        <is>
          <t>Implementation Planning</t>
        </is>
      </c>
      <c r="C7" s="39" t="inlineStr">
        <is>
          <t>SAN Decommission</t>
        </is>
      </c>
      <c r="D7" s="39" t="inlineStr">
        <is>
          <t>When will legacy SAN be decommissioned?</t>
        </is>
      </c>
      <c r="E7" s="39" t="inlineStr">
        <is>
          <t>Timing: Immediately after migration, Parallel run for 30 days, Keep SAN for secondary storage, Retire after VxRail proven</t>
        </is>
      </c>
      <c r="F7" s="40" t="n"/>
      <c r="G7" s="39" t="inlineStr">
        <is>
          <t>Legacy infrastructure retirement timeline</t>
        </is>
      </c>
    </row>
    <row r="8">
      <c r="A8" s="41" t="inlineStr">
        <is>
          <t>IMPL-007</t>
        </is>
      </c>
      <c r="B8" s="41" t="inlineStr">
        <is>
          <t>Implementation Planning</t>
        </is>
      </c>
      <c r="C8" s="41" t="inlineStr">
        <is>
          <t>Training</t>
        </is>
      </c>
      <c r="D8" s="41" t="inlineStr">
        <is>
          <t>What training will be needed for virtualization team?</t>
        </is>
      </c>
      <c r="E8" s="41" t="inlineStr">
        <is>
          <t>Training: vSphere 8.0 (if upgrading), vSAN administration, VxRail Lifecycle Manager, Troubleshooting and optimization</t>
        </is>
      </c>
      <c r="F8" s="40" t="n"/>
      <c r="G8" s="41" t="inlineStr">
        <is>
          <t>Knowledge transfer scope and timeline</t>
        </is>
      </c>
    </row>
    <row r="9">
      <c r="A9" s="39" t="inlineStr">
        <is>
          <t>IMPL-008</t>
        </is>
      </c>
      <c r="B9" s="39" t="inlineStr">
        <is>
          <t>Implementation Planning</t>
        </is>
      </c>
      <c r="C9" s="39" t="inlineStr">
        <is>
          <t>Documentation</t>
        </is>
      </c>
      <c r="D9" s="39" t="inlineStr">
        <is>
          <t>What documentation is required for handover?</t>
        </is>
      </c>
      <c r="E9" s="39" t="inlineStr">
        <is>
          <t>Deliverables: Architecture diagram (network storage compute), IP address plan, vSphere configuration, Runbooks, Troubleshooting guides</t>
        </is>
      </c>
      <c r="F9" s="40" t="n"/>
      <c r="G9" s="39" t="inlineStr">
        <is>
          <t>Documentation requirements</t>
        </is>
      </c>
    </row>
    <row r="10">
      <c r="A10" s="41" t="inlineStr">
        <is>
          <t>IMPL-009</t>
        </is>
      </c>
      <c r="B10" s="41" t="inlineStr">
        <is>
          <t>Implementation Planning</t>
        </is>
      </c>
      <c r="C10" s="41" t="inlineStr">
        <is>
          <t>Testing</t>
        </is>
      </c>
      <c r="D10" s="41" t="inlineStr">
        <is>
          <t>What testing is required before production migration?</t>
        </is>
      </c>
      <c r="E10" s="41" t="inlineStr">
        <is>
          <t>Testing: vSAN performance (IOmeter), vMotion validation, HA failover, Backup and restore, Application performance</t>
        </is>
      </c>
      <c r="F10" s="40" t="n"/>
      <c r="G10" s="41" t="inlineStr">
        <is>
          <t>Acceptance testing criteria</t>
        </is>
      </c>
    </row>
    <row r="11">
      <c r="A11" s="39" t="inlineStr">
        <is>
          <t>IMPL-010</t>
        </is>
      </c>
      <c r="B11" s="39" t="inlineStr">
        <is>
          <t>Implementation Planning</t>
        </is>
      </c>
      <c r="C11" s="39" t="inlineStr">
        <is>
          <t>Go-Live Criteria</t>
        </is>
      </c>
      <c r="D11" s="39" t="inlineStr">
        <is>
          <t>What criteria must be met before VxRail is production-ready?</t>
        </is>
      </c>
      <c r="E11" s="39" t="inlineStr">
        <is>
          <t>Examples: Pilot VMs performing well, Team trained, Backup operational, Monitoring configured, 99.9% uptime demonstrated</t>
        </is>
      </c>
      <c r="F11" s="40" t="n"/>
      <c r="G11" s="39" t="inlineStr">
        <is>
          <t>Acceptance criteria and project closure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25" customWidth="1" min="3" max="3"/>
    <col width="50" customWidth="1" min="4" max="4"/>
    <col width="40" customWidth="1" min="5" max="5"/>
    <col width="40" customWidth="1" min="6" max="6"/>
    <col width="30" customWidth="1" min="7" max="7"/>
  </cols>
  <sheetData>
    <row r="1" ht="32" customHeight="1">
      <c r="A1" s="38" t="inlineStr">
        <is>
          <t>Question ID</t>
        </is>
      </c>
      <c r="B1" s="38" t="inlineStr">
        <is>
          <t>Category</t>
        </is>
      </c>
      <c r="C1" s="38" t="inlineStr">
        <is>
          <t>Sub-Category</t>
        </is>
      </c>
      <c r="D1" s="38" t="inlineStr">
        <is>
          <t>Question</t>
        </is>
      </c>
      <c r="E1" s="38" t="inlineStr">
        <is>
          <t>Guidance</t>
        </is>
      </c>
      <c r="F1" s="38" t="inlineStr">
        <is>
          <t>Customer Response</t>
        </is>
      </c>
      <c r="G1" s="38" t="inlineStr">
        <is>
          <t>Notes</t>
        </is>
      </c>
    </row>
    <row r="2">
      <c r="A2" s="41" t="inlineStr">
        <is>
          <t>RISK-001</t>
        </is>
      </c>
      <c r="B2" s="41" t="inlineStr">
        <is>
          <t>Risk &amp; Constraints</t>
        </is>
      </c>
      <c r="C2" s="41" t="inlineStr">
        <is>
          <t>vSAN Concern</t>
        </is>
      </c>
      <c r="D2" s="41" t="inlineStr">
        <is>
          <t>What are your concerns about transitioning from SAN to vSAN?</t>
        </is>
      </c>
      <c r="E2" s="41" t="inlineStr">
        <is>
          <t>Common concerns: vSAN maturity and stability, Performance vs dedicated SAN, Learning curve for team, Vendor lock-in (VMware)</t>
        </is>
      </c>
      <c r="F2" s="40" t="n"/>
      <c r="G2" s="41" t="inlineStr">
        <is>
          <t>Primary concerns and risk mitigation</t>
        </is>
      </c>
    </row>
    <row r="3">
      <c r="A3" s="39" t="inlineStr">
        <is>
          <t>RISK-002</t>
        </is>
      </c>
      <c r="B3" s="39" t="inlineStr">
        <is>
          <t>Risk &amp; Constraints</t>
        </is>
      </c>
      <c r="C3" s="39" t="inlineStr">
        <is>
          <t>Capacity Planning</t>
        </is>
      </c>
      <c r="D3" s="39" t="inlineStr">
        <is>
          <t>What if you need more capacity than initially deployed?</t>
        </is>
      </c>
      <c r="E3" s="39" t="inlineStr">
        <is>
          <t>Options: Add VxRail nodes non-disruptively (up to 64-node cluster), Add capacity-only nodes, Separate cluster for new workloads</t>
        </is>
      </c>
      <c r="F3" s="40" t="n"/>
      <c r="G3" s="39" t="inlineStr">
        <is>
          <t>Scalability constraints and expansion strategy</t>
        </is>
      </c>
    </row>
    <row r="4">
      <c r="A4" s="41" t="inlineStr">
        <is>
          <t>RISK-003</t>
        </is>
      </c>
      <c r="B4" s="41" t="inlineStr">
        <is>
          <t>Risk &amp; Constraints</t>
        </is>
      </c>
      <c r="C4" s="41" t="inlineStr">
        <is>
          <t>Node Failure</t>
        </is>
      </c>
      <c r="D4" s="41" t="inlineStr">
        <is>
          <t>What is your tolerance for hardware node failures?</t>
        </is>
      </c>
      <c r="E4" s="41" t="inlineStr">
        <is>
          <t>VxRail N+1: Tolerate 1 node failure. N+2: Tolerate 2 concurrent failures. Assess impact on performance and capacity</t>
        </is>
      </c>
      <c r="F4" s="40" t="n"/>
      <c r="G4" s="41" t="inlineStr">
        <is>
          <t>Failure mode analysis and HA design</t>
        </is>
      </c>
    </row>
    <row r="5">
      <c r="A5" s="39" t="inlineStr">
        <is>
          <t>RISK-004</t>
        </is>
      </c>
      <c r="B5" s="39" t="inlineStr">
        <is>
          <t>Risk &amp; Constraints</t>
        </is>
      </c>
      <c r="C5" s="39" t="inlineStr">
        <is>
          <t>Migration Risk</t>
        </is>
      </c>
      <c r="D5" s="39" t="inlineStr">
        <is>
          <t>What is your biggest concern about VM migration to VxRail?</t>
        </is>
      </c>
      <c r="E5" s="39" t="inlineStr">
        <is>
          <t>Common: Downtime impact, Application compatibility, Performance regressions, Data loss risk, Rollback procedures</t>
        </is>
      </c>
      <c r="F5" s="40" t="n"/>
      <c r="G5" s="39" t="inlineStr">
        <is>
          <t>Migration risk and contingency planning</t>
        </is>
      </c>
    </row>
    <row r="6">
      <c r="A6" s="41" t="inlineStr">
        <is>
          <t>RISK-005</t>
        </is>
      </c>
      <c r="B6" s="41" t="inlineStr">
        <is>
          <t>Risk &amp; Constraints</t>
        </is>
      </c>
      <c r="C6" s="41" t="inlineStr">
        <is>
          <t>Skills Gap</t>
        </is>
      </c>
      <c r="D6" s="41" t="inlineStr">
        <is>
          <t>What is your biggest concern about managing VxRail?</t>
        </is>
      </c>
      <c r="E6" s="41" t="inlineStr">
        <is>
          <t>Common: vSAN troubleshooting, Performance tuning, Capacity planning, Lifecycle management, Vendor support quality</t>
        </is>
      </c>
      <c r="F6" s="40" t="n"/>
      <c r="G6" s="41" t="inlineStr">
        <is>
          <t>Skill development and external support needs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2025-11-22T22:13:27Z</dcterms:modified>
  <cp:lastModifiedBy>Kishan Siram</cp:lastModifiedBy>
</cp:coreProperties>
</file>