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Assumptions'!$A$2:$G$18</definedName>
    <definedName name="_xlnm._FilterDatabase" localSheetId="2" hidden="1">'Estimate Settings'!$A$2:$D$11</definedName>
    <definedName name="_xlnm._FilterDatabase" localSheetId="3" hidden="1">'LOE'!$A$2:$K$33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165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DELL - Cloud - Vxrail Hyperconverged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Cluster Size</t>
        </is>
      </c>
      <c r="C3" s="39" t="inlineStr">
        <is>
          <t>8-node VxRail P570 all-NVMe cluster</t>
        </is>
      </c>
      <c r="D3" s="38" t="inlineStr">
        <is>
          <t>4-node</t>
        </is>
      </c>
      <c r="E3" s="38" t="inlineStr">
        <is>
          <t>8-node enterprise</t>
        </is>
      </c>
      <c r="F3" s="38" t="inlineStr">
        <is>
          <t>16-node large</t>
        </is>
      </c>
      <c r="G3" s="38" t="inlineStr">
        <is>
          <t>Enterprise cluster scale</t>
        </is>
      </c>
    </row>
    <row r="4" ht="26" customHeight="1">
      <c r="A4" s="40" t="inlineStr">
        <is>
          <t>Solution Scope</t>
        </is>
      </c>
      <c r="B4" s="41" t="inlineStr">
        <is>
          <t>Storage Capacity</t>
        </is>
      </c>
      <c r="C4" s="39" t="inlineStr">
        <is>
          <t>200TB usable all-NVMe</t>
        </is>
      </c>
      <c r="D4" s="41" t="inlineStr">
        <is>
          <t>80TB usable</t>
        </is>
      </c>
      <c r="E4" s="41" t="inlineStr">
        <is>
          <t>200TB usable</t>
        </is>
      </c>
      <c r="F4" s="41" t="inlineStr">
        <is>
          <t>400TB+ usable</t>
        </is>
      </c>
      <c r="G4" s="41" t="inlineStr">
        <is>
          <t>High-performance NVMe storage</t>
        </is>
      </c>
    </row>
    <row r="5" ht="26" customHeight="1">
      <c r="A5" s="37" t="inlineStr">
        <is>
          <t>Integration</t>
        </is>
      </c>
      <c r="B5" s="38" t="inlineStr">
        <is>
          <t>vSphere Stack</t>
        </is>
      </c>
      <c r="C5" s="39" t="inlineStr">
        <is>
          <t>vSphere 8 Enterprise Plus with NSX</t>
        </is>
      </c>
      <c r="D5" s="38" t="inlineStr">
        <is>
          <t>vSphere only</t>
        </is>
      </c>
      <c r="E5" s="38" t="inlineStr">
        <is>
          <t>vSphere + NSX</t>
        </is>
      </c>
      <c r="F5" s="38" t="inlineStr">
        <is>
          <t>vSphere NSX vRealize Suite</t>
        </is>
      </c>
      <c r="G5" s="38" t="inlineStr">
        <is>
          <t>VMware enterprise stack</t>
        </is>
      </c>
    </row>
    <row r="6" ht="26" customHeight="1">
      <c r="A6" s="40" t="inlineStr">
        <is>
          <t>Integration</t>
        </is>
      </c>
      <c r="B6" s="41" t="inlineStr">
        <is>
          <t>DR Solution</t>
        </is>
      </c>
      <c r="C6" s="39" t="inlineStr">
        <is>
          <t>VMware SRM with RecoverPoint for VMs</t>
        </is>
      </c>
      <c r="D6" s="41" t="inlineStr">
        <is>
          <t>No DR</t>
        </is>
      </c>
      <c r="E6" s="41" t="inlineStr">
        <is>
          <t>SRM replication</t>
        </is>
      </c>
      <c r="F6" s="41" t="inlineStr">
        <is>
          <t>Multi-site HA stretched cluster</t>
        </is>
      </c>
      <c r="G6" s="41" t="inlineStr">
        <is>
          <t>Disaster recovery complexity</t>
        </is>
      </c>
    </row>
    <row r="7" ht="26" customHeight="1">
      <c r="A7" s="37" t="inlineStr">
        <is>
          <t>User Base</t>
        </is>
      </c>
      <c r="B7" s="38" t="inlineStr">
        <is>
          <t>VM Count</t>
        </is>
      </c>
      <c r="C7" s="39" t="inlineStr">
        <is>
          <t>800 VMs including mission-critical databases</t>
        </is>
      </c>
      <c r="D7" s="38" t="inlineStr">
        <is>
          <t>250 VMs</t>
        </is>
      </c>
      <c r="E7" s="38" t="inlineStr">
        <is>
          <t>800 VMs</t>
        </is>
      </c>
      <c r="F7" s="38" t="inlineStr">
        <is>
          <t>1500+ VMs</t>
        </is>
      </c>
      <c r="G7" s="38" t="inlineStr">
        <is>
          <t>Enterprise VM scale</t>
        </is>
      </c>
    </row>
    <row r="8" ht="26" customHeight="1">
      <c r="A8" s="40" t="inlineStr">
        <is>
          <t>User Base</t>
        </is>
      </c>
      <c r="B8" s="41" t="inlineStr">
        <is>
          <t>Database Workloads</t>
        </is>
      </c>
      <c r="C8" s="39" t="inlineStr">
        <is>
          <t>Oracle RAC SQL Always-On SAP HANA</t>
        </is>
      </c>
      <c r="D8" s="41" t="inlineStr">
        <is>
          <t>No databases</t>
        </is>
      </c>
      <c r="E8" s="41" t="inlineStr">
        <is>
          <t>Standard databases</t>
        </is>
      </c>
      <c r="F8" s="41" t="inlineStr">
        <is>
          <t>Mission-critical Tier 1</t>
        </is>
      </c>
      <c r="G8" s="41" t="inlineStr">
        <is>
          <t>Database performance requirements</t>
        </is>
      </c>
    </row>
    <row r="9" ht="26" customHeight="1">
      <c r="A9" s="37" t="inlineStr">
        <is>
          <t>Data Volume</t>
        </is>
      </c>
      <c r="B9" s="38" t="inlineStr">
        <is>
          <t>Storage Type</t>
        </is>
      </c>
      <c r="C9" s="39" t="inlineStr">
        <is>
          <t>All-NVMe 30.72TB per node</t>
        </is>
      </c>
      <c r="D9" s="38" t="inlineStr">
        <is>
          <t>Hybrid or all-flash SSD</t>
        </is>
      </c>
      <c r="E9" s="38" t="inlineStr">
        <is>
          <t>All-NVMe performance</t>
        </is>
      </c>
      <c r="F9" s="38" t="inlineStr">
        <is>
          <t>NVMe with RAID-6</t>
        </is>
      </c>
      <c r="G9" s="38" t="inlineStr">
        <is>
          <t>Enterprise performance tier</t>
        </is>
      </c>
    </row>
    <row r="10" ht="26" customHeight="1">
      <c r="A10" s="40" t="inlineStr">
        <is>
          <t>Data Volume</t>
        </is>
      </c>
      <c r="B10" s="41" t="inlineStr">
        <is>
          <t>IOPS Requirements</t>
        </is>
      </c>
      <c r="C10" s="39" t="inlineStr">
        <is>
          <t>100000+ IOPS cluster aggregate</t>
        </is>
      </c>
      <c r="D10" s="41" t="inlineStr">
        <is>
          <t>10K IOPS</t>
        </is>
      </c>
      <c r="E10" s="41" t="inlineStr">
        <is>
          <t>100K IOPS</t>
        </is>
      </c>
      <c r="F10" s="41" t="inlineStr">
        <is>
          <t>200K+ IOPS</t>
        </is>
      </c>
      <c r="G10" s="41" t="inlineStr">
        <is>
          <t>Mission-critical performance SLA</t>
        </is>
      </c>
    </row>
    <row r="11" ht="26" customHeight="1">
      <c r="A11" s="37" t="inlineStr">
        <is>
          <t>Technical Environment</t>
        </is>
      </c>
      <c r="B11" s="38" t="inlineStr">
        <is>
          <t>Current Infrastructure</t>
        </is>
      </c>
      <c r="C11" s="39" t="inlineStr">
        <is>
          <t>EMC VMAX or NetApp enterprise SAN</t>
        </is>
      </c>
      <c r="D11" s="38" t="inlineStr">
        <is>
          <t>Mid-range SAN</t>
        </is>
      </c>
      <c r="E11" s="38" t="inlineStr">
        <is>
          <t>Enterprise SAN</t>
        </is>
      </c>
      <c r="F11" s="38" t="inlineStr">
        <is>
          <t>Multi-array legacy</t>
        </is>
      </c>
      <c r="G11" s="38" t="inlineStr">
        <is>
          <t>Migration complexity from Tier 1 storage</t>
        </is>
      </c>
    </row>
    <row r="12" ht="26" customHeight="1">
      <c r="A12" s="40" t="inlineStr">
        <is>
          <t>Technical Environment</t>
        </is>
      </c>
      <c r="B12" s="41" t="inlineStr">
        <is>
          <t>Network Fabric</t>
        </is>
      </c>
      <c r="C12" s="39" t="inlineStr">
        <is>
          <t>100GbE spine-leaf network</t>
        </is>
      </c>
      <c r="D12" s="41" t="inlineStr">
        <is>
          <t>25GbE network</t>
        </is>
      </c>
      <c r="E12" s="41" t="inlineStr">
        <is>
          <t>100GbE fabric</t>
        </is>
      </c>
      <c r="F12" s="41" t="inlineStr">
        <is>
          <t>Multi-site WAN connectivity</t>
        </is>
      </c>
      <c r="G12" s="41" t="inlineStr">
        <is>
          <t>Enterprise network requirements</t>
        </is>
      </c>
    </row>
    <row r="13" ht="26" customHeight="1">
      <c r="A13" s="37" t="inlineStr">
        <is>
          <t>Technical Environment</t>
        </is>
      </c>
      <c r="B13" s="38" t="inlineStr">
        <is>
          <t>vSAN Features</t>
        </is>
      </c>
      <c r="C13" s="39" t="inlineStr">
        <is>
          <t>FTT=2 RAID-6 erasure coding</t>
        </is>
      </c>
      <c r="D13" s="38" t="inlineStr">
        <is>
          <t>FTT=1 mirroring</t>
        </is>
      </c>
      <c r="E13" s="38" t="inlineStr">
        <is>
          <t>FTT=2 RAID-6</t>
        </is>
      </c>
      <c r="F13" s="38" t="inlineStr">
        <is>
          <t>Stretched cluster multi-site</t>
        </is>
      </c>
      <c r="G13" s="38" t="inlineStr">
        <is>
          <t>Advanced vSAN features</t>
        </is>
      </c>
    </row>
    <row r="14" ht="26" customHeight="1">
      <c r="A14" s="40" t="inlineStr">
        <is>
          <t>Security &amp; Compliance</t>
        </is>
      </c>
      <c r="B14" s="41" t="inlineStr">
        <is>
          <t>Compliance</t>
        </is>
      </c>
      <c r="C14" s="39" t="inlineStr">
        <is>
          <t>Mission-critical with SOC 2 ISO 27001</t>
        </is>
      </c>
      <c r="D14" s="41" t="inlineStr">
        <is>
          <t>Standard compliance</t>
        </is>
      </c>
      <c r="E14" s="41" t="inlineStr">
        <is>
          <t>Enterprise compliance</t>
        </is>
      </c>
      <c r="F14" s="41" t="inlineStr">
        <is>
          <t>Regulated (PCI HIPAA FedRAMP)</t>
        </is>
      </c>
      <c r="G14" s="41" t="inlineStr">
        <is>
          <t>Enterprise compliance requirements</t>
        </is>
      </c>
    </row>
    <row r="15" ht="26" customHeight="1">
      <c r="A15" s="37" t="inlineStr">
        <is>
          <t>Security &amp; Compliance</t>
        </is>
      </c>
      <c r="B15" s="38" t="inlineStr">
        <is>
          <t>Encryption</t>
        </is>
      </c>
      <c r="C15" s="39" t="inlineStr">
        <is>
          <t>vSAN and VM encryption with KMS</t>
        </is>
      </c>
      <c r="D15" s="38" t="inlineStr">
        <is>
          <t>vSAN encryption</t>
        </is>
      </c>
      <c r="E15" s="38" t="inlineStr">
        <is>
          <t>vSAN + VM encryption</t>
        </is>
      </c>
      <c r="F15" s="38" t="inlineStr">
        <is>
          <t>FIPS 140-2 compliance</t>
        </is>
      </c>
      <c r="G15" s="38" t="inlineStr">
        <is>
          <t>Enterprise security controls</t>
        </is>
      </c>
    </row>
    <row r="16" ht="26" customHeight="1">
      <c r="A16" s="40" t="inlineStr">
        <is>
          <t>Performance</t>
        </is>
      </c>
      <c r="B16" s="41" t="inlineStr">
        <is>
          <t>Latency SLA</t>
        </is>
      </c>
      <c r="C16" s="39" t="inlineStr">
        <is>
          <t>&lt;1ms storage latency for databases</t>
        </is>
      </c>
      <c r="D16" s="41" t="inlineStr">
        <is>
          <t>&lt;5ms acceptable</t>
        </is>
      </c>
      <c r="E16" s="41" t="inlineStr">
        <is>
          <t>&lt;1ms target</t>
        </is>
      </c>
      <c r="F16" s="41" t="inlineStr">
        <is>
          <t>Sub-millisecond</t>
        </is>
      </c>
      <c r="G16" s="41" t="inlineStr">
        <is>
          <t>Mission-critical performance SLA</t>
        </is>
      </c>
    </row>
    <row r="17" ht="26" customHeight="1">
      <c r="A17" s="37" t="inlineStr">
        <is>
          <t>Performance</t>
        </is>
      </c>
      <c r="B17" s="38" t="inlineStr">
        <is>
          <t>Availability</t>
        </is>
      </c>
      <c r="C17" s="39" t="inlineStr">
        <is>
          <t>99.99% uptime with N+2 fault tolerance</t>
        </is>
      </c>
      <c r="D17" s="38" t="inlineStr">
        <is>
          <t>99.9% (N+1)</t>
        </is>
      </c>
      <c r="E17" s="38" t="inlineStr">
        <is>
          <t>99.99% (N+2)</t>
        </is>
      </c>
      <c r="F17" s="38" t="inlineStr">
        <is>
          <t>99.999% stretched cluster</t>
        </is>
      </c>
      <c r="G17" s="38" t="inlineStr">
        <is>
          <t>Enterprise availability SLA</t>
        </is>
      </c>
    </row>
    <row r="18" ht="26" customHeight="1">
      <c r="A18" s="40" t="inlineStr">
        <is>
          <t>Environment</t>
        </is>
      </c>
      <c r="B18" s="41" t="inlineStr">
        <is>
          <t>DR Requirements</t>
        </is>
      </c>
      <c r="C18" s="39" t="inlineStr">
        <is>
          <t>RPO &lt;5 min RTO &lt;15 min with SRM</t>
        </is>
      </c>
      <c r="D18" s="41" t="inlineStr">
        <is>
          <t>No DR</t>
        </is>
      </c>
      <c r="E18" s="41" t="inlineStr">
        <is>
          <t>Standard DR</t>
        </is>
      </c>
      <c r="F18" s="41" t="inlineStr">
        <is>
          <t>Mission-critical DR automation</t>
        </is>
      </c>
      <c r="G18" s="41" t="inlineStr">
        <is>
          <t>Disaster recovery SLA</t>
        </is>
      </c>
    </row>
  </sheetData>
  <autoFilter ref="A2:G18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(Database Assessment Enterprise SAN Inventory)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(Enterprise VxRail Design NSX Architecture DR Design)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(VxRail Deployment Database Migration DR Setup)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(Database Performance SLA Validation DR Failover)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(Tier 1 Migration Enterprise Cutover)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(Enterprise Operations NSX Training)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(Enterprise Handover SLA Baseline)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</v>
      </c>
      <c r="D10" s="41" t="inlineStr">
        <is>
          <t>Project Management overhead - 10% of actual engineering hours</t>
        </is>
      </c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</v>
      </c>
      <c r="D11" s="38" t="inlineStr">
        <is>
          <t>Quarterback/Technical Leadership overhead - 10% of actual engineering hours</t>
        </is>
      </c>
    </row>
    <row r="13" ht="20" customHeight="1">
      <c r="A13" s="44" t="inlineStr">
        <is>
          <t>EO Sales Engineer Updates Multipliers Based on Customer Scope</t>
        </is>
      </c>
    </row>
  </sheetData>
  <autoFilter ref="A2:D11"/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Database Assessment</t>
        </is>
      </c>
      <c r="C3" s="46" t="inlineStr">
        <is>
          <t>Assess Oracle RAC SQL Always-On workload requirements</t>
        </is>
      </c>
      <c r="D3" s="46" t="inlineStr">
        <is>
          <t>EO Engineer</t>
        </is>
      </c>
      <c r="E3" s="47" t="n">
        <v>40</v>
      </c>
      <c r="F3" s="48" t="n">
        <v>1</v>
      </c>
      <c r="G3" s="49">
        <f>E3*F3</f>
        <v/>
      </c>
      <c r="H3" s="50" t="n">
        <v>200</v>
      </c>
      <c r="I3" s="49">
        <f>TEXT(G3*H3,"$#,##0")</f>
        <v/>
      </c>
      <c r="J3" s="46" t="inlineStr"/>
      <c r="K3" s="46" t="inlineStr">
        <is>
          <t>Includes database performance profiling</t>
        </is>
      </c>
    </row>
    <row r="4" ht="26" customHeight="1">
      <c r="A4" s="51" t="inlineStr">
        <is>
          <t>Discovery</t>
        </is>
      </c>
      <c r="B4" s="52" t="inlineStr">
        <is>
          <t>Enterprise SAN Inventory</t>
        </is>
      </c>
      <c r="C4" s="52" t="inlineStr">
        <is>
          <t>Document VMAX/NetApp infrastructure and costs</t>
        </is>
      </c>
      <c r="D4" s="52" t="inlineStr">
        <is>
          <t>EO Engineer</t>
        </is>
      </c>
      <c r="E4" s="53" t="n">
        <v>24</v>
      </c>
      <c r="F4" s="54">
        <f>'Estimate Settings'!$C$3</f>
        <v/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Enterprise SAN baseline and TCO analysis</t>
        </is>
      </c>
    </row>
    <row r="5" ht="26" customHeight="1">
      <c r="A5" s="45" t="inlineStr">
        <is>
          <t>Discovery</t>
        </is>
      </c>
      <c r="B5" s="46" t="inlineStr">
        <is>
          <t>DR Requirements</t>
        </is>
      </c>
      <c r="C5" s="46" t="inlineStr">
        <is>
          <t>Assess disaster recovery RPO RTO requirements</t>
        </is>
      </c>
      <c r="D5" s="46" t="inlineStr">
        <is>
          <t>EO Engineer</t>
        </is>
      </c>
      <c r="E5" s="47" t="n">
        <v>24</v>
      </c>
      <c r="F5" s="57">
        <f>'Estimate Settings'!$C$3</f>
        <v/>
      </c>
      <c r="G5" s="49">
        <f>$E5*$F5</f>
        <v/>
      </c>
      <c r="H5" s="50" t="n">
        <v>200</v>
      </c>
      <c r="I5" s="49">
        <f>TEXT($G5*$H5,"$#,##0")</f>
        <v/>
      </c>
      <c r="J5" s="46" t="inlineStr"/>
      <c r="K5" s="46" t="inlineStr">
        <is>
          <t>DR architecture and SRM design requirements</t>
        </is>
      </c>
    </row>
    <row r="6" ht="26" customHeight="1">
      <c r="A6" s="51" t="inlineStr">
        <is>
          <t>Discovery</t>
        </is>
      </c>
      <c r="B6" s="52" t="inlineStr">
        <is>
          <t>Network Assessment</t>
        </is>
      </c>
      <c r="C6" s="52" t="inlineStr">
        <is>
          <t>Survey 100GbE network fabric and DR site connectivity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175</v>
      </c>
      <c r="I6" s="55">
        <f>TEXT($G6*$H6,"$#,##0")</f>
        <v/>
      </c>
      <c r="J6" s="52" t="inlineStr"/>
      <c r="K6" s="52" t="inlineStr">
        <is>
          <t>Spine-leaf and WAN bandwidth validation</t>
        </is>
      </c>
    </row>
    <row r="7" ht="26" customHeight="1">
      <c r="A7" s="45" t="inlineStr">
        <is>
          <t>Planning</t>
        </is>
      </c>
      <c r="B7" s="46" t="inlineStr">
        <is>
          <t>Enterprise VxRail Design</t>
        </is>
      </c>
      <c r="C7" s="46" t="inlineStr">
        <is>
          <t>Design 8-node VxRail P570 all-NVMe architecture</t>
        </is>
      </c>
      <c r="D7" s="46" t="inlineStr">
        <is>
          <t>EO Engineer</t>
        </is>
      </c>
      <c r="E7" s="47" t="n">
        <v>48</v>
      </c>
      <c r="F7" s="57">
        <f>'Estimate Settings'!$C$4</f>
        <v/>
      </c>
      <c r="G7" s="49">
        <f>$E7*$F7</f>
        <v/>
      </c>
      <c r="H7" s="50" t="n">
        <v>200</v>
      </c>
      <c r="I7" s="49">
        <f>TEXT($G7*$H7,"$#,##0")</f>
        <v/>
      </c>
      <c r="J7" s="46" t="inlineStr">
        <is>
          <t>Database Assessment</t>
        </is>
      </c>
      <c r="K7" s="46" t="inlineStr">
        <is>
          <t>Deliverable: Enterprise architecture with FTT=2</t>
        </is>
      </c>
    </row>
    <row r="8" ht="26" customHeight="1">
      <c r="A8" s="51" t="inlineStr">
        <is>
          <t>Planning</t>
        </is>
      </c>
      <c r="B8" s="52" t="inlineStr">
        <is>
          <t>vSAN FTT=2 Design</t>
        </is>
      </c>
      <c r="C8" s="52" t="inlineStr">
        <is>
          <t>Design RAID-6 erasure coding for enterprise vSAN</t>
        </is>
      </c>
      <c r="D8" s="52" t="inlineStr">
        <is>
          <t>EO Engineer</t>
        </is>
      </c>
      <c r="E8" s="53" t="n">
        <v>24</v>
      </c>
      <c r="F8" s="54">
        <f>'Estimate Settings'!$C$4</f>
        <v/>
      </c>
      <c r="G8" s="55">
        <f>$E8*$F8</f>
        <v/>
      </c>
      <c r="H8" s="56" t="n">
        <v>200</v>
      </c>
      <c r="I8" s="55">
        <f>TEXT($G8*$H8,"$#,##0")</f>
        <v/>
      </c>
      <c r="J8" s="52" t="inlineStr">
        <is>
          <t>Enterprise VxRail Design</t>
        </is>
      </c>
      <c r="K8" s="52" t="inlineStr">
        <is>
          <t>FTT=2 storage policies and capacity planning</t>
        </is>
      </c>
    </row>
    <row r="9" ht="26" customHeight="1">
      <c r="A9" s="45" t="inlineStr">
        <is>
          <t>Planning</t>
        </is>
      </c>
      <c r="B9" s="46" t="inlineStr">
        <is>
          <t>NSX Architecture</t>
        </is>
      </c>
      <c r="C9" s="46" t="inlineStr">
        <is>
          <t>Design NSX Data Center micro-segmentation</t>
        </is>
      </c>
      <c r="D9" s="46" t="inlineStr">
        <is>
          <t>EO Engineer</t>
        </is>
      </c>
      <c r="E9" s="47" t="n">
        <v>32</v>
      </c>
      <c r="F9" s="57">
        <f>'Estimate Settings'!$C$4</f>
        <v/>
      </c>
      <c r="G9" s="49">
        <f>$E9*$F9</f>
        <v/>
      </c>
      <c r="H9" s="50" t="n">
        <v>200</v>
      </c>
      <c r="I9" s="49">
        <f>TEXT($G9*$H9,"$#,##0")</f>
        <v/>
      </c>
      <c r="J9" s="46" t="inlineStr">
        <is>
          <t>Enterprise VxRail Design</t>
        </is>
      </c>
      <c r="K9" s="46" t="inlineStr">
        <is>
          <t>NSX distributed firewall and zero-trust design</t>
        </is>
      </c>
    </row>
    <row r="10" ht="26" customHeight="1">
      <c r="A10" s="51" t="inlineStr">
        <is>
          <t>Planning</t>
        </is>
      </c>
      <c r="B10" s="52" t="inlineStr">
        <is>
          <t>DR Architecture</t>
        </is>
      </c>
      <c r="C10" s="52" t="inlineStr">
        <is>
          <t>Design VMware SRM and RecoverPoint replication</t>
        </is>
      </c>
      <c r="D10" s="52" t="inlineStr">
        <is>
          <t>EO Engineer</t>
        </is>
      </c>
      <c r="E10" s="53" t="n">
        <v>32</v>
      </c>
      <c r="F10" s="54">
        <f>'Estimate Settings'!$C$4</f>
        <v/>
      </c>
      <c r="G10" s="55">
        <f>$E10*$F10</f>
        <v/>
      </c>
      <c r="H10" s="56" t="n">
        <v>200</v>
      </c>
      <c r="I10" s="55">
        <f>TEXT($G10*$H10,"$#,##0")</f>
        <v/>
      </c>
      <c r="J10" s="52" t="inlineStr">
        <is>
          <t>DR Requirements</t>
        </is>
      </c>
      <c r="K10" s="52" t="inlineStr">
        <is>
          <t>SRM failover orchestration and RPO design</t>
        </is>
      </c>
    </row>
    <row r="11" ht="26" customHeight="1">
      <c r="A11" s="45" t="inlineStr">
        <is>
          <t>Development</t>
        </is>
      </c>
      <c r="B11" s="46" t="inlineStr">
        <is>
          <t>VxRail Procurement</t>
        </is>
      </c>
      <c r="C11" s="46" t="inlineStr">
        <is>
          <t>Order VxRail P570 all-NVMe nodes and fabric</t>
        </is>
      </c>
      <c r="D11" s="46" t="inlineStr">
        <is>
          <t>EO Engineer</t>
        </is>
      </c>
      <c r="E11" s="47" t="n">
        <v>16</v>
      </c>
      <c r="F11" s="57">
        <f>'Estimate Settings'!$C$5</f>
        <v/>
      </c>
      <c r="G11" s="49">
        <f>$E11*$F11</f>
        <v/>
      </c>
      <c r="H11" s="50" t="n">
        <v>175</v>
      </c>
      <c r="I11" s="49">
        <f>TEXT($G11*$H11,"$#,##0")</f>
        <v/>
      </c>
      <c r="J11" s="46" t="inlineStr">
        <is>
          <t>Enterprise VxRail Design</t>
        </is>
      </c>
      <c r="K11" s="46" t="inlineStr">
        <is>
          <t>Coordinate Dell Enterprise sales</t>
        </is>
      </c>
    </row>
    <row r="12" ht="26" customHeight="1">
      <c r="A12" s="51" t="inlineStr">
        <is>
          <t>Development</t>
        </is>
      </c>
      <c r="B12" s="52" t="inlineStr">
        <is>
          <t>VxRail Deployment</t>
        </is>
      </c>
      <c r="C12" s="52" t="inlineStr">
        <is>
          <t>Dell ProDeploy Enterprise installation and configuration</t>
        </is>
      </c>
      <c r="D12" s="52" t="inlineStr">
        <is>
          <t>EO Engineer</t>
        </is>
      </c>
      <c r="E12" s="53" t="n">
        <v>64</v>
      </c>
      <c r="F12" s="54">
        <f>'Estimate Settings'!$C$5</f>
        <v/>
      </c>
      <c r="G12" s="55">
        <f>$E12*$F12</f>
        <v/>
      </c>
      <c r="H12" s="56" t="n">
        <v>200</v>
      </c>
      <c r="I12" s="55">
        <f>TEXT($G12*$H12,"$#,##0")</f>
        <v/>
      </c>
      <c r="J12" s="52" t="inlineStr">
        <is>
          <t>VxRail Procurement</t>
        </is>
      </c>
      <c r="K12" s="52" t="inlineStr">
        <is>
          <t>ProDeploy Enterprise on-site deployment</t>
        </is>
      </c>
    </row>
    <row r="13" ht="26" customHeight="1">
      <c r="A13" s="45" t="inlineStr">
        <is>
          <t>Development</t>
        </is>
      </c>
      <c r="B13" s="46" t="inlineStr">
        <is>
          <t>vSphere Enterprise Setup</t>
        </is>
      </c>
      <c r="C13" s="46" t="inlineStr">
        <is>
          <t>Configure vCenter vRealize Operations and logging</t>
        </is>
      </c>
      <c r="D13" s="46" t="inlineStr">
        <is>
          <t>EO Engineer</t>
        </is>
      </c>
      <c r="E13" s="47" t="n">
        <v>40</v>
      </c>
      <c r="F13" s="57">
        <f>'Estimate Settings'!$C$5</f>
        <v/>
      </c>
      <c r="G13" s="49">
        <f>$E13*$F13</f>
        <v/>
      </c>
      <c r="H13" s="50" t="n">
        <v>200</v>
      </c>
      <c r="I13" s="49">
        <f>TEXT($G13*$H13,"$#,##0")</f>
        <v/>
      </c>
      <c r="J13" s="46" t="inlineStr">
        <is>
          <t>VxRail Deployment</t>
        </is>
      </c>
      <c r="K13" s="46" t="inlineStr">
        <is>
          <t>Enterprise management and monitoring platform</t>
        </is>
      </c>
    </row>
    <row r="14" ht="26" customHeight="1">
      <c r="A14" s="51" t="inlineStr">
        <is>
          <t>Development</t>
        </is>
      </c>
      <c r="B14" s="52" t="inlineStr">
        <is>
          <t>vSAN FTT=2 Setup</t>
        </is>
      </c>
      <c r="C14" s="52" t="inlineStr">
        <is>
          <t>Configure FTT=2 RAID-6 and deduplication</t>
        </is>
      </c>
      <c r="D14" s="52" t="inlineStr">
        <is>
          <t>EO Engineer</t>
        </is>
      </c>
      <c r="E14" s="53" t="n">
        <v>32</v>
      </c>
      <c r="F14" s="54">
        <f>'Estimate Settings'!$C$5</f>
        <v/>
      </c>
      <c r="G14" s="55">
        <f>$E14*$F14</f>
        <v/>
      </c>
      <c r="H14" s="56" t="n">
        <v>200</v>
      </c>
      <c r="I14" s="55">
        <f>TEXT($G14*$H14,"$#,##0")</f>
        <v/>
      </c>
      <c r="J14" s="52" t="inlineStr">
        <is>
          <t>vSphere Enterprise Setup</t>
        </is>
      </c>
      <c r="K14" s="52" t="inlineStr">
        <is>
          <t>Enterprise vSAN with erasure coding</t>
        </is>
      </c>
    </row>
    <row r="15" ht="26" customHeight="1">
      <c r="A15" s="45" t="inlineStr">
        <is>
          <t>Development</t>
        </is>
      </c>
      <c r="B15" s="46" t="inlineStr">
        <is>
          <t>NSX Deployment</t>
        </is>
      </c>
      <c r="C15" s="46" t="inlineStr">
        <is>
          <t>Deploy NSX Data Center and distributed firewall</t>
        </is>
      </c>
      <c r="D15" s="46" t="inlineStr">
        <is>
          <t>EO Engineer</t>
        </is>
      </c>
      <c r="E15" s="47" t="n">
        <v>40</v>
      </c>
      <c r="F15" s="57">
        <f>'Estimate Settings'!$C$5</f>
        <v/>
      </c>
      <c r="G15" s="49">
        <f>$E15*$F15</f>
        <v/>
      </c>
      <c r="H15" s="50" t="n">
        <v>200</v>
      </c>
      <c r="I15" s="49">
        <f>TEXT($G15*$H15,"$#,##0")</f>
        <v/>
      </c>
      <c r="J15" s="46" t="inlineStr">
        <is>
          <t>vSAN FTT=2 Setup</t>
        </is>
      </c>
      <c r="K15" s="46" t="inlineStr">
        <is>
          <t>Micro-segmentation for database tier</t>
        </is>
      </c>
    </row>
    <row r="16" ht="26" customHeight="1">
      <c r="A16" s="51" t="inlineStr">
        <is>
          <t>Development</t>
        </is>
      </c>
      <c r="B16" s="52" t="inlineStr">
        <is>
          <t>RecoverPoint Deployment</t>
        </is>
      </c>
      <c r="C16" s="52" t="inlineStr">
        <is>
          <t>Deploy RecoverPoint for VMs and configure replication</t>
        </is>
      </c>
      <c r="D16" s="52" t="inlineStr">
        <is>
          <t>EO Engineer</t>
        </is>
      </c>
      <c r="E16" s="53" t="n">
        <v>32</v>
      </c>
      <c r="F16" s="54">
        <f>'Estimate Settings'!$C$5</f>
        <v/>
      </c>
      <c r="G16" s="55">
        <f>$E16*$F16</f>
        <v/>
      </c>
      <c r="H16" s="56" t="n">
        <v>200</v>
      </c>
      <c r="I16" s="55">
        <f>TEXT($G16*$H16,"$#,##0")</f>
        <v/>
      </c>
      <c r="J16" s="52" t="inlineStr">
        <is>
          <t>NSX Deployment</t>
        </is>
      </c>
      <c r="K16" s="52" t="inlineStr">
        <is>
          <t>RPO &lt;5 min continuous replication</t>
        </is>
      </c>
    </row>
    <row r="17" ht="26" customHeight="1">
      <c r="A17" s="45" t="inlineStr">
        <is>
          <t>Development</t>
        </is>
      </c>
      <c r="B17" s="46" t="inlineStr">
        <is>
          <t>SRM Configuration</t>
        </is>
      </c>
      <c r="C17" s="46" t="inlineStr">
        <is>
          <t>Configure VMware SRM for automated DR failover</t>
        </is>
      </c>
      <c r="D17" s="46" t="inlineStr">
        <is>
          <t>EO Engineer</t>
        </is>
      </c>
      <c r="E17" s="47" t="n">
        <v>32</v>
      </c>
      <c r="F17" s="57">
        <f>'Estimate Settings'!$C$5</f>
        <v/>
      </c>
      <c r="G17" s="49">
        <f>$E17*$F17</f>
        <v/>
      </c>
      <c r="H17" s="50" t="n">
        <v>200</v>
      </c>
      <c r="I17" s="49">
        <f>TEXT($G17*$H17,"$#,##0")</f>
        <v/>
      </c>
      <c r="J17" s="46" t="inlineStr">
        <is>
          <t>RecoverPoint Deployment</t>
        </is>
      </c>
      <c r="K17" s="46" t="inlineStr">
        <is>
          <t>RTO &lt;15 min automated orchestration</t>
        </is>
      </c>
    </row>
    <row r="18" ht="26" customHeight="1">
      <c r="A18" s="51" t="inlineStr">
        <is>
          <t>Testing</t>
        </is>
      </c>
      <c r="B18" s="52" t="inlineStr">
        <is>
          <t>Database Performance</t>
        </is>
      </c>
      <c r="C18" s="52" t="inlineStr">
        <is>
          <t>Benchmark Oracle RAC and SQL performance</t>
        </is>
      </c>
      <c r="D18" s="52" t="inlineStr">
        <is>
          <t>EO Engineer</t>
        </is>
      </c>
      <c r="E18" s="53" t="n">
        <v>32</v>
      </c>
      <c r="F18" s="54">
        <f>'Estimate Settings'!$C$6</f>
        <v/>
      </c>
      <c r="G18" s="55">
        <f>$E18*$F18</f>
        <v/>
      </c>
      <c r="H18" s="56" t="n">
        <v>200</v>
      </c>
      <c r="I18" s="55">
        <f>TEXT($G18*$H18,"$#,##0")</f>
        <v/>
      </c>
      <c r="J18" s="52" t="inlineStr">
        <is>
          <t>vSAN FTT=2 Setup</t>
        </is>
      </c>
      <c r="K18" s="52" t="inlineStr">
        <is>
          <t>Validate 100K+ IOPS and &lt;1ms latency</t>
        </is>
      </c>
    </row>
    <row r="19" ht="26" customHeight="1">
      <c r="A19" s="45" t="inlineStr">
        <is>
          <t>Testing</t>
        </is>
      </c>
      <c r="B19" s="46" t="inlineStr">
        <is>
          <t>SLA Validation</t>
        </is>
      </c>
      <c r="C19" s="46" t="inlineStr">
        <is>
          <t>Validate 99.99% uptime and N+2 fault tolerance</t>
        </is>
      </c>
      <c r="D19" s="46" t="inlineStr">
        <is>
          <t>EO Engineer</t>
        </is>
      </c>
      <c r="E19" s="47" t="n">
        <v>16</v>
      </c>
      <c r="F19" s="57">
        <f>'Estimate Settings'!$C$6</f>
        <v/>
      </c>
      <c r="G19" s="49">
        <f>$E19*$F19</f>
        <v/>
      </c>
      <c r="H19" s="50" t="n">
        <v>200</v>
      </c>
      <c r="I19" s="49">
        <f>TEXT($G19*$H19,"$#,##0")</f>
        <v/>
      </c>
      <c r="J19" s="46" t="inlineStr">
        <is>
          <t>Database Performance</t>
        </is>
      </c>
      <c r="K19" s="46" t="inlineStr">
        <is>
          <t>2-node failure testing and recovery</t>
        </is>
      </c>
    </row>
    <row r="20" ht="26" customHeight="1">
      <c r="A20" s="51" t="inlineStr">
        <is>
          <t>Testing</t>
        </is>
      </c>
      <c r="B20" s="52" t="inlineStr">
        <is>
          <t>DR Failover Testing</t>
        </is>
      </c>
      <c r="C20" s="52" t="inlineStr">
        <is>
          <t>Test SRM automated failover to DR site</t>
        </is>
      </c>
      <c r="D20" s="52" t="inlineStr">
        <is>
          <t>EO Engineer</t>
        </is>
      </c>
      <c r="E20" s="53" t="n">
        <v>24</v>
      </c>
      <c r="F20" s="54">
        <f>'Estimate Settings'!$C$6</f>
        <v/>
      </c>
      <c r="G20" s="55">
        <f>$E20*$F20</f>
        <v/>
      </c>
      <c r="H20" s="56" t="n">
        <v>200</v>
      </c>
      <c r="I20" s="55">
        <f>TEXT($G20*$H20,"$#,##0")</f>
        <v/>
      </c>
      <c r="J20" s="52" t="inlineStr">
        <is>
          <t>SRM Configuration</t>
        </is>
      </c>
      <c r="K20" s="52" t="inlineStr">
        <is>
          <t>Validate RPO &lt;5min RTO &lt;15min</t>
        </is>
      </c>
    </row>
    <row r="21" ht="26" customHeight="1">
      <c r="A21" s="45" t="inlineStr">
        <is>
          <t>Testing</t>
        </is>
      </c>
      <c r="B21" s="46" t="inlineStr">
        <is>
          <t>Pilot Database Migration</t>
        </is>
      </c>
      <c r="C21" s="46" t="inlineStr">
        <is>
          <t>Migrate non-production Oracle or SQL database</t>
        </is>
      </c>
      <c r="D21" s="46" t="inlineStr">
        <is>
          <t>EO Engineer</t>
        </is>
      </c>
      <c r="E21" s="47" t="n">
        <v>24</v>
      </c>
      <c r="F21" s="57">
        <f>'Estimate Settings'!$C$6</f>
        <v/>
      </c>
      <c r="G21" s="49">
        <f>$E21*$F21</f>
        <v/>
      </c>
      <c r="H21" s="50" t="n">
        <v>200</v>
      </c>
      <c r="I21" s="49">
        <f>TEXT($G21*$H21,"$#,##0")</f>
        <v/>
      </c>
      <c r="J21" s="46" t="inlineStr">
        <is>
          <t>Database Performance</t>
        </is>
      </c>
      <c r="K21" s="46" t="inlineStr">
        <is>
          <t>Pilot validation before Tier 1</t>
        </is>
      </c>
    </row>
    <row r="22" ht="26" customHeight="1">
      <c r="A22" s="51" t="inlineStr">
        <is>
          <t>Deployment</t>
        </is>
      </c>
      <c r="B22" s="52" t="inlineStr">
        <is>
          <t>Tier 1 Database Migration</t>
        </is>
      </c>
      <c r="C22" s="52" t="inlineStr">
        <is>
          <t>Migrate Oracle RAC SQL Always-On SAP HANA</t>
        </is>
      </c>
      <c r="D22" s="52" t="inlineStr">
        <is>
          <t>EO Engineer</t>
        </is>
      </c>
      <c r="E22" s="53" t="n">
        <v>80</v>
      </c>
      <c r="F22" s="54">
        <f>'Estimate Settings'!$C$7</f>
        <v/>
      </c>
      <c r="G22" s="55">
        <f>$E22*$F22</f>
        <v/>
      </c>
      <c r="H22" s="56" t="n">
        <v>200</v>
      </c>
      <c r="I22" s="55">
        <f>TEXT($G22*$H22,"$#,##0")</f>
        <v/>
      </c>
      <c r="J22" s="52" t="inlineStr">
        <is>
          <t>Pilot Database Migration</t>
        </is>
      </c>
      <c r="K22" s="52" t="inlineStr">
        <is>
          <t>Mission-critical database cutover</t>
        </is>
      </c>
    </row>
    <row r="23" ht="26" customHeight="1">
      <c r="A23" s="45" t="inlineStr">
        <is>
          <t>Deployment</t>
        </is>
      </c>
      <c r="B23" s="46" t="inlineStr">
        <is>
          <t>VM Migration</t>
        </is>
      </c>
      <c r="C23" s="46" t="inlineStr">
        <is>
          <t>Migrate remaining 700+ VMs to VxRail</t>
        </is>
      </c>
      <c r="D23" s="46" t="inlineStr">
        <is>
          <t>EO Engineer</t>
        </is>
      </c>
      <c r="E23" s="47" t="n">
        <v>64</v>
      </c>
      <c r="F23" s="57">
        <f>'Estimate Settings'!$C$7</f>
        <v/>
      </c>
      <c r="G23" s="49">
        <f>$E23*$F23</f>
        <v/>
      </c>
      <c r="H23" s="50" t="n">
        <v>175</v>
      </c>
      <c r="I23" s="49">
        <f>TEXT($G23*$H23,"$#,##0")</f>
        <v/>
      </c>
      <c r="J23" s="46" t="inlineStr">
        <is>
          <t>Tier 1 Database Migration</t>
        </is>
      </c>
      <c r="K23" s="46" t="inlineStr">
        <is>
          <t>Phased migration post-database validation</t>
        </is>
      </c>
    </row>
    <row r="24" ht="26" customHeight="1">
      <c r="A24" s="51" t="inlineStr">
        <is>
          <t>Deployment</t>
        </is>
      </c>
      <c r="B24" s="52" t="inlineStr">
        <is>
          <t>SAN Decommission</t>
        </is>
      </c>
      <c r="C24" s="52" t="inlineStr">
        <is>
          <t>Decommission VMAX/NetApp enterprise SAN</t>
        </is>
      </c>
      <c r="D24" s="52" t="inlineStr">
        <is>
          <t>EO Engineer</t>
        </is>
      </c>
      <c r="E24" s="53" t="n">
        <v>16</v>
      </c>
      <c r="F24" s="54">
        <f>'Estimate Settings'!$C$7</f>
        <v/>
      </c>
      <c r="G24" s="55">
        <f>$E24*$F24</f>
        <v/>
      </c>
      <c r="H24" s="56" t="n">
        <v>175</v>
      </c>
      <c r="I24" s="55">
        <f>TEXT($G24*$H24,"$#,##0")</f>
        <v/>
      </c>
      <c r="J24" s="52" t="inlineStr">
        <is>
          <t>VM Migration</t>
        </is>
      </c>
      <c r="K24" s="52" t="inlineStr">
        <is>
          <t>Eliminate $250K+ annual SAN support cost</t>
        </is>
      </c>
    </row>
    <row r="25" ht="26" customHeight="1">
      <c r="A25" s="45" t="inlineStr">
        <is>
          <t>Training</t>
        </is>
      </c>
      <c r="B25" s="46" t="inlineStr">
        <is>
          <t>Enterprise Operations</t>
        </is>
      </c>
      <c r="C25" s="46" t="inlineStr">
        <is>
          <t>Train team on vRealize Operations and vSAN Enterprise</t>
        </is>
      </c>
      <c r="D25" s="46" t="inlineStr">
        <is>
          <t>EO Engineer</t>
        </is>
      </c>
      <c r="E25" s="47" t="n">
        <v>24</v>
      </c>
      <c r="F25" s="57">
        <f>'Estimate Settings'!$C$8</f>
        <v/>
      </c>
      <c r="G25" s="49">
        <f>$E25*$F25</f>
        <v/>
      </c>
      <c r="H25" s="50" t="n">
        <v>200</v>
      </c>
      <c r="I25" s="49">
        <f>TEXT($G25*$H25,"$#,##0")</f>
        <v/>
      </c>
      <c r="J25" s="46" t="inlineStr">
        <is>
          <t>SAN Decommission</t>
        </is>
      </c>
      <c r="K25" s="46" t="inlineStr">
        <is>
          <t>Enterprise platform operations training</t>
        </is>
      </c>
    </row>
    <row r="26" ht="26" customHeight="1">
      <c r="A26" s="51" t="inlineStr">
        <is>
          <t>Training</t>
        </is>
      </c>
      <c r="B26" s="52" t="inlineStr">
        <is>
          <t>NSX Training</t>
        </is>
      </c>
      <c r="C26" s="52" t="inlineStr">
        <is>
          <t>Train team on NSX distributed firewall and micro-segmentation</t>
        </is>
      </c>
      <c r="D26" s="52" t="inlineStr">
        <is>
          <t>EO Engineer</t>
        </is>
      </c>
      <c r="E26" s="53" t="n">
        <v>24</v>
      </c>
      <c r="F26" s="54">
        <f>'Estimate Settings'!$C$8</f>
        <v/>
      </c>
      <c r="G26" s="55">
        <f>$E26*$F26</f>
        <v/>
      </c>
      <c r="H26" s="56" t="n">
        <v>200</v>
      </c>
      <c r="I26" s="55">
        <f>TEXT($G26*$H26,"$#,##0")</f>
        <v/>
      </c>
      <c r="J26" s="52" t="inlineStr">
        <is>
          <t>Enterprise Operations</t>
        </is>
      </c>
      <c r="K26" s="52" t="inlineStr">
        <is>
          <t>Zero-trust networking administration</t>
        </is>
      </c>
    </row>
    <row r="27" ht="26" customHeight="1">
      <c r="A27" s="45" t="inlineStr">
        <is>
          <t>Training</t>
        </is>
      </c>
      <c r="B27" s="46" t="inlineStr">
        <is>
          <t>DR Training</t>
        </is>
      </c>
      <c r="C27" s="46" t="inlineStr">
        <is>
          <t>Train team on SRM failover procedures</t>
        </is>
      </c>
      <c r="D27" s="46" t="inlineStr">
        <is>
          <t>EO Engineer</t>
        </is>
      </c>
      <c r="E27" s="47" t="n">
        <v>16</v>
      </c>
      <c r="F27" s="57">
        <f>'Estimate Settings'!$C$8</f>
        <v/>
      </c>
      <c r="G27" s="49">
        <f>$E27*$F27</f>
        <v/>
      </c>
      <c r="H27" s="50" t="n">
        <v>200</v>
      </c>
      <c r="I27" s="49">
        <f>TEXT($G27*$H27,"$#,##0")</f>
        <v/>
      </c>
      <c r="J27" s="46" t="inlineStr">
        <is>
          <t>NSX Training</t>
        </is>
      </c>
      <c r="K27" s="46" t="inlineStr">
        <is>
          <t>DR runbooks and failover procedures</t>
        </is>
      </c>
    </row>
    <row r="28" ht="26" customHeight="1">
      <c r="A28" s="51" t="inlineStr">
        <is>
          <t>Training</t>
        </is>
      </c>
      <c r="B28" s="52" t="inlineStr">
        <is>
          <t>Documentation</t>
        </is>
      </c>
      <c r="C28" s="52" t="inlineStr">
        <is>
          <t>Create enterprise runbooks and architecture docs</t>
        </is>
      </c>
      <c r="D28" s="52" t="inlineStr">
        <is>
          <t>EO Engineer</t>
        </is>
      </c>
      <c r="E28" s="53" t="n">
        <v>24</v>
      </c>
      <c r="F28" s="54">
        <f>'Estimate Settings'!$C$8</f>
        <v/>
      </c>
      <c r="G28" s="55">
        <f>$E28*$F28</f>
        <v/>
      </c>
      <c r="H28" s="56" t="n">
        <v>175</v>
      </c>
      <c r="I28" s="55">
        <f>TEXT($G28*$H28,"$#,##0")</f>
        <v/>
      </c>
      <c r="J28" s="52" t="inlineStr">
        <is>
          <t>DR Training</t>
        </is>
      </c>
      <c r="K28" s="52" t="inlineStr">
        <is>
          <t>Comprehensive enterprise documentation</t>
        </is>
      </c>
    </row>
    <row r="29" ht="26" customHeight="1">
      <c r="A29" s="45" t="inlineStr">
        <is>
          <t>Closeout</t>
        </is>
      </c>
      <c r="B29" s="46" t="inlineStr">
        <is>
          <t>Knowledge Transfer</t>
        </is>
      </c>
      <c r="C29" s="46" t="inlineStr">
        <is>
          <t>Transfer to enterprise operations team</t>
        </is>
      </c>
      <c r="D29" s="46" t="inlineStr">
        <is>
          <t>EO Engineer</t>
        </is>
      </c>
      <c r="E29" s="47" t="n">
        <v>16</v>
      </c>
      <c r="F29" s="57">
        <f>'Estimate Settings'!$C$9</f>
        <v/>
      </c>
      <c r="G29" s="49">
        <f>$E29*$F29</f>
        <v/>
      </c>
      <c r="H29" s="50" t="n">
        <v>200</v>
      </c>
      <c r="I29" s="49">
        <f>TEXT($G29*$H29,"$#,##0")</f>
        <v/>
      </c>
      <c r="J29" s="46" t="inlineStr">
        <is>
          <t>Documentation</t>
        </is>
      </c>
      <c r="K29" s="46" t="inlineStr">
        <is>
          <t>Enterprise handover with TAM introduction</t>
        </is>
      </c>
    </row>
    <row r="30" ht="26" customHeight="1">
      <c r="A30" s="51" t="inlineStr">
        <is>
          <t>Closeout</t>
        </is>
      </c>
      <c r="B30" s="52" t="inlineStr">
        <is>
          <t>SLA Baseline</t>
        </is>
      </c>
      <c r="C30" s="52" t="inlineStr">
        <is>
          <t>Establish 99.99% uptime and &lt;1ms latency baseline</t>
        </is>
      </c>
      <c r="D30" s="52" t="inlineStr">
        <is>
          <t>EO Engineer</t>
        </is>
      </c>
      <c r="E30" s="53" t="n">
        <v>8</v>
      </c>
      <c r="F30" s="54">
        <f>'Estimate Settings'!$C$9</f>
        <v/>
      </c>
      <c r="G30" s="55">
        <f>$E30*$F30</f>
        <v/>
      </c>
      <c r="H30" s="56" t="n">
        <v>200</v>
      </c>
      <c r="I30" s="55">
        <f>TEXT($G30*$H30,"$#,##0")</f>
        <v/>
      </c>
      <c r="J30" s="52" t="inlineStr">
        <is>
          <t>Knowledge Transfer</t>
        </is>
      </c>
      <c r="K30" s="52" t="inlineStr">
        <is>
          <t>Enterprise SLA metrics and monitoring</t>
        </is>
      </c>
    </row>
    <row r="31" ht="26" customHeight="1">
      <c r="A31" s="45" t="inlineStr">
        <is>
          <t>Management</t>
        </is>
      </c>
      <c r="B31" s="46" t="inlineStr">
        <is>
          <t>Technical Leadership</t>
        </is>
      </c>
      <c r="C31" s="46" t="inlineStr">
        <is>
          <t>VCDX-level architecture review and guidance</t>
        </is>
      </c>
      <c r="D31" s="46" t="inlineStr">
        <is>
          <t>EO Quarterback</t>
        </is>
      </c>
      <c r="E31" s="49">
        <f>ROUND(SUM($G$3:$G$30)*0.10,0)</f>
        <v/>
      </c>
      <c r="F31" s="57">
        <f>'Estimate Settings'!$C$11</f>
        <v/>
      </c>
      <c r="G31" s="49">
        <f>$E31*$F31</f>
        <v/>
      </c>
      <c r="H31" s="50" t="n">
        <v>200</v>
      </c>
      <c r="I31" s="49">
        <f>TEXT($G31*$H31,"$#,##0")</f>
        <v/>
      </c>
      <c r="J31" s="46" t="inlineStr"/>
      <c r="K31" s="46" t="inlineStr">
        <is>
          <t>Enterprise architecture and optimization</t>
        </is>
      </c>
    </row>
    <row r="32" ht="26" customHeight="1">
      <c r="A32" s="51" t="inlineStr">
        <is>
          <t>Management</t>
        </is>
      </c>
      <c r="B32" s="52" t="inlineStr">
        <is>
          <t>Project Management</t>
        </is>
      </c>
      <c r="C32" s="52" t="inlineStr">
        <is>
          <t>Enterprise project coordination</t>
        </is>
      </c>
      <c r="D32" s="52" t="inlineStr">
        <is>
          <t>EO Project Manager</t>
        </is>
      </c>
      <c r="E32" s="55">
        <f>ROUND(SUM($G$3:$G$30)*0.10,0)</f>
        <v/>
      </c>
      <c r="F32" s="54">
        <f>'Estimate Settings'!$C$10</f>
        <v/>
      </c>
      <c r="G32" s="55">
        <f>$E32*$F32</f>
        <v/>
      </c>
      <c r="H32" s="56" t="n">
        <v>200</v>
      </c>
      <c r="I32" s="55">
        <f>TEXT($G32*$H32,"$#,##0")</f>
        <v/>
      </c>
      <c r="J32" s="52" t="inlineStr"/>
      <c r="K32" s="52" t="inlineStr">
        <is>
          <t>Dell Mission Critical Services coordination</t>
        </is>
      </c>
    </row>
    <row r="33" ht="26" customHeight="1">
      <c r="A33" s="58" t="inlineStr"/>
      <c r="B33" s="58" t="inlineStr"/>
      <c r="C33" s="58" t="inlineStr"/>
      <c r="D33" s="58" t="inlineStr"/>
      <c r="E33" s="58" t="inlineStr"/>
      <c r="F33" s="59" t="inlineStr">
        <is>
          <t>TOTAL HOURS</t>
        </is>
      </c>
      <c r="G33" s="59">
        <f>SUM($G$3:$G$32)</f>
        <v/>
      </c>
      <c r="H33" s="59" t="inlineStr">
        <is>
          <t>TOTAL COST</t>
        </is>
      </c>
      <c r="I33" s="59">
        <f>TEXT(SUMPRODUCT($G$3:$G$32,$H$3:$H$32),"$#,##0")</f>
        <v/>
      </c>
      <c r="J33" s="58" t="inlineStr"/>
      <c r="K33" s="58" t="inlineStr">
        <is>
          <t>Enterprise deployment complexity</t>
        </is>
      </c>
    </row>
  </sheetData>
  <autoFilter ref="A2:K33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Dell Partner Discount</t>
        </is>
      </c>
      <c r="B3" s="60" t="n">
        <v>-50000</v>
      </c>
      <c r="C3" s="38" t="inlineStr">
        <is>
          <t>Dell Titanium Partner discount on VxRail P570 enterprise hardware (negotiate 5-10%)</t>
        </is>
      </c>
    </row>
    <row r="4" ht="26" customHeight="1">
      <c r="A4" s="40" t="inlineStr">
        <is>
          <t>Implementation Discount</t>
        </is>
      </c>
      <c r="B4" s="61" t="n">
        <v>0</v>
      </c>
      <c r="C4" s="41" t="inlineStr">
        <is>
          <t>No implementation discount applicable</t>
        </is>
      </c>
    </row>
    <row r="5" ht="26" customHeight="1">
      <c r="A5" s="62" t="inlineStr">
        <is>
          <t>TOTAL</t>
        </is>
      </c>
      <c r="B5" s="63">
        <f>SUMPRODUCT($G$3:$G$32,$H$3:$H$32)-50000</f>
        <v/>
      </c>
      <c r="C5" s="62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2025-11-25T04:29:39Z</dcterms:modified>
  <cp:lastModifiedBy>Kishan Siram</cp:lastModifiedBy>
</cp:coreProperties>
</file>