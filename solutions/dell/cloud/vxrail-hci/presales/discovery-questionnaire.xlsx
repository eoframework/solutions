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Vxrail Hci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61</v>
      </c>
      <c r="B2" s="36">
        <f>SUMPRODUCT(--(LEN(F5:F65)&gt;0))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IF('Business Requirements'!A14="","",'Business Requirements'!A14)</f>
        <v/>
      </c>
      <c r="B17" s="39">
        <f>IF('Business Requirements'!B14="","",'Business Requirements'!B14)</f>
        <v/>
      </c>
      <c r="C17" s="39">
        <f>IF('Business Requirements'!C14="","",'Business Requirements'!C14)</f>
        <v/>
      </c>
      <c r="D17" s="39">
        <f>IF('Business Requirements'!D14="","",'Business Requirements'!D14)</f>
        <v/>
      </c>
      <c r="E17" s="39">
        <f>IF('Business Requirements'!E14="","",'Business Requirements'!E14)</f>
        <v/>
      </c>
      <c r="F17" s="40">
        <f>IF('Business Requirements'!F14="","",'Business Requirements'!F14)</f>
        <v/>
      </c>
      <c r="G17" s="39">
        <f>IF('Business Requirements'!G14="","",'Business Requirements'!G14)</f>
        <v/>
      </c>
    </row>
    <row r="18">
      <c r="A18" s="41">
        <f>IF('Business Requirements'!A15="","",'Business Requirements'!A15)</f>
        <v/>
      </c>
      <c r="B18" s="41">
        <f>IF('Business Requirements'!B15="","",'Business Requirements'!B15)</f>
        <v/>
      </c>
      <c r="C18" s="41">
        <f>IF('Business Requirements'!C15="","",'Business Requirements'!C15)</f>
        <v/>
      </c>
      <c r="D18" s="41">
        <f>IF('Business Requirements'!D15="","",'Business Requirements'!D15)</f>
        <v/>
      </c>
      <c r="E18" s="41">
        <f>IF('Business Requirements'!E15="","",'Business Requirements'!E15)</f>
        <v/>
      </c>
      <c r="F18" s="40">
        <f>IF('Business Requirements'!F15="","",'Business Requirements'!F15)</f>
        <v/>
      </c>
      <c r="G18" s="41">
        <f>IF('Business Requirements'!G15="","",'Business Requirements'!G15)</f>
        <v/>
      </c>
    </row>
    <row r="19">
      <c r="A19" s="39">
        <f>IF('Business Requirements'!A16="","",'Business Requirements'!A16)</f>
        <v/>
      </c>
      <c r="B19" s="39">
        <f>IF('Business Requirements'!B16="","",'Business Requirements'!B16)</f>
        <v/>
      </c>
      <c r="C19" s="39">
        <f>IF('Business Requirements'!C16="","",'Business Requirements'!C16)</f>
        <v/>
      </c>
      <c r="D19" s="39">
        <f>IF('Business Requirements'!D16="","",'Business Requirements'!D16)</f>
        <v/>
      </c>
      <c r="E19" s="39">
        <f>IF('Business Requirements'!E16="","",'Business Requirements'!E16)</f>
        <v/>
      </c>
      <c r="F19" s="40">
        <f>IF('Business Requirements'!F16="","",'Business Requirements'!F16)</f>
        <v/>
      </c>
      <c r="G19" s="39">
        <f>IF('Business Requirements'!G16="","",'Business Requirements'!G16)</f>
        <v/>
      </c>
    </row>
    <row r="20">
      <c r="A20" s="41">
        <f>IF('Business Requirements'!A17="","",'Business Requirements'!A17)</f>
        <v/>
      </c>
      <c r="B20" s="41">
        <f>IF('Business Requirements'!B17="","",'Business Requirements'!B17)</f>
        <v/>
      </c>
      <c r="C20" s="41">
        <f>IF('Business Requirements'!C17="","",'Business Requirements'!C17)</f>
        <v/>
      </c>
      <c r="D20" s="41">
        <f>IF('Business Requirements'!D17="","",'Business Requirements'!D17)</f>
        <v/>
      </c>
      <c r="E20" s="41">
        <f>IF('Business Requirements'!E17="","",'Business Requirements'!E17)</f>
        <v/>
      </c>
      <c r="F20" s="40">
        <f>IF('Business Requirements'!F17="","",'Business Requirements'!F17)</f>
        <v/>
      </c>
      <c r="G20" s="41">
        <f>IF('Business Requirements'!G17="","",'Business Requirements'!G17)</f>
        <v/>
      </c>
    </row>
    <row r="21">
      <c r="A21" s="39">
        <f>IF('Business Requirements'!A18="","",'Business Requirements'!A18)</f>
        <v/>
      </c>
      <c r="B21" s="39">
        <f>IF('Business Requirements'!B18="","",'Business Requirements'!B18)</f>
        <v/>
      </c>
      <c r="C21" s="39">
        <f>IF('Business Requirements'!C18="","",'Business Requirements'!C18)</f>
        <v/>
      </c>
      <c r="D21" s="39">
        <f>IF('Business Requirements'!D18="","",'Business Requirements'!D18)</f>
        <v/>
      </c>
      <c r="E21" s="39">
        <f>IF('Business Requirements'!E18="","",'Business Requirements'!E18)</f>
        <v/>
      </c>
      <c r="F21" s="40">
        <f>IF('Business Requirements'!F18="","",'Business Requirements'!F18)</f>
        <v/>
      </c>
      <c r="G21" s="39">
        <f>IF('Business Requirements'!G18="","",'Business Requirements'!G18)</f>
        <v/>
      </c>
    </row>
    <row r="22">
      <c r="A22" s="41">
        <f>IF('Technical Requirements'!A2="","",'Technical Requirements'!A2)</f>
        <v/>
      </c>
      <c r="B22" s="41">
        <f>IF('Technical Requirements'!B2="","",'Technical Requirements'!B2)</f>
        <v/>
      </c>
      <c r="C22" s="41">
        <f>IF('Technical Requirements'!C2="","",'Technical Requirements'!C2)</f>
        <v/>
      </c>
      <c r="D22" s="41">
        <f>IF('Technical Requirements'!D2="","",'Technical Requirements'!D2)</f>
        <v/>
      </c>
      <c r="E22" s="41">
        <f>IF('Technical Requirements'!E2="","",'Technical Requirements'!E2)</f>
        <v/>
      </c>
      <c r="F22" s="40">
        <f>IF('Technical Requirements'!F2="","",'Technical Requirements'!F2)</f>
        <v/>
      </c>
      <c r="G22" s="41">
        <f>IF('Technical Requirements'!G2="","",'Technical Requirements'!G2)</f>
        <v/>
      </c>
    </row>
    <row r="23">
      <c r="A23" s="39">
        <f>IF('Technical Requirements'!A3="","",'Technical Requirements'!A3)</f>
        <v/>
      </c>
      <c r="B23" s="39">
        <f>IF('Technical Requirements'!B3="","",'Technical Requirements'!B3)</f>
        <v/>
      </c>
      <c r="C23" s="39">
        <f>IF('Technical Requirements'!C3="","",'Technical Requirements'!C3)</f>
        <v/>
      </c>
      <c r="D23" s="39">
        <f>IF('Technical Requirements'!D3="","",'Technical Requirements'!D3)</f>
        <v/>
      </c>
      <c r="E23" s="39">
        <f>IF('Technical Requirements'!E3="","",'Technical Requirements'!E3)</f>
        <v/>
      </c>
      <c r="F23" s="40">
        <f>IF('Technical Requirements'!F3="","",'Technical Requirements'!F3)</f>
        <v/>
      </c>
      <c r="G23" s="39">
        <f>IF('Technical Requirements'!G3="","",'Technical Requirements'!G3)</f>
        <v/>
      </c>
    </row>
    <row r="24">
      <c r="A24" s="41">
        <f>IF('Technical Requirements'!A4="","",'Technical Requirements'!A4)</f>
        <v/>
      </c>
      <c r="B24" s="41">
        <f>IF('Technical Requirements'!B4="","",'Technical Requirements'!B4)</f>
        <v/>
      </c>
      <c r="C24" s="41">
        <f>IF('Technical Requirements'!C4="","",'Technical Requirements'!C4)</f>
        <v/>
      </c>
      <c r="D24" s="41">
        <f>IF('Technical Requirements'!D4="","",'Technical Requirements'!D4)</f>
        <v/>
      </c>
      <c r="E24" s="41">
        <f>IF('Technical Requirements'!E4="","",'Technical Requirements'!E4)</f>
        <v/>
      </c>
      <c r="F24" s="40">
        <f>IF('Technical Requirements'!F4="","",'Technical Requirements'!F4)</f>
        <v/>
      </c>
      <c r="G24" s="41">
        <f>IF('Technical Requirements'!G4="","",'Technical Requirements'!G4)</f>
        <v/>
      </c>
    </row>
    <row r="25">
      <c r="A25" s="39">
        <f>IF('Technical Requirements'!A5="","",'Technical Requirements'!A5)</f>
        <v/>
      </c>
      <c r="B25" s="39">
        <f>IF('Technical Requirements'!B5="","",'Technical Requirements'!B5)</f>
        <v/>
      </c>
      <c r="C25" s="39">
        <f>IF('Technical Requirements'!C5="","",'Technical Requirements'!C5)</f>
        <v/>
      </c>
      <c r="D25" s="39">
        <f>IF('Technical Requirements'!D5="","",'Technical Requirements'!D5)</f>
        <v/>
      </c>
      <c r="E25" s="39">
        <f>IF('Technical Requirements'!E5="","",'Technical Requirements'!E5)</f>
        <v/>
      </c>
      <c r="F25" s="40">
        <f>IF('Technical Requirements'!F5="","",'Technical Requirements'!F5)</f>
        <v/>
      </c>
      <c r="G25" s="39">
        <f>IF('Technical Requirements'!G5="","",'Technical Requirements'!G5)</f>
        <v/>
      </c>
    </row>
    <row r="26">
      <c r="A26" s="41">
        <f>IF('Technical Requirements'!A6="","",'Technical Requirements'!A6)</f>
        <v/>
      </c>
      <c r="B26" s="41">
        <f>IF('Technical Requirements'!B6="","",'Technical Requirements'!B6)</f>
        <v/>
      </c>
      <c r="C26" s="41">
        <f>IF('Technical Requirements'!C6="","",'Technical Requirements'!C6)</f>
        <v/>
      </c>
      <c r="D26" s="41">
        <f>IF('Technical Requirements'!D6="","",'Technical Requirements'!D6)</f>
        <v/>
      </c>
      <c r="E26" s="41">
        <f>IF('Technical Requirements'!E6="","",'Technical Requirements'!E6)</f>
        <v/>
      </c>
      <c r="F26" s="40">
        <f>IF('Technical Requirements'!F6="","",'Technical Requirements'!F6)</f>
        <v/>
      </c>
      <c r="G26" s="41">
        <f>IF('Technical Requirements'!G6="","",'Technical Requirements'!G6)</f>
        <v/>
      </c>
    </row>
    <row r="27">
      <c r="A27" s="39">
        <f>IF('Technical Requirements'!A7="","",'Technical Requirements'!A7)</f>
        <v/>
      </c>
      <c r="B27" s="39">
        <f>IF('Technical Requirements'!B7="","",'Technical Requirements'!B7)</f>
        <v/>
      </c>
      <c r="C27" s="39">
        <f>IF('Technical Requirements'!C7="","",'Technical Requirements'!C7)</f>
        <v/>
      </c>
      <c r="D27" s="39">
        <f>IF('Technical Requirements'!D7="","",'Technical Requirements'!D7)</f>
        <v/>
      </c>
      <c r="E27" s="39">
        <f>IF('Technical Requirements'!E7="","",'Technical Requirements'!E7)</f>
        <v/>
      </c>
      <c r="F27" s="40">
        <f>IF('Technical Requirements'!F7="","",'Technical Requirements'!F7)</f>
        <v/>
      </c>
      <c r="G27" s="39">
        <f>IF('Technical Requirements'!G7="","",'Technical Requirements'!G7)</f>
        <v/>
      </c>
    </row>
    <row r="28">
      <c r="A28" s="41">
        <f>IF('Technical Requirements'!A8="","",'Technical Requirements'!A8)</f>
        <v/>
      </c>
      <c r="B28" s="41">
        <f>IF('Technical Requirements'!B8="","",'Technical Requirements'!B8)</f>
        <v/>
      </c>
      <c r="C28" s="41">
        <f>IF('Technical Requirements'!C8="","",'Technical Requirements'!C8)</f>
        <v/>
      </c>
      <c r="D28" s="41">
        <f>IF('Technical Requirements'!D8="","",'Technical Requirements'!D8)</f>
        <v/>
      </c>
      <c r="E28" s="41">
        <f>IF('Technical Requirements'!E8="","",'Technical Requirements'!E8)</f>
        <v/>
      </c>
      <c r="F28" s="40">
        <f>IF('Technical Requirements'!F8="","",'Technical Requirements'!F8)</f>
        <v/>
      </c>
      <c r="G28" s="41">
        <f>IF('Technical Requirements'!G8="","",'Technical Requirements'!G8)</f>
        <v/>
      </c>
    </row>
    <row r="29">
      <c r="A29" s="39">
        <f>IF('Technical Requirements'!A9="","",'Technical Requirements'!A9)</f>
        <v/>
      </c>
      <c r="B29" s="39">
        <f>IF('Technical Requirements'!B9="","",'Technical Requirements'!B9)</f>
        <v/>
      </c>
      <c r="C29" s="39">
        <f>IF('Technical Requirements'!C9="","",'Technical Requirements'!C9)</f>
        <v/>
      </c>
      <c r="D29" s="39">
        <f>IF('Technical Requirements'!D9="","",'Technical Requirements'!D9)</f>
        <v/>
      </c>
      <c r="E29" s="39">
        <f>IF('Technical Requirements'!E9="","",'Technical Requirements'!E9)</f>
        <v/>
      </c>
      <c r="F29" s="40">
        <f>IF('Technical Requirements'!F9="","",'Technical Requirements'!F9)</f>
        <v/>
      </c>
      <c r="G29" s="39">
        <f>IF('Technical Requirements'!G9="","",'Technical Requirements'!G9)</f>
        <v/>
      </c>
    </row>
    <row r="30">
      <c r="A30" s="41">
        <f>IF('Technical Requirements'!A10="","",'Technical Requirements'!A10)</f>
        <v/>
      </c>
      <c r="B30" s="41">
        <f>IF('Technical Requirements'!B10="","",'Technical Requirements'!B10)</f>
        <v/>
      </c>
      <c r="C30" s="41">
        <f>IF('Technical Requirements'!C10="","",'Technical Requirements'!C10)</f>
        <v/>
      </c>
      <c r="D30" s="41">
        <f>IF('Technical Requirements'!D10="","",'Technical Requirements'!D10)</f>
        <v/>
      </c>
      <c r="E30" s="41">
        <f>IF('Technical Requirements'!E10="","",'Technical Requirements'!E10)</f>
        <v/>
      </c>
      <c r="F30" s="40">
        <f>IF('Technical Requirements'!F10="","",'Technical Requirements'!F10)</f>
        <v/>
      </c>
      <c r="G30" s="41">
        <f>IF('Technical Requirements'!G10="","",'Technical Requirements'!G10)</f>
        <v/>
      </c>
    </row>
    <row r="31">
      <c r="A31" s="39">
        <f>IF('Technical Requirements'!A11="","",'Technical Requirements'!A11)</f>
        <v/>
      </c>
      <c r="B31" s="39">
        <f>IF('Technical Requirements'!B11="","",'Technical Requirements'!B11)</f>
        <v/>
      </c>
      <c r="C31" s="39">
        <f>IF('Technical Requirements'!C11="","",'Technical Requirements'!C11)</f>
        <v/>
      </c>
      <c r="D31" s="39">
        <f>IF('Technical Requirements'!D11="","",'Technical Requirements'!D11)</f>
        <v/>
      </c>
      <c r="E31" s="39">
        <f>IF('Technical Requirements'!E11="","",'Technical Requirements'!E11)</f>
        <v/>
      </c>
      <c r="F31" s="40">
        <f>IF('Technical Requirements'!F11="","",'Technical Requirements'!F11)</f>
        <v/>
      </c>
      <c r="G31" s="39">
        <f>IF('Technical Requirements'!G11="","",'Technical Requirements'!G11)</f>
        <v/>
      </c>
    </row>
    <row r="32">
      <c r="A32" s="41">
        <f>IF('Technical Requirements'!A12="","",'Technical Requirements'!A12)</f>
        <v/>
      </c>
      <c r="B32" s="41">
        <f>IF('Technical Requirements'!B12="","",'Technical Requirements'!B12)</f>
        <v/>
      </c>
      <c r="C32" s="41">
        <f>IF('Technical Requirements'!C12="","",'Technical Requirements'!C12)</f>
        <v/>
      </c>
      <c r="D32" s="41">
        <f>IF('Technical Requirements'!D12="","",'Technical Requirements'!D12)</f>
        <v/>
      </c>
      <c r="E32" s="41">
        <f>IF('Technical Requirements'!E12="","",'Technical Requirements'!E12)</f>
        <v/>
      </c>
      <c r="F32" s="40">
        <f>IF('Technical Requirements'!F12="","",'Technical Requirements'!F12)</f>
        <v/>
      </c>
      <c r="G32" s="41">
        <f>IF('Technical Requirements'!G12="","",'Technical Requirements'!G12)</f>
        <v/>
      </c>
    </row>
    <row r="33">
      <c r="A33" s="39">
        <f>IF('Technical Requirements'!A13="","",'Technical Requirements'!A13)</f>
        <v/>
      </c>
      <c r="B33" s="39">
        <f>IF('Technical Requirements'!B13="","",'Technical Requirements'!B13)</f>
        <v/>
      </c>
      <c r="C33" s="39">
        <f>IF('Technical Requirements'!C13="","",'Technical Requirements'!C13)</f>
        <v/>
      </c>
      <c r="D33" s="39">
        <f>IF('Technical Requirements'!D13="","",'Technical Requirements'!D13)</f>
        <v/>
      </c>
      <c r="E33" s="39">
        <f>IF('Technical Requirements'!E13="","",'Technical Requirements'!E13)</f>
        <v/>
      </c>
      <c r="F33" s="40">
        <f>IF('Technical Requirements'!F13="","",'Technical Requirements'!F13)</f>
        <v/>
      </c>
      <c r="G33" s="39">
        <f>IF('Technical Requirements'!G13="","",'Technical Requirements'!G13)</f>
        <v/>
      </c>
    </row>
    <row r="34">
      <c r="A34" s="41">
        <f>IF('Technical Requirements'!A14="","",'Technical Requirements'!A14)</f>
        <v/>
      </c>
      <c r="B34" s="41">
        <f>IF('Technical Requirements'!B14="","",'Technical Requirements'!B14)</f>
        <v/>
      </c>
      <c r="C34" s="41">
        <f>IF('Technical Requirements'!C14="","",'Technical Requirements'!C14)</f>
        <v/>
      </c>
      <c r="D34" s="41">
        <f>IF('Technical Requirements'!D14="","",'Technical Requirements'!D14)</f>
        <v/>
      </c>
      <c r="E34" s="41">
        <f>IF('Technical Requirements'!E14="","",'Technical Requirements'!E14)</f>
        <v/>
      </c>
      <c r="F34" s="40">
        <f>IF('Technical Requirements'!F14="","",'Technical Requirements'!F14)</f>
        <v/>
      </c>
      <c r="G34" s="41">
        <f>IF('Technical Requirements'!G14="","",'Technical Requirements'!G14)</f>
        <v/>
      </c>
    </row>
    <row r="35">
      <c r="A35" s="39">
        <f>IF('Technical Requirements'!A15="","",'Technical Requirements'!A15)</f>
        <v/>
      </c>
      <c r="B35" s="39">
        <f>IF('Technical Requirements'!B15="","",'Technical Requirements'!B15)</f>
        <v/>
      </c>
      <c r="C35" s="39">
        <f>IF('Technical Requirements'!C15="","",'Technical Requirements'!C15)</f>
        <v/>
      </c>
      <c r="D35" s="39">
        <f>IF('Technical Requirements'!D15="","",'Technical Requirements'!D15)</f>
        <v/>
      </c>
      <c r="E35" s="39">
        <f>IF('Technical Requirements'!E15="","",'Technical Requirements'!E15)</f>
        <v/>
      </c>
      <c r="F35" s="40">
        <f>IF('Technical Requirements'!F15="","",'Technical Requirements'!F15)</f>
        <v/>
      </c>
      <c r="G35" s="39">
        <f>IF('Technical Requirements'!G15="","",'Technical Requirements'!G15)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IF('Operations &amp; Support'!A10="","",'Operations &amp; Support'!A10)</f>
        <v/>
      </c>
      <c r="B49" s="39">
        <f>IF('Operations &amp; Support'!B10="","",'Operations &amp; Support'!B10)</f>
        <v/>
      </c>
      <c r="C49" s="39">
        <f>IF('Operations &amp; Support'!C10="","",'Operations &amp; Support'!C10)</f>
        <v/>
      </c>
      <c r="D49" s="39">
        <f>IF('Operations &amp; Support'!D10="","",'Operations &amp; Support'!D10)</f>
        <v/>
      </c>
      <c r="E49" s="39">
        <f>IF('Operations &amp; Support'!E10="","",'Operations &amp; Support'!E10)</f>
        <v/>
      </c>
      <c r="F49" s="40">
        <f>IF('Operations &amp; Support'!F10="","",'Operations &amp; Support'!F10)</f>
        <v/>
      </c>
      <c r="G49" s="39">
        <f>IF('Operations &amp; Support'!G10="","",'Operations &amp; Support'!G10)</f>
        <v/>
      </c>
    </row>
    <row r="50">
      <c r="A50" s="41">
        <f>IF('Operations &amp; Support'!A11="","",'Operations &amp; Support'!A11)</f>
        <v/>
      </c>
      <c r="B50" s="41">
        <f>IF('Operations &amp; Support'!B11="","",'Operations &amp; Support'!B11)</f>
        <v/>
      </c>
      <c r="C50" s="41">
        <f>IF('Operations &amp; Support'!C11="","",'Operations &amp; Support'!C11)</f>
        <v/>
      </c>
      <c r="D50" s="41">
        <f>IF('Operations &amp; Support'!D11="","",'Operations &amp; Support'!D11)</f>
        <v/>
      </c>
      <c r="E50" s="41">
        <f>IF('Operations &amp; Support'!E11="","",'Operations &amp; Support'!E11)</f>
        <v/>
      </c>
      <c r="F50" s="40">
        <f>IF('Operations &amp; Support'!F11="","",'Operations &amp; Support'!F11)</f>
        <v/>
      </c>
      <c r="G50" s="41">
        <f>IF('Operations &amp; Support'!G11="","",'Operations &amp; Support'!G11)</f>
        <v/>
      </c>
    </row>
    <row r="51">
      <c r="A51" s="39">
        <f>IF('Implementation Planning'!A2="","",'Implementation Planning'!A2)</f>
        <v/>
      </c>
      <c r="B51" s="39">
        <f>IF('Implementation Planning'!B2="","",'Implementation Planning'!B2)</f>
        <v/>
      </c>
      <c r="C51" s="39">
        <f>IF('Implementation Planning'!C2="","",'Implementation Planning'!C2)</f>
        <v/>
      </c>
      <c r="D51" s="39">
        <f>IF('Implementation Planning'!D2="","",'Implementation Planning'!D2)</f>
        <v/>
      </c>
      <c r="E51" s="39">
        <f>IF('Implementation Planning'!E2="","",'Implementation Planning'!E2)</f>
        <v/>
      </c>
      <c r="F51" s="40">
        <f>IF('Implementation Planning'!F2="","",'Implementation Planning'!F2)</f>
        <v/>
      </c>
      <c r="G51" s="39">
        <f>IF('Implementation Planning'!G2="","",'Implementation Planning'!G2)</f>
        <v/>
      </c>
    </row>
    <row r="52">
      <c r="A52" s="41">
        <f>IF('Implementation Planning'!A3="","",'Implementation Planning'!A3)</f>
        <v/>
      </c>
      <c r="B52" s="41">
        <f>IF('Implementation Planning'!B3="","",'Implementation Planning'!B3)</f>
        <v/>
      </c>
      <c r="C52" s="41">
        <f>IF('Implementation Planning'!C3="","",'Implementation Planning'!C3)</f>
        <v/>
      </c>
      <c r="D52" s="41">
        <f>IF('Implementation Planning'!D3="","",'Implementation Planning'!D3)</f>
        <v/>
      </c>
      <c r="E52" s="41">
        <f>IF('Implementation Planning'!E3="","",'Implementation Planning'!E3)</f>
        <v/>
      </c>
      <c r="F52" s="40">
        <f>IF('Implementation Planning'!F3="","",'Implementation Planning'!F3)</f>
        <v/>
      </c>
      <c r="G52" s="41">
        <f>IF('Implementation Planning'!G3="","",'Implementation Planning'!G3)</f>
        <v/>
      </c>
    </row>
    <row r="53">
      <c r="A53" s="39">
        <f>IF('Implementation Planning'!A4="","",'Implementation Planning'!A4)</f>
        <v/>
      </c>
      <c r="B53" s="39">
        <f>IF('Implementation Planning'!B4="","",'Implementation Planning'!B4)</f>
        <v/>
      </c>
      <c r="C53" s="39">
        <f>IF('Implementation Planning'!C4="","",'Implementation Planning'!C4)</f>
        <v/>
      </c>
      <c r="D53" s="39">
        <f>IF('Implementation Planning'!D4="","",'Implementation Planning'!D4)</f>
        <v/>
      </c>
      <c r="E53" s="39">
        <f>IF('Implementation Planning'!E4="","",'Implementation Planning'!E4)</f>
        <v/>
      </c>
      <c r="F53" s="40">
        <f>IF('Implementation Planning'!F4="","",'Implementation Planning'!F4)</f>
        <v/>
      </c>
      <c r="G53" s="39">
        <f>IF('Implementation Planning'!G4="","",'Implementation Planning'!G4)</f>
        <v/>
      </c>
    </row>
    <row r="54">
      <c r="A54" s="41">
        <f>IF('Implementation Planning'!A5="","",'Implementation Planning'!A5)</f>
        <v/>
      </c>
      <c r="B54" s="41">
        <f>IF('Implementation Planning'!B5="","",'Implementation Planning'!B5)</f>
        <v/>
      </c>
      <c r="C54" s="41">
        <f>IF('Implementation Planning'!C5="","",'Implementation Planning'!C5)</f>
        <v/>
      </c>
      <c r="D54" s="41">
        <f>IF('Implementation Planning'!D5="","",'Implementation Planning'!D5)</f>
        <v/>
      </c>
      <c r="E54" s="41">
        <f>IF('Implementation Planning'!E5="","",'Implementation Planning'!E5)</f>
        <v/>
      </c>
      <c r="F54" s="40">
        <f>IF('Implementation Planning'!F5="","",'Implementation Planning'!F5)</f>
        <v/>
      </c>
      <c r="G54" s="41">
        <f>IF('Implementation Planning'!G5="","",'Implementation Planning'!G5)</f>
        <v/>
      </c>
    </row>
    <row r="55">
      <c r="A55" s="39">
        <f>IF('Implementation Planning'!A6="","",'Implementation Planning'!A6)</f>
        <v/>
      </c>
      <c r="B55" s="39">
        <f>IF('Implementation Planning'!B6="","",'Implementation Planning'!B6)</f>
        <v/>
      </c>
      <c r="C55" s="39">
        <f>IF('Implementation Planning'!C6="","",'Implementation Planning'!C6)</f>
        <v/>
      </c>
      <c r="D55" s="39">
        <f>IF('Implementation Planning'!D6="","",'Implementation Planning'!D6)</f>
        <v/>
      </c>
      <c r="E55" s="39">
        <f>IF('Implementation Planning'!E6="","",'Implementation Planning'!E6)</f>
        <v/>
      </c>
      <c r="F55" s="40">
        <f>IF('Implementation Planning'!F6="","",'Implementation Planning'!F6)</f>
        <v/>
      </c>
      <c r="G55" s="39">
        <f>IF('Implementation Planning'!G6="","",'Implementation Planning'!G6)</f>
        <v/>
      </c>
    </row>
    <row r="56">
      <c r="A56" s="41">
        <f>IF('Implementation Planning'!A7="","",'Implementation Planning'!A7)</f>
        <v/>
      </c>
      <c r="B56" s="41">
        <f>IF('Implementation Planning'!B7="","",'Implementation Planning'!B7)</f>
        <v/>
      </c>
      <c r="C56" s="41">
        <f>IF('Implementation Planning'!C7="","",'Implementation Planning'!C7)</f>
        <v/>
      </c>
      <c r="D56" s="41">
        <f>IF('Implementation Planning'!D7="","",'Implementation Planning'!D7)</f>
        <v/>
      </c>
      <c r="E56" s="41">
        <f>IF('Implementation Planning'!E7="","",'Implementation Planning'!E7)</f>
        <v/>
      </c>
      <c r="F56" s="40">
        <f>IF('Implementation Planning'!F7="","",'Implementation Planning'!F7)</f>
        <v/>
      </c>
      <c r="G56" s="41">
        <f>IF('Implementation Planning'!G7="","",'Implementation Planning'!G7)</f>
        <v/>
      </c>
    </row>
    <row r="57">
      <c r="A57" s="39">
        <f>IF('Implementation Planning'!A8="","",'Implementation Planning'!A8)</f>
        <v/>
      </c>
      <c r="B57" s="39">
        <f>IF('Implementation Planning'!B8="","",'Implementation Planning'!B8)</f>
        <v/>
      </c>
      <c r="C57" s="39">
        <f>IF('Implementation Planning'!C8="","",'Implementation Planning'!C8)</f>
        <v/>
      </c>
      <c r="D57" s="39">
        <f>IF('Implementation Planning'!D8="","",'Implementation Planning'!D8)</f>
        <v/>
      </c>
      <c r="E57" s="39">
        <f>IF('Implementation Planning'!E8="","",'Implementation Planning'!E8)</f>
        <v/>
      </c>
      <c r="F57" s="40">
        <f>IF('Implementation Planning'!F8="","",'Implementation Planning'!F8)</f>
        <v/>
      </c>
      <c r="G57" s="39">
        <f>IF('Implementation Planning'!G8="","",'Implementation Planning'!G8)</f>
        <v/>
      </c>
    </row>
    <row r="58">
      <c r="A58" s="41">
        <f>IF('Implementation Planning'!A9="","",'Implementation Planning'!A9)</f>
        <v/>
      </c>
      <c r="B58" s="41">
        <f>IF('Implementation Planning'!B9="","",'Implementation Planning'!B9)</f>
        <v/>
      </c>
      <c r="C58" s="41">
        <f>IF('Implementation Planning'!C9="","",'Implementation Planning'!C9)</f>
        <v/>
      </c>
      <c r="D58" s="41">
        <f>IF('Implementation Planning'!D9="","",'Implementation Planning'!D9)</f>
        <v/>
      </c>
      <c r="E58" s="41">
        <f>IF('Implementation Planning'!E9="","",'Implementation Planning'!E9)</f>
        <v/>
      </c>
      <c r="F58" s="40">
        <f>IF('Implementation Planning'!F9="","",'Implementation Planning'!F9)</f>
        <v/>
      </c>
      <c r="G58" s="41">
        <f>IF('Implementation Planning'!G9="","",'Implementation Planning'!G9)</f>
        <v/>
      </c>
    </row>
    <row r="59">
      <c r="A59" s="39">
        <f>IF('Implementation Planning'!A10="","",'Implementation Planning'!A10)</f>
        <v/>
      </c>
      <c r="B59" s="39">
        <f>IF('Implementation Planning'!B10="","",'Implementation Planning'!B10)</f>
        <v/>
      </c>
      <c r="C59" s="39">
        <f>IF('Implementation Planning'!C10="","",'Implementation Planning'!C10)</f>
        <v/>
      </c>
      <c r="D59" s="39">
        <f>IF('Implementation Planning'!D10="","",'Implementation Planning'!D10)</f>
        <v/>
      </c>
      <c r="E59" s="39">
        <f>IF('Implementation Planning'!E10="","",'Implementation Planning'!E10)</f>
        <v/>
      </c>
      <c r="F59" s="40">
        <f>IF('Implementation Planning'!F10="","",'Implementation Planning'!F10)</f>
        <v/>
      </c>
      <c r="G59" s="39">
        <f>IF('Implementation Planning'!G10="","",'Implementation Planning'!G10)</f>
        <v/>
      </c>
    </row>
    <row r="60">
      <c r="A60" s="41">
        <f>IF('Implementation Planning'!A11="","",'Implementation Planning'!A11)</f>
        <v/>
      </c>
      <c r="B60" s="41">
        <f>IF('Implementation Planning'!B11="","",'Implementation Planning'!B11)</f>
        <v/>
      </c>
      <c r="C60" s="41">
        <f>IF('Implementation Planning'!C11="","",'Implementation Planning'!C11)</f>
        <v/>
      </c>
      <c r="D60" s="41">
        <f>IF('Implementation Planning'!D11="","",'Implementation Planning'!D11)</f>
        <v/>
      </c>
      <c r="E60" s="41">
        <f>IF('Implementation Planning'!E11="","",'Implementation Planning'!E11)</f>
        <v/>
      </c>
      <c r="F60" s="40">
        <f>IF('Implementation Planning'!F11="","",'Implementation Planning'!F11)</f>
        <v/>
      </c>
      <c r="G60" s="41">
        <f>IF('Implementation Planning'!G11="","",'Implementation Planning'!G11)</f>
        <v/>
      </c>
    </row>
    <row r="61">
      <c r="A61" s="39">
        <f>IF('Risk &amp; Constraints'!A2="","",'Risk &amp; Constraints'!A2)</f>
        <v/>
      </c>
      <c r="B61" s="39">
        <f>IF('Risk &amp; Constraints'!B2="","",'Risk &amp; Constraints'!B2)</f>
        <v/>
      </c>
      <c r="C61" s="39">
        <f>IF('Risk &amp; Constraints'!C2="","",'Risk &amp; Constraints'!C2)</f>
        <v/>
      </c>
      <c r="D61" s="39">
        <f>IF('Risk &amp; Constraints'!D2="","",'Risk &amp; Constraints'!D2)</f>
        <v/>
      </c>
      <c r="E61" s="39">
        <f>IF('Risk &amp; Constraints'!E2="","",'Risk &amp; Constraints'!E2)</f>
        <v/>
      </c>
      <c r="F61" s="40">
        <f>IF('Risk &amp; Constraints'!F2="","",'Risk &amp; Constraints'!F2)</f>
        <v/>
      </c>
      <c r="G61" s="39">
        <f>IF('Risk &amp; Constraints'!G2="","",'Risk &amp; Constraints'!G2)</f>
        <v/>
      </c>
    </row>
    <row r="62">
      <c r="A62" s="41">
        <f>IF('Risk &amp; Constraints'!A3="","",'Risk &amp; Constraints'!A3)</f>
        <v/>
      </c>
      <c r="B62" s="41">
        <f>IF('Risk &amp; Constraints'!B3="","",'Risk &amp; Constraints'!B3)</f>
        <v/>
      </c>
      <c r="C62" s="41">
        <f>IF('Risk &amp; Constraints'!C3="","",'Risk &amp; Constraints'!C3)</f>
        <v/>
      </c>
      <c r="D62" s="41">
        <f>IF('Risk &amp; Constraints'!D3="","",'Risk &amp; Constraints'!D3)</f>
        <v/>
      </c>
      <c r="E62" s="41">
        <f>IF('Risk &amp; Constraints'!E3="","",'Risk &amp; Constraints'!E3)</f>
        <v/>
      </c>
      <c r="F62" s="40">
        <f>IF('Risk &amp; Constraints'!F3="","",'Risk &amp; Constraints'!F3)</f>
        <v/>
      </c>
      <c r="G62" s="41">
        <f>IF('Risk &amp; Constraints'!G3="","",'Risk &amp; Constraints'!G3)</f>
        <v/>
      </c>
    </row>
    <row r="63">
      <c r="A63" s="39">
        <f>IF('Risk &amp; Constraints'!A4="","",'Risk &amp; Constraints'!A4)</f>
        <v/>
      </c>
      <c r="B63" s="39">
        <f>IF('Risk &amp; Constraints'!B4="","",'Risk &amp; Constraints'!B4)</f>
        <v/>
      </c>
      <c r="C63" s="39">
        <f>IF('Risk &amp; Constraints'!C4="","",'Risk &amp; Constraints'!C4)</f>
        <v/>
      </c>
      <c r="D63" s="39">
        <f>IF('Risk &amp; Constraints'!D4="","",'Risk &amp; Constraints'!D4)</f>
        <v/>
      </c>
      <c r="E63" s="39">
        <f>IF('Risk &amp; Constraints'!E4="","",'Risk &amp; Constraints'!E4)</f>
        <v/>
      </c>
      <c r="F63" s="40">
        <f>IF('Risk &amp; Constraints'!F4="","",'Risk &amp; Constraints'!F4)</f>
        <v/>
      </c>
      <c r="G63" s="39">
        <f>IF('Risk &amp; Constraints'!G4="","",'Risk &amp; Constraints'!G4)</f>
        <v/>
      </c>
    </row>
    <row r="64">
      <c r="A64" s="41">
        <f>IF('Risk &amp; Constraints'!A5="","",'Risk &amp; Constraints'!A5)</f>
        <v/>
      </c>
      <c r="B64" s="41">
        <f>IF('Risk &amp; Constraints'!B5="","",'Risk &amp; Constraints'!B5)</f>
        <v/>
      </c>
      <c r="C64" s="41">
        <f>IF('Risk &amp; Constraints'!C5="","",'Risk &amp; Constraints'!C5)</f>
        <v/>
      </c>
      <c r="D64" s="41">
        <f>IF('Risk &amp; Constraints'!D5="","",'Risk &amp; Constraints'!D5)</f>
        <v/>
      </c>
      <c r="E64" s="41">
        <f>IF('Risk &amp; Constraints'!E5="","",'Risk &amp; Constraints'!E5)</f>
        <v/>
      </c>
      <c r="F64" s="40">
        <f>IF('Risk &amp; Constraints'!F5="","",'Risk &amp; Constraints'!F5)</f>
        <v/>
      </c>
      <c r="G64" s="41">
        <f>IF('Risk &amp; Constraints'!G5="","",'Risk &amp; Constraints'!G5)</f>
        <v/>
      </c>
    </row>
    <row r="65">
      <c r="A65" s="39">
        <f>IF('Risk &amp; Constraints'!A6="","",'Risk &amp; Constraints'!A6)</f>
        <v/>
      </c>
      <c r="B65" s="39">
        <f>IF('Risk &amp; Constraints'!B6="","",'Risk &amp; Constraints'!B6)</f>
        <v/>
      </c>
      <c r="C65" s="39">
        <f>IF('Risk &amp; Constraints'!C6="","",'Risk &amp; Constraints'!C6)</f>
        <v/>
      </c>
      <c r="D65" s="39">
        <f>IF('Risk &amp; Constraints'!D6="","",'Risk &amp; Constraints'!D6)</f>
        <v/>
      </c>
      <c r="E65" s="39">
        <f>IF('Risk &amp; Constraints'!E6="","",'Risk &amp; Constraints'!E6)</f>
        <v/>
      </c>
      <c r="F65" s="40">
        <f>IF('Risk &amp; Constraints'!F6="","",'Risk &amp; Constraints'!F6)</f>
        <v/>
      </c>
      <c r="G65" s="39">
        <f>IF('Risk &amp; Constraints'!G6="","",'Risk &amp; Constraints'!G6)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hyperconverged infrastructure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VxRail HCI project?</t>
        </is>
      </c>
      <c r="E3" s="39" t="inlineStr">
        <is>
          <t>Name, role, and decision-making authority (typically VP Infrastructure or IT Director)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infrastructure challenges are you trying to solve with VxRail HCI?</t>
        </is>
      </c>
      <c r="E4" s="41" t="inlineStr">
        <is>
          <t>Common challenges: Aging SAN end-of-life, Complex storage management, Slow VM provisioning, High support costs, Data center footprint, Multi-vendor finger-pointing</t>
        </is>
      </c>
      <c r="F4" s="40" t="n"/>
      <c r="G4" s="41" t="inlineStr">
        <is>
          <t>Primary business driver for HCI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virtualization and storage infrastructure?</t>
        </is>
      </c>
      <c r="E5" s="39" t="inlineStr">
        <is>
          <t>Describe: VMware vSphere version, SAN vendor (EMC NetApp Dell), Server vendor, Storage capacity,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VM Count</t>
        </is>
      </c>
      <c r="D6" s="41" t="inlineStr">
        <is>
          <t>How many virtual machines are currently running?</t>
        </is>
      </c>
      <c r="E6" s="41" t="inlineStr">
        <is>
          <t>Typical ranges: &lt;100 VMs, 100-250 VMs, 250-500 VMs, 500-1000 VMs, 1000+ VMs</t>
        </is>
      </c>
      <c r="F6" s="40" t="n"/>
      <c r="G6" s="41" t="inlineStr">
        <is>
          <t>Determines VxRail cluster size and scale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Workload Types</t>
        </is>
      </c>
      <c r="D7" s="39" t="inlineStr">
        <is>
          <t>What applications and workloads run in your virtual environment?</t>
        </is>
      </c>
      <c r="E7" s="39" t="inlineStr">
        <is>
          <t>Common workloads: File servers, Web servers, Databases (SQL Oracle), VDI (Horizon Citrix), ERP, CRM, Email (Exchange)</t>
        </is>
      </c>
      <c r="F7" s="40" t="n"/>
      <c r="G7" s="39" t="inlineStr">
        <is>
          <t>Workload classification drives sizing and performance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deploying VxRail HCI?</t>
        </is>
      </c>
      <c r="E8" s="41" t="inlineStr">
        <is>
          <t>Common goals: Simplify operations, Reduce TCO, Eliminate SAN complexity, Faster VM provisioning, Single vendor support, Data center consolidation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VxRail deployment success?</t>
        </is>
      </c>
      <c r="E9" s="39" t="inlineStr">
        <is>
          <t>Define KPIs: TCO reduction %, 99.9%+ uptime, VM provisioning time (minutes vs days), Operational FTE reduction, Single vendor support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VxRail deployment and VM migration?</t>
        </is>
      </c>
      <c r="E10" s="41" t="inlineStr">
        <is>
          <t>Typical ranges: 4-6 weeks (design + deploy), 6-8 weeks (with migration), 8-12 weeks (large enterprise)</t>
        </is>
      </c>
      <c r="F10" s="40" t="n"/>
      <c r="G10" s="41" t="inlineStr">
        <is>
          <t>Project timeline and migration windows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HCI infrastructure?</t>
        </is>
      </c>
      <c r="E11" s="39" t="inlineStr">
        <is>
          <t>Common ranges: $300K-$600K (4-node), $600K-$1M (8-node), $1M-$2M (16+ node). Include hardware software support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TCO Comparison</t>
        </is>
      </c>
      <c r="D12" s="41" t="inlineStr">
        <is>
          <t>What are your current annual infrastructure costs to compare against?</t>
        </is>
      </c>
      <c r="E12" s="41" t="inlineStr">
        <is>
          <t>Include: SAN support, Server support, VMware licenses, Power/cooling, Admin labor, Replacement CapEx</t>
        </is>
      </c>
      <c r="F12" s="40" t="n"/>
      <c r="G12" s="41" t="inlineStr">
        <is>
          <t>TCO baseline for cost comparison analysis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VM count and capacity to change over 3 years?</t>
        </is>
      </c>
      <c r="E13" s="39" t="inlineStr">
        <is>
          <t>Provide current VM count and projected annual growth rate (10%, 25%, 50%)</t>
        </is>
      </c>
      <c r="F13" s="40" t="n"/>
      <c r="G13" s="39" t="inlineStr">
        <is>
          <t>Scalability requirements and expansion planning</t>
        </is>
      </c>
    </row>
    <row r="14">
      <c r="A14" s="41" t="inlineStr">
        <is>
          <t>COST-001</t>
        </is>
      </c>
      <c r="B14" s="41" t="inlineStr">
        <is>
          <t>Business Requirements</t>
        </is>
      </c>
      <c r="C14" s="41" t="inlineStr">
        <is>
          <t>SAN Costs</t>
        </is>
      </c>
      <c r="D14" s="41" t="inlineStr">
        <is>
          <t>What is your current annual SAN support cost?</t>
        </is>
      </c>
      <c r="E14" s="41" t="inlineStr">
        <is>
          <t>Calculate: SAN maintenance contract + disk shelf expansion + SAN admin labor. Example: EMC Unity $50K/year + $30K admin = $80K</t>
        </is>
      </c>
      <c r="F14" s="40" t="n"/>
      <c r="G14" s="41" t="inlineStr">
        <is>
          <t>Baseline for cost savings and TCO analysis</t>
        </is>
      </c>
    </row>
    <row r="15">
      <c r="A15" s="39" t="inlineStr">
        <is>
          <t>COST-002</t>
        </is>
      </c>
      <c r="B15" s="39" t="inlineStr">
        <is>
          <t>Business Requirements</t>
        </is>
      </c>
      <c r="C15" s="39" t="inlineStr">
        <is>
          <t>Server Costs</t>
        </is>
      </c>
      <c r="D15" s="39" t="inlineStr">
        <is>
          <t>What are your current annual server and VMware costs?</t>
        </is>
      </c>
      <c r="E15" s="39" t="inlineStr">
        <is>
          <t>Include: Server hardware support, vSphere licenses (if EA), Compute admin labor</t>
        </is>
      </c>
      <c r="F15" s="40" t="n"/>
      <c r="G15" s="39" t="inlineStr">
        <is>
          <t>Infrastructure cost baseline</t>
        </is>
      </c>
    </row>
    <row r="16">
      <c r="A16" s="41" t="inlineStr">
        <is>
          <t>COST-003</t>
        </is>
      </c>
      <c r="B16" s="41" t="inlineStr">
        <is>
          <t>Business Requirements</t>
        </is>
      </c>
      <c r="C16" s="41" t="inlineStr">
        <is>
          <t>Cost Avoidance</t>
        </is>
      </c>
      <c r="D16" s="41" t="inlineStr">
        <is>
          <t>What infrastructure costs will VxRail eliminate?</t>
        </is>
      </c>
      <c r="E16" s="41" t="inlineStr">
        <is>
          <t>Avoided costs: SAN support, Separate server/storage purchases, Multi-vendor complexity, Power/cooling for SAN, Admin labor</t>
        </is>
      </c>
      <c r="F16" s="40" t="n"/>
      <c r="G16" s="41" t="inlineStr">
        <is>
          <t>Cost avoidance and TCO benefits</t>
        </is>
      </c>
    </row>
    <row r="17">
      <c r="A17" s="39" t="inlineStr">
        <is>
          <t>COST-004</t>
        </is>
      </c>
      <c r="B17" s="39" t="inlineStr">
        <is>
          <t>Business Requirements</t>
        </is>
      </c>
      <c r="C17" s="39" t="inlineStr">
        <is>
          <t>ROI Timeline</t>
        </is>
      </c>
      <c r="D17" s="39" t="inlineStr">
        <is>
          <t>What ROI timeline and payback period are you targeting?</t>
        </is>
      </c>
      <c r="E17" s="39" t="inlineStr">
        <is>
          <t>VxRail typically achieves ROI in 24-36 months through operational cost avoidance and SAN elimination</t>
        </is>
      </c>
      <c r="F17" s="40" t="n"/>
      <c r="G17" s="39" t="inlineStr">
        <is>
          <t>Financial justification and approval thresholds</t>
        </is>
      </c>
    </row>
    <row r="18">
      <c r="A18" s="41" t="inlineStr">
        <is>
          <t>COST-005</t>
        </is>
      </c>
      <c r="B18" s="41" t="inlineStr">
        <is>
          <t>Business Requirements</t>
        </is>
      </c>
      <c r="C18" s="41" t="inlineStr">
        <is>
          <t>CapEx vs OpEx</t>
        </is>
      </c>
      <c r="D18" s="41" t="inlineStr">
        <is>
          <t>Do you have preferences around CapEx vs OpEx spending?</t>
        </is>
      </c>
      <c r="E18" s="41" t="inlineStr">
        <is>
          <t>Consider: VxRail upfront purchase (CapEx), Dell Financial Services leasing (converts to OpEx), Budget approval processes</t>
        </is>
      </c>
      <c r="F18" s="40" t="n"/>
      <c r="G18" s="41" t="inlineStr">
        <is>
          <t>Financial structuring and procurement approach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vSphere Version</t>
        </is>
      </c>
      <c r="D2" s="41" t="inlineStr">
        <is>
          <t>What VMware vSphere version are you currently running?</t>
        </is>
      </c>
      <c r="E2" s="41" t="inlineStr">
        <is>
          <t>Common versions: vSphere 6.5/6.7 (upgrade required), vSphere 7.0, vSphere 8.0 (current)</t>
        </is>
      </c>
      <c r="F2" s="40" t="n"/>
      <c r="G2" s="41" t="inlineStr">
        <is>
          <t>vSphere compatibility and upgrade requirements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vSphere Licensing</t>
        </is>
      </c>
      <c r="D3" s="39" t="inlineStr">
        <is>
          <t>What VMware licensing do you currently have?</t>
        </is>
      </c>
      <c r="E3" s="39" t="inlineStr">
        <is>
          <t>Licenses: vSphere Standard, Enterprise, Enterprise Plus (required for vSAN). Can reuse existing or purchase new</t>
        </is>
      </c>
      <c r="F3" s="40" t="n"/>
      <c r="G3" s="39" t="inlineStr">
        <is>
          <t>vSphere license reuse or new purchase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Cluster Size</t>
        </is>
      </c>
      <c r="D4" s="41" t="inlineStr">
        <is>
          <t>What VxRail cluster size do you prefer?</t>
        </is>
      </c>
      <c r="E4" s="41" t="inlineStr">
        <is>
          <t>Cluster options: 4-node (entry), 6-node, 8-node (recommended), 12-16 node (large), Start small and expand</t>
        </is>
      </c>
      <c r="F4" s="40" t="n"/>
      <c r="G4" s="41" t="inlineStr">
        <is>
          <t>Cluster sizing and scalability approach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Node Model</t>
        </is>
      </c>
      <c r="D5" s="39" t="inlineStr">
        <is>
          <t>What VxRail node model fits your performance requirements?</t>
        </is>
      </c>
      <c r="E5" s="39" t="inlineStr">
        <is>
          <t>Models: E560 (hybrid SSD), E565 (all-flash NVMe), P570 (all-NVMe performance), D560 (dense storage), G560 (GPU workloads)</t>
        </is>
      </c>
      <c r="F5" s="40" t="n"/>
      <c r="G5" s="39" t="inlineStr">
        <is>
          <t>Node selection based on performance and capacity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Storage Capacity</t>
        </is>
      </c>
      <c r="D6" s="41" t="inlineStr">
        <is>
          <t>What total usable storage capacity is required?</t>
        </is>
      </c>
      <c r="E6" s="41" t="inlineStr">
        <is>
          <t>Calculate: Current data + 3-year growth + 30% buffer. vSAN deduplication/compression provides 2-3x savings. Account for FTT=1 mirroring (50% overhead)</t>
        </is>
      </c>
      <c r="F6" s="40" t="n"/>
      <c r="G6" s="41" t="inlineStr">
        <is>
          <t>Storage capacity planning with vSAN efficiency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vCPU Count</t>
        </is>
      </c>
      <c r="D7" s="39" t="inlineStr">
        <is>
          <t>How many total vCPUs are required for all VMs?</t>
        </is>
      </c>
      <c r="E7" s="39" t="inlineStr">
        <is>
          <t>Calculate: Sum of VM vCPUs. Typical 4:1 oversubscription acceptable. Account for N+1 or N+2 failover capacity</t>
        </is>
      </c>
      <c r="F7" s="40" t="n"/>
      <c r="G7" s="39" t="inlineStr">
        <is>
          <t>Compute capacity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Memory Capacity</t>
        </is>
      </c>
      <c r="D8" s="41" t="inlineStr">
        <is>
          <t>How much total RAM is required for all VMs?</t>
        </is>
      </c>
      <c r="E8" s="41" t="inlineStr">
        <is>
          <t>Calculate: Sum of VM RAM + 30% buffer + ESXi overhead. Account for N+1 failover capacity</t>
        </is>
      </c>
      <c r="F8" s="40" t="n"/>
      <c r="G8" s="41" t="inlineStr">
        <is>
          <t>Memory capacity sizing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 Requirements</t>
        </is>
      </c>
      <c r="D9" s="39" t="inlineStr">
        <is>
          <t>What network connectivity is required?</t>
        </is>
      </c>
      <c r="E9" s="39" t="inlineStr">
        <is>
          <t>Network: 10GbE adequate, 25GbE recommended for vSAN, Dual 10/25GbE for redundancy, ToR switch integration</t>
        </is>
      </c>
      <c r="F9" s="40" t="n"/>
      <c r="G9" s="39" t="inlineStr">
        <is>
          <t>Network fabric and bandwidth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vSAN Features</t>
        </is>
      </c>
      <c r="D10" s="41" t="inlineStr">
        <is>
          <t>What vSAN features are required?</t>
        </is>
      </c>
      <c r="E10" s="41" t="inlineStr">
        <is>
          <t>Features: Deduplication and compression (standard), Encryption at rest, Stretched cluster (DR), RAID-5/6 erasure coding (6+ nodes)</t>
        </is>
      </c>
      <c r="F10" s="40" t="n"/>
      <c r="G10" s="41" t="inlineStr">
        <is>
          <t>vSAN feature requirements and licensing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Backup</t>
        </is>
      </c>
      <c r="D11" s="39" t="inlineStr">
        <is>
          <t>What backup solution will you use with VxRail?</t>
        </is>
      </c>
      <c r="E11" s="39" t="inlineStr">
        <is>
          <t>Common: Veeam Backup &amp; Replication, Dell IDPA (Integrated Data Protection Appliance), Commvault, Rubrik, Cohesity, Native vSphere snapshots</t>
        </is>
      </c>
      <c r="F11" s="40" t="n"/>
      <c r="G11" s="39" t="inlineStr">
        <is>
          <t>Backup integration and data protection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Replication</t>
        </is>
      </c>
      <c r="D12" s="41" t="inlineStr">
        <is>
          <t>Do you need disaster recovery replication to second site?</t>
        </is>
      </c>
      <c r="E12" s="41" t="inlineStr">
        <is>
          <t>DR options: No DR, VMware SRM (Site Recovery Manager), vSphere Replication, Array-based replication, RecoverPoint for VMs</t>
        </is>
      </c>
      <c r="F12" s="40" t="n"/>
      <c r="G12" s="41" t="inlineStr">
        <is>
          <t>Disaster recovery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Existing VMware</t>
        </is>
      </c>
      <c r="D13" s="39" t="inlineStr">
        <is>
          <t>Can you reuse existing VMware infrastructure during migration?</t>
        </is>
      </c>
      <c r="E13" s="39" t="inlineStr">
        <is>
          <t>Migration options: Parallel run (keep old SAN during migration), vMotion VMs to VxRail, Lift-and-shift cutover, Green-field deployment</t>
        </is>
      </c>
      <c r="F13" s="40" t="n"/>
      <c r="G13" s="39" t="inlineStr">
        <is>
          <t>Migration approach and risk mitigation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Management</t>
        </is>
      </c>
      <c r="D14" s="41" t="inlineStr">
        <is>
          <t>What management and monitoring tools are required?</t>
        </is>
      </c>
      <c r="E14" s="41" t="inlineStr">
        <is>
          <t>Management: vCenter Server (standard), vRealize Operations (recommended), vRealize Log Insight, VxRail Manager, Dell OpenManage</t>
        </is>
      </c>
      <c r="F14" s="40" t="n"/>
      <c r="G14" s="41" t="inlineStr">
        <is>
          <t>Management and monitoring platform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vSAN All-Flash</t>
        </is>
      </c>
      <c r="D15" s="39" t="inlineStr">
        <is>
          <t>Do you require all-flash (NVMe) or is hybrid SSD acceptable?</t>
        </is>
      </c>
      <c r="E15" s="39" t="inlineStr">
        <is>
          <t>All-flash: Higher performance and density. Hybrid: Lower cost with SSD cache + HDD capacity tier. Most choose all-flash</t>
        </is>
      </c>
      <c r="F15" s="40" t="n"/>
      <c r="G15" s="39" t="inlineStr">
        <is>
          <t>Performance tier and cost tradeoff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in VMs?</t>
        </is>
      </c>
      <c r="E2" s="41" t="inlineStr">
        <is>
          <t>Levels: Public, Internal, Confidential, Restricted, Regulated (HIPAA PCI FedRAMP)</t>
        </is>
      </c>
      <c r="F2" s="40" t="n"/>
      <c r="G2" s="41" t="inlineStr">
        <is>
          <t>Determines encryption and security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Encryption</t>
        </is>
      </c>
      <c r="D3" s="39" t="inlineStr">
        <is>
          <t>Is vSAN encryption at rest required?</t>
        </is>
      </c>
      <c r="E3" s="39" t="inlineStr">
        <is>
          <t>Encryption: Not required, vSAN encryption (FIPS 140-2), VM-level encryption, Both vSAN and VM encryption</t>
        </is>
      </c>
      <c r="F3" s="40" t="n"/>
      <c r="G3" s="39" t="inlineStr">
        <is>
          <t>Data protection and compliance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infrastructure meet?</t>
        </is>
      </c>
      <c r="E4" s="41" t="inlineStr">
        <is>
          <t>Common standards: SOC 2, ISO 27001, PCI DSS, HIPAA, FedRAMP, GDPR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authentication and authorization requirements apply?</t>
        </is>
      </c>
      <c r="E5" s="39" t="inlineStr">
        <is>
          <t>Options: vCenter local accounts, Active Directory/LDAP, vSphere SSO, MFA, Certificate-based, RBAC roles</t>
        </is>
      </c>
      <c r="F5" s="40" t="n"/>
      <c r="G5" s="39" t="inlineStr">
        <is>
          <t>Identity and access management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Audit Logging</t>
        </is>
      </c>
      <c r="D6" s="41" t="inlineStr">
        <is>
          <t>What audit and compliance logging is required?</t>
        </is>
      </c>
      <c r="E6" s="41" t="inlineStr">
        <is>
          <t>Requirements: vCenter audit logs, vSAN event logs, VM access logs, SIEM integration (Splunk QRadar), Retention (1 year 3 years 7 years)</t>
        </is>
      </c>
      <c r="F6" s="40" t="n"/>
      <c r="G6" s="41" t="inlineStr">
        <is>
          <t>Audit trail and compliance reporting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Physical Location</t>
        </is>
      </c>
      <c r="D2" s="41" t="inlineStr">
        <is>
          <t>Where will VxRail be deployed?</t>
        </is>
      </c>
      <c r="E2" s="41" t="inlineStr">
        <is>
          <t>Options: On-premises data center, Colocation facility, Branch office, ROBO (remote office), Multi-site</t>
        </is>
      </c>
      <c r="F2" s="40" t="n"/>
      <c r="G2" s="41" t="inlineStr">
        <is>
          <t>Physical deployment location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Power &amp; Cooling</t>
        </is>
      </c>
      <c r="D3" s="39" t="inlineStr">
        <is>
          <t>What power and cooling capacity is available?</t>
        </is>
      </c>
      <c r="E3" s="39" t="inlineStr">
        <is>
          <t>VxRail 4-node cluster: ~12-16kW (3-4kW per node). Ensure adequate 208/240V circuits and HVAC cooling capacity</t>
        </is>
      </c>
      <c r="F3" s="40" t="n"/>
      <c r="G3" s="39" t="inlineStr">
        <is>
          <t>Electrical infrastructure and thermal management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Rack Space</t>
        </is>
      </c>
      <c r="D4" s="41" t="inlineStr">
        <is>
          <t>How much rack space is available?</t>
        </is>
      </c>
      <c r="E4" s="41" t="inlineStr">
        <is>
          <t>VxRail nodes: 2U per node (4-node = 8U, 8-node = 16U). Include ToR switches (2U) and UPS. Plan 12-20U total</t>
        </is>
      </c>
      <c r="F4" s="40" t="n"/>
      <c r="G4" s="41" t="inlineStr">
        <is>
          <t>Physical space and rack elevation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Virtualization Team</t>
        </is>
      </c>
      <c r="D5" s="39" t="inlineStr">
        <is>
          <t>How many virtualization administrators manage VMware?</t>
        </is>
      </c>
      <c r="E5" s="39" t="inlineStr">
        <is>
          <t>Team size: 1-2 admins (small), 3-5 admins (medium), 6+ admins (large enterprise)</t>
        </is>
      </c>
      <c r="F5" s="40" t="n"/>
      <c r="G5" s="39" t="inlineStr">
        <is>
          <t>Support team size and training requirements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vSphere Expertise</t>
        </is>
      </c>
      <c r="D6" s="41" t="inlineStr">
        <is>
          <t>What is your team's experience with VMware vSphere?</t>
        </is>
      </c>
      <c r="E6" s="41" t="inlineStr">
        <is>
          <t>Experience: Basic (vCenter GUI), Intermediate (vMotion DRS HA), Advanced (optimization troubleshooting), Expert (VCAP/VCDX)</t>
        </is>
      </c>
      <c r="F6" s="40" t="n"/>
      <c r="G6" s="41" t="inlineStr">
        <is>
          <t>vSphere skill level and training needs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vSAN Experience</t>
        </is>
      </c>
      <c r="D7" s="39" t="inlineStr">
        <is>
          <t>What is your team's experience with VMware vSAN?</t>
        </is>
      </c>
      <c r="E7" s="39" t="inlineStr">
        <is>
          <t>Experience: None (SAN only), Basic (vSAN concepts), Intermediate (vSAN administration), Advanced (performance tuning troubleshooting)</t>
        </is>
      </c>
      <c r="F7" s="40" t="n"/>
      <c r="G7" s="39" t="inlineStr">
        <is>
          <t>vSAN training needs assessment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Availability</t>
        </is>
      </c>
      <c r="D8" s="41" t="inlineStr">
        <is>
          <t>What uptime requirements do you have for virtual infrastructure?</t>
        </is>
      </c>
      <c r="E8" s="41" t="inlineStr">
        <is>
          <t>SLA: Best-effort 99% (no HA), Business 99.9% (N+1 HA), Mission-critical 99.99% (N+2 or stretched cluster)</t>
        </is>
      </c>
      <c r="F8" s="40" t="n"/>
      <c r="G8" s="41" t="inlineStr">
        <is>
          <t>High availability and redundancy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Maintenance Windows</t>
        </is>
      </c>
      <c r="D9" s="39" t="inlineStr">
        <is>
          <t>What maintenance windows are acceptable for updates?</t>
        </is>
      </c>
      <c r="E9" s="39" t="inlineStr">
        <is>
          <t>Change windows: Monthly patching window, Quarterly updates, Annual hardware refresh, Zero-downtime (rolling upgrades)</t>
        </is>
      </c>
      <c r="F9" s="40" t="n"/>
      <c r="G9" s="39" t="inlineStr">
        <is>
          <t>Change management and VxRail Lifecycle Manager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Monitoring</t>
        </is>
      </c>
      <c r="D10" s="41" t="inlineStr">
        <is>
          <t>What monitoring and alerting is required?</t>
        </is>
      </c>
      <c r="E10" s="41" t="inlineStr">
        <is>
          <t>Monitoring: vCenter alarms, vRealize Operations, vSAN health checks, Dell OpenManage, Email/SNMP alerts</t>
        </is>
      </c>
      <c r="F10" s="40" t="n"/>
      <c r="G10" s="41" t="inlineStr">
        <is>
          <t>Monitoring and observability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Support Coverage</t>
        </is>
      </c>
      <c r="D11" s="39" t="inlineStr">
        <is>
          <t>What support coverage do you require from Dell?</t>
        </is>
      </c>
      <c r="E11" s="39" t="inlineStr">
        <is>
          <t>Options: ProSupport (NBD), ProSupport Plus (4-hour), Mission Critical (2-hour with TAM), 24x7 phone support</t>
        </is>
      </c>
      <c r="F11" s="40" t="n"/>
      <c r="G11" s="39" t="inlineStr">
        <is>
          <t>Dell support contract level selection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VxRail deployment?</t>
        </is>
      </c>
      <c r="E2" s="41" t="inlineStr">
        <is>
          <t>Name, role, contact information (Virtualization Manager, Infrastructure Architect)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deployment and migration?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ProDeploy</t>
        </is>
      </c>
      <c r="D4" s="41" t="inlineStr">
        <is>
          <t>Do you need Dell ProDeploy services for installation?</t>
        </is>
      </c>
      <c r="E4" s="41" t="inlineStr">
        <is>
          <t>ProDeploy: Rack installation, Cable management, Initial configuration, vSphere setup, Knowledge transfer. Recommended for first VxRail deployment</t>
        </is>
      </c>
      <c r="F4" s="40" t="n"/>
      <c r="G4" s="41" t="inlineStr">
        <is>
          <t>Professional services and on-site support needs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Workloads</t>
        </is>
      </c>
      <c r="D5" s="39" t="inlineStr">
        <is>
          <t>What pilot VMs or applications will validate VxRail performance?</t>
        </is>
      </c>
      <c r="E5" s="39" t="inlineStr">
        <is>
          <t>Pilot selection: Non-critical VMs (file servers), Dev/test environment, Specific application tier, 10-20% of total VMs</t>
        </is>
      </c>
      <c r="F5" s="40" t="n"/>
      <c r="G5" s="39" t="inlineStr">
        <is>
          <t>Pilot testing and validation approach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Migration Method</t>
        </is>
      </c>
      <c r="D6" s="41" t="inlineStr">
        <is>
          <t>What migration method do you prefer for VMs?</t>
        </is>
      </c>
      <c r="E6" s="41" t="inlineStr">
        <is>
          <t>Options: vMotion (zero-downtime for VMware VMs), Cold migration (shutdown and move), Backup and restore, New builds</t>
        </is>
      </c>
      <c r="F6" s="40" t="n"/>
      <c r="G6" s="41" t="inlineStr">
        <is>
          <t>Migration approach and downtime tolerance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SAN Decommission</t>
        </is>
      </c>
      <c r="D7" s="39" t="inlineStr">
        <is>
          <t>When will legacy SAN be decommissioned?</t>
        </is>
      </c>
      <c r="E7" s="39" t="inlineStr">
        <is>
          <t>Timing: Immediately after migration, Parallel run for 30 days, Keep SAN for secondary storage, Retire after VxRail proven</t>
        </is>
      </c>
      <c r="F7" s="40" t="n"/>
      <c r="G7" s="39" t="inlineStr">
        <is>
          <t>Legacy infrastructure retirement timeline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</t>
        </is>
      </c>
      <c r="D8" s="41" t="inlineStr">
        <is>
          <t>What training will be needed for virtualization team?</t>
        </is>
      </c>
      <c r="E8" s="41" t="inlineStr">
        <is>
          <t>Training: vSphere 8.0 (if upgrading), vSAN administration, VxRail Lifecycle Manager, Troubleshooting and optimization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Documentation</t>
        </is>
      </c>
      <c r="D9" s="39" t="inlineStr">
        <is>
          <t>What documentation is required for handover?</t>
        </is>
      </c>
      <c r="E9" s="39" t="inlineStr">
        <is>
          <t>Deliverables: Architecture diagram (network storage compute), IP address plan, vSphere configuration, Runbooks, Troubleshooting guides</t>
        </is>
      </c>
      <c r="F9" s="40" t="n"/>
      <c r="G9" s="39" t="inlineStr">
        <is>
          <t>Documentation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</t>
        </is>
      </c>
      <c r="D10" s="41" t="inlineStr">
        <is>
          <t>What testing is required before production migration?</t>
        </is>
      </c>
      <c r="E10" s="41" t="inlineStr">
        <is>
          <t>Testing: vSAN performance (IOmeter), vMotion validation, HA failover, Backup and restore, Application performance</t>
        </is>
      </c>
      <c r="F10" s="40" t="n"/>
      <c r="G10" s="41" t="inlineStr">
        <is>
          <t>Acceptance testing criteria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Go-Live Criteria</t>
        </is>
      </c>
      <c r="D11" s="39" t="inlineStr">
        <is>
          <t>What criteria must be met before VxRail is production-ready?</t>
        </is>
      </c>
      <c r="E11" s="39" t="inlineStr">
        <is>
          <t>Examples: Pilot VMs performing well, Team trained, Backup operational, Monitoring configured, 99.9% uptime demonstrated</t>
        </is>
      </c>
      <c r="F11" s="40" t="n"/>
      <c r="G11" s="39" t="inlineStr">
        <is>
          <t>Acceptance criteria and project closure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vSAN Concern</t>
        </is>
      </c>
      <c r="D2" s="41" t="inlineStr">
        <is>
          <t>What are your concerns about transitioning from SAN to vSAN?</t>
        </is>
      </c>
      <c r="E2" s="41" t="inlineStr">
        <is>
          <t>Common concerns: vSAN maturity and stability, Performance vs dedicated SAN, Learning curve for team, Vendor lock-in (VMware)</t>
        </is>
      </c>
      <c r="F2" s="40" t="n"/>
      <c r="G2" s="41" t="inlineStr">
        <is>
          <t>Primary concerns and risk mitigation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Capacity Planning</t>
        </is>
      </c>
      <c r="D3" s="39" t="inlineStr">
        <is>
          <t>What if you need more capacity than initially deployed?</t>
        </is>
      </c>
      <c r="E3" s="39" t="inlineStr">
        <is>
          <t>Options: Add VxRail nodes non-disruptively (up to 64-node cluster), Add capacity-only nodes, Separate cluster for new workloads</t>
        </is>
      </c>
      <c r="F3" s="40" t="n"/>
      <c r="G3" s="39" t="inlineStr">
        <is>
          <t>Scalability constraints and expansion strategy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Node Failure</t>
        </is>
      </c>
      <c r="D4" s="41" t="inlineStr">
        <is>
          <t>What is your tolerance for hardware node failures?</t>
        </is>
      </c>
      <c r="E4" s="41" t="inlineStr">
        <is>
          <t>VxRail N+1: Tolerate 1 node failure. N+2: Tolerate 2 concurrent failures. Assess impact on performance and capacity</t>
        </is>
      </c>
      <c r="F4" s="40" t="n"/>
      <c r="G4" s="41" t="inlineStr">
        <is>
          <t>Failure mode analysis and HA design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Migration Risk</t>
        </is>
      </c>
      <c r="D5" s="39" t="inlineStr">
        <is>
          <t>What is your biggest concern about VM migration to VxRail?</t>
        </is>
      </c>
      <c r="E5" s="39" t="inlineStr">
        <is>
          <t>Common: Downtime impact, Application compatibility, Performance regressions, Data loss risk, Rollback procedures</t>
        </is>
      </c>
      <c r="F5" s="40" t="n"/>
      <c r="G5" s="39" t="inlineStr">
        <is>
          <t>Migration risk and contingency planning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Skills Gap</t>
        </is>
      </c>
      <c r="D6" s="41" t="inlineStr">
        <is>
          <t>What is your biggest concern about managing VxRail?</t>
        </is>
      </c>
      <c r="E6" s="41" t="inlineStr">
        <is>
          <t>Common: vSAN troubleshooting, Performance tuning, Capacity planning, Lifecycle management, Vendor support quality</t>
        </is>
      </c>
      <c r="F6" s="40" t="n"/>
      <c r="G6" s="41" t="inlineStr">
        <is>
          <t>Skill development and external support needs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2025-11-25T04:29:35Z</dcterms:modified>
  <cp:lastModifiedBy>Kishan Siram</cp:lastModifiedBy>
</cp:coreProperties>
</file>