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Guidelines'!$A$2:$F$9</definedName>
    <definedName name="_xlnm._FilterDatabase" localSheetId="2" hidden="1">'Infrastructure Costs'!$A$2:$K$19</definedName>
    <definedName name="_xlnm._FilterDatabase" localSheetId="3" hidden="1">'Credits'!$A$2:$D$5</definedName>
    <definedName name="_xlnm._FilterDatabase" localSheetId="4" hidden="1">'3-Year Summary'!$A$2:$G$10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Vxrail Hci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Cluster Size</t>
        </is>
      </c>
      <c r="B3" s="38" t="inlineStr">
        <is>
          <t>VxRail E560 Nodes</t>
        </is>
      </c>
      <c r="C3" s="39" t="inlineStr">
        <is>
          <t>4 nodes</t>
        </is>
      </c>
      <c r="D3" s="39" t="inlineStr">
        <is>
          <t>8 nodes</t>
        </is>
      </c>
      <c r="E3" s="39" t="inlineStr">
        <is>
          <t>16 nodes</t>
        </is>
      </c>
      <c r="F3" s="38" t="inlineStr">
        <is>
          <t>Minimum 4 nodes for HA with FTT=1</t>
        </is>
      </c>
    </row>
    <row r="4" ht="26" customHeight="1">
      <c r="A4" s="40" t="inlineStr">
        <is>
          <t>Total vCPUs</t>
        </is>
      </c>
      <c r="B4" s="41" t="inlineStr">
        <is>
          <t>Xeon Gold Processors</t>
        </is>
      </c>
      <c r="C4" s="42" t="inlineStr">
        <is>
          <t>256 vCPUs</t>
        </is>
      </c>
      <c r="D4" s="42" t="inlineStr">
        <is>
          <t>512 vCPUs</t>
        </is>
      </c>
      <c r="E4" s="42" t="inlineStr">
        <is>
          <t>1024 vCPUs</t>
        </is>
      </c>
      <c r="F4" s="41" t="inlineStr">
        <is>
          <t>32 cores per node (2x 16-core CPUs)</t>
        </is>
      </c>
    </row>
    <row r="5" ht="26" customHeight="1">
      <c r="A5" s="37" t="inlineStr">
        <is>
          <t>Total RAM</t>
        </is>
      </c>
      <c r="B5" s="38" t="inlineStr">
        <is>
          <t>DDR4 Memory</t>
        </is>
      </c>
      <c r="C5" s="39" t="inlineStr">
        <is>
          <t>3TB (768GB per node)</t>
        </is>
      </c>
      <c r="D5" s="39" t="inlineStr">
        <is>
          <t>6TB (768GB per node)</t>
        </is>
      </c>
      <c r="E5" s="39" t="inlineStr">
        <is>
          <t>12TB (768GB per node)</t>
        </is>
      </c>
      <c r="F5" s="38" t="inlineStr">
        <is>
          <t>Expandable to 3TB per node if needed</t>
        </is>
      </c>
    </row>
    <row r="6" ht="26" customHeight="1">
      <c r="A6" s="40" t="inlineStr">
        <is>
          <t>vSAN Storage</t>
        </is>
      </c>
      <c r="B6" s="41" t="inlineStr">
        <is>
          <t>All-Flash Capacity (raw)</t>
        </is>
      </c>
      <c r="C6" s="42" t="inlineStr">
        <is>
          <t>61TB raw / 40TB usable</t>
        </is>
      </c>
      <c r="D6" s="42" t="inlineStr">
        <is>
          <t>122TB raw / 80TB usable</t>
        </is>
      </c>
      <c r="E6" s="42" t="inlineStr">
        <is>
          <t>245TB raw / 160TB usable</t>
        </is>
      </c>
      <c r="F6" s="41" t="inlineStr">
        <is>
          <t>FTT=1 RAID-5 erasure coding overhead</t>
        </is>
      </c>
    </row>
    <row r="7" ht="26" customHeight="1">
      <c r="A7" s="37" t="inlineStr">
        <is>
          <t>VM Capacity</t>
        </is>
      </c>
      <c r="B7" s="38" t="inlineStr">
        <is>
          <t>Estimated VM Count</t>
        </is>
      </c>
      <c r="C7" s="39" t="inlineStr">
        <is>
          <t>200 VMs</t>
        </is>
      </c>
      <c r="D7" s="39" t="inlineStr">
        <is>
          <t>400 VMs</t>
        </is>
      </c>
      <c r="E7" s="39" t="inlineStr">
        <is>
          <t>800 VMs</t>
        </is>
      </c>
      <c r="F7" s="38" t="inlineStr">
        <is>
          <t>Based on 4vCPU 16GB average VM size</t>
        </is>
      </c>
    </row>
    <row r="8" ht="26" customHeight="1">
      <c r="A8" s="40" t="inlineStr">
        <is>
          <t>Network Fabric</t>
        </is>
      </c>
      <c r="B8" s="41" t="inlineStr">
        <is>
          <t>10/25GbE Connectivity</t>
        </is>
      </c>
      <c r="C8" s="42" t="inlineStr">
        <is>
          <t>4-node fabric</t>
        </is>
      </c>
      <c r="D8" s="42" t="inlineStr">
        <is>
          <t>8-node fabric</t>
        </is>
      </c>
      <c r="E8" s="42" t="inlineStr">
        <is>
          <t>16-node fabric</t>
        </is>
      </c>
      <c r="F8" s="41" t="inlineStr">
        <is>
          <t>Redundant ToR switches for vSAN and vMotion</t>
        </is>
      </c>
    </row>
    <row r="9" ht="26" customHeight="1">
      <c r="A9" s="37" t="inlineStr">
        <is>
          <t>Support Tier</t>
        </is>
      </c>
      <c r="B9" s="38" t="inlineStr">
        <is>
          <t>Dell ProSupport Plus</t>
        </is>
      </c>
      <c r="C9" s="39" t="inlineStr">
        <is>
          <t>Integrated stack support</t>
        </is>
      </c>
      <c r="D9" s="39" t="inlineStr">
        <is>
          <t>Integrated stack support</t>
        </is>
      </c>
      <c r="E9" s="39" t="inlineStr">
        <is>
          <t>Integrated stack support</t>
        </is>
      </c>
      <c r="F9" s="38" t="inlineStr">
        <is>
          <t>Single vendor support for Dell and VMware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Hardware</t>
        </is>
      </c>
      <c r="B3" s="44" t="inlineStr">
        <is>
          <t>VxRail E560 Node</t>
        </is>
      </c>
      <c r="C3" s="44" t="inlineStr">
        <is>
          <t>2U server with 2x Xeon Gold 6338 768GB RAM 15.36TB all-flash NVMe</t>
        </is>
      </c>
      <c r="D3" s="45" t="n">
        <v>4</v>
      </c>
      <c r="E3" s="44" t="inlineStr">
        <is>
          <t>Nodes</t>
        </is>
      </c>
      <c r="F3" s="46" t="n">
        <v>45000</v>
      </c>
      <c r="G3" s="46" t="n">
        <v>180000</v>
      </c>
      <c r="H3" s="46" t="n">
        <v>0</v>
      </c>
      <c r="I3" s="46" t="n">
        <v>0</v>
      </c>
      <c r="J3" s="46" t="n">
        <v>180000</v>
      </c>
      <c r="K3" s="44" t="inlineStr">
        <is>
          <t>Base 4-node HCI cluster</t>
        </is>
      </c>
    </row>
    <row r="4" ht="26" customHeight="1">
      <c r="A4" s="47" t="inlineStr">
        <is>
          <t>Hardware</t>
        </is>
      </c>
      <c r="B4" s="48" t="inlineStr">
        <is>
          <t>VxRail Manager Appliance</t>
        </is>
      </c>
      <c r="C4" s="48" t="inlineStr">
        <is>
          <t>Lifecycle management virtual appliance for automated updates</t>
        </is>
      </c>
      <c r="D4" s="49" t="n">
        <v>1</v>
      </c>
      <c r="E4" s="48" t="inlineStr">
        <is>
          <t>License</t>
        </is>
      </c>
      <c r="F4" s="50" t="n">
        <v>0</v>
      </c>
      <c r="G4" s="50" t="n">
        <v>0</v>
      </c>
      <c r="H4" s="50" t="n">
        <v>0</v>
      </c>
      <c r="I4" s="50" t="n">
        <v>0</v>
      </c>
      <c r="J4" s="50" t="n">
        <v>0</v>
      </c>
      <c r="K4" s="48" t="inlineStr">
        <is>
          <t>Included with VxRail purchase</t>
        </is>
      </c>
    </row>
    <row r="5" ht="26" customHeight="1">
      <c r="A5" s="43" t="inlineStr">
        <is>
          <t>Hardware</t>
        </is>
      </c>
      <c r="B5" s="44" t="inlineStr">
        <is>
          <t>Rack Rails &amp; Cable Arms</t>
        </is>
      </c>
      <c r="C5" s="44" t="inlineStr">
        <is>
          <t>Rack mounting hardware for VxRail nodes</t>
        </is>
      </c>
      <c r="D5" s="45" t="n">
        <v>4</v>
      </c>
      <c r="E5" s="44" t="inlineStr">
        <is>
          <t>Kits</t>
        </is>
      </c>
      <c r="F5" s="46" t="n">
        <v>350</v>
      </c>
      <c r="G5" s="46" t="n">
        <v>1400</v>
      </c>
      <c r="H5" s="46" t="n">
        <v>0</v>
      </c>
      <c r="I5" s="46" t="n">
        <v>0</v>
      </c>
      <c r="J5" s="46" t="n">
        <v>1400</v>
      </c>
      <c r="K5" s="44" t="inlineStr">
        <is>
          <t>Physical installation accessories</t>
        </is>
      </c>
    </row>
    <row r="6" ht="26" customHeight="1">
      <c r="A6" s="47" t="inlineStr">
        <is>
          <t>Networking</t>
        </is>
      </c>
      <c r="B6" s="48" t="inlineStr">
        <is>
          <t>Dell PowerSwitch S5248F-ON</t>
        </is>
      </c>
      <c r="C6" s="48" t="inlineStr">
        <is>
          <t>48-port 25GbE ToR switch with OS10 for vSAN and vMotion</t>
        </is>
      </c>
      <c r="D6" s="49" t="n">
        <v>2</v>
      </c>
      <c r="E6" s="48" t="inlineStr">
        <is>
          <t>Switches</t>
        </is>
      </c>
      <c r="F6" s="50" t="n">
        <v>12000</v>
      </c>
      <c r="G6" s="50" t="n">
        <v>24000</v>
      </c>
      <c r="H6" s="50" t="n">
        <v>0</v>
      </c>
      <c r="I6" s="50" t="n">
        <v>0</v>
      </c>
      <c r="J6" s="50" t="n">
        <v>24000</v>
      </c>
      <c r="K6" s="48" t="inlineStr">
        <is>
          <t>Redundant pair for HA fabric</t>
        </is>
      </c>
    </row>
    <row r="7" ht="26" customHeight="1">
      <c r="A7" s="43" t="inlineStr">
        <is>
          <t>Networking</t>
        </is>
      </c>
      <c r="B7" s="44" t="inlineStr">
        <is>
          <t>25GbE SFP28 Transceivers</t>
        </is>
      </c>
      <c r="C7" s="44" t="inlineStr">
        <is>
          <t>Fiber optic transceivers for node-to-switch connectivity</t>
        </is>
      </c>
      <c r="D7" s="45" t="n">
        <v>32</v>
      </c>
      <c r="E7" s="44" t="inlineStr">
        <is>
          <t>Transceivers</t>
        </is>
      </c>
      <c r="F7" s="46" t="n">
        <v>400</v>
      </c>
      <c r="G7" s="46" t="n">
        <v>12800</v>
      </c>
      <c r="H7" s="46" t="n">
        <v>0</v>
      </c>
      <c r="I7" s="46" t="n">
        <v>0</v>
      </c>
      <c r="J7" s="46" t="n">
        <v>12800</v>
      </c>
      <c r="K7" s="44" t="inlineStr">
        <is>
          <t>8 per node × 4 nodes (redundant uplinks)</t>
        </is>
      </c>
    </row>
    <row r="8" ht="26" customHeight="1">
      <c r="A8" s="47" t="inlineStr">
        <is>
          <t>Networking</t>
        </is>
      </c>
      <c r="B8" s="48" t="inlineStr">
        <is>
          <t>OM4 Fiber Cables</t>
        </is>
      </c>
      <c r="C8" s="48" t="inlineStr">
        <is>
          <t>Multimode fiber patch cables for 25GbE connections</t>
        </is>
      </c>
      <c r="D8" s="49" t="n">
        <v>32</v>
      </c>
      <c r="E8" s="48" t="inlineStr">
        <is>
          <t>Cables</t>
        </is>
      </c>
      <c r="F8" s="50" t="n">
        <v>45</v>
      </c>
      <c r="G8" s="50" t="n">
        <v>1440</v>
      </c>
      <c r="H8" s="50" t="n">
        <v>0</v>
      </c>
      <c r="I8" s="50" t="n">
        <v>0</v>
      </c>
      <c r="J8" s="50" t="n">
        <v>1440</v>
      </c>
      <c r="K8" s="48" t="inlineStr">
        <is>
          <t>Short-reach data center cabling</t>
        </is>
      </c>
    </row>
    <row r="9" ht="26" customHeight="1">
      <c r="A9" s="43" t="inlineStr">
        <is>
          <t>Software</t>
        </is>
      </c>
      <c r="B9" s="44" t="inlineStr">
        <is>
          <t>VMware vSphere Enterprise Plus</t>
        </is>
      </c>
      <c r="C9" s="44" t="inlineStr">
        <is>
          <t>Hypervisor per-CPU licensing for advanced features</t>
        </is>
      </c>
      <c r="D9" s="45" t="n">
        <v>8</v>
      </c>
      <c r="E9" s="44" t="inlineStr">
        <is>
          <t>CPU Licenses</t>
        </is>
      </c>
      <c r="F9" s="46" t="n">
        <v>5750</v>
      </c>
      <c r="G9" s="46" t="n">
        <v>46000</v>
      </c>
      <c r="H9" s="46" t="n">
        <v>0</v>
      </c>
      <c r="I9" s="46" t="n">
        <v>0</v>
      </c>
      <c r="J9" s="46" t="n">
        <v>46000</v>
      </c>
      <c r="K9" s="44" t="inlineStr">
        <is>
          <t>2 CPUs per node × 4 nodes</t>
        </is>
      </c>
    </row>
    <row r="10" ht="26" customHeight="1">
      <c r="A10" s="47" t="inlineStr">
        <is>
          <t>Software</t>
        </is>
      </c>
      <c r="B10" s="48" t="inlineStr">
        <is>
          <t>VMware vSAN Enterprise</t>
        </is>
      </c>
      <c r="C10" s="48" t="inlineStr">
        <is>
          <t>Software-defined storage per-CPU licensing with dedup/compression</t>
        </is>
      </c>
      <c r="D10" s="49" t="n">
        <v>8</v>
      </c>
      <c r="E10" s="48" t="inlineStr">
        <is>
          <t>CPU Licenses</t>
        </is>
      </c>
      <c r="F10" s="50" t="n">
        <v>3750</v>
      </c>
      <c r="G10" s="50" t="n">
        <v>30000</v>
      </c>
      <c r="H10" s="50" t="n">
        <v>0</v>
      </c>
      <c r="I10" s="50" t="n">
        <v>0</v>
      </c>
      <c r="J10" s="50" t="n">
        <v>30000</v>
      </c>
      <c r="K10" s="48" t="inlineStr">
        <is>
          <t>Included deduplication and encryption</t>
        </is>
      </c>
    </row>
    <row r="11" ht="26" customHeight="1">
      <c r="A11" s="43" t="inlineStr">
        <is>
          <t>Software</t>
        </is>
      </c>
      <c r="B11" s="44" t="inlineStr">
        <is>
          <t>VMware vCenter Server Standard</t>
        </is>
      </c>
      <c r="C11" s="44" t="inlineStr">
        <is>
          <t>Centralized management for vSphere cluster</t>
        </is>
      </c>
      <c r="D11" s="45" t="n">
        <v>1</v>
      </c>
      <c r="E11" s="44" t="inlineStr">
        <is>
          <t>Instance</t>
        </is>
      </c>
      <c r="F11" s="46" t="n">
        <v>6000</v>
      </c>
      <c r="G11" s="46" t="n">
        <v>6000</v>
      </c>
      <c r="H11" s="46" t="n">
        <v>0</v>
      </c>
      <c r="I11" s="46" t="n">
        <v>0</v>
      </c>
      <c r="J11" s="46" t="n">
        <v>6000</v>
      </c>
      <c r="K11" s="44" t="inlineStr">
        <is>
          <t>One-time perpetual license</t>
        </is>
      </c>
    </row>
    <row r="12" ht="26" customHeight="1">
      <c r="A12" s="47" t="inlineStr">
        <is>
          <t>Software</t>
        </is>
      </c>
      <c r="B12" s="48" t="inlineStr">
        <is>
          <t>VMware vRealize Operations</t>
        </is>
      </c>
      <c r="C12" s="48" t="inlineStr">
        <is>
          <t>Infrastructure monitoring capacity planning and optimization</t>
        </is>
      </c>
      <c r="D12" s="49" t="n">
        <v>8</v>
      </c>
      <c r="E12" s="48" t="inlineStr">
        <is>
          <t>CPU Licenses</t>
        </is>
      </c>
      <c r="F12" s="50" t="n">
        <v>2250</v>
      </c>
      <c r="G12" s="50" t="n">
        <v>18000</v>
      </c>
      <c r="H12" s="50" t="n">
        <v>18000</v>
      </c>
      <c r="I12" s="50" t="n">
        <v>18000</v>
      </c>
      <c r="J12" s="50" t="n">
        <v>54000</v>
      </c>
      <c r="K12" s="48" t="inlineStr">
        <is>
          <t>Annual subscription per CPU</t>
        </is>
      </c>
    </row>
    <row r="13" ht="26" customHeight="1">
      <c r="A13" s="43" t="inlineStr">
        <is>
          <t>Software</t>
        </is>
      </c>
      <c r="B13" s="44" t="inlineStr">
        <is>
          <t>Veeam Backup &amp; Replication</t>
        </is>
      </c>
      <c r="C13" s="44" t="inlineStr">
        <is>
          <t>VM backup and replication for VxRail cluster</t>
        </is>
      </c>
      <c r="D13" s="45" t="n">
        <v>200</v>
      </c>
      <c r="E13" s="44" t="inlineStr">
        <is>
          <t>VM Licenses</t>
        </is>
      </c>
      <c r="F13" s="46" t="n">
        <v>45</v>
      </c>
      <c r="G13" s="46" t="n">
        <v>9000</v>
      </c>
      <c r="H13" s="46" t="n">
        <v>9000</v>
      </c>
      <c r="I13" s="46" t="n">
        <v>9000</v>
      </c>
      <c r="J13" s="46" t="n">
        <v>27000</v>
      </c>
      <c r="K13" s="44" t="inlineStr">
        <is>
          <t>Annual subscription per VM</t>
        </is>
      </c>
    </row>
    <row r="14" ht="26" customHeight="1">
      <c r="A14" s="47" t="inlineStr">
        <is>
          <t>Support &amp; Maintenance</t>
        </is>
      </c>
      <c r="B14" s="48" t="inlineStr">
        <is>
          <t>Dell VxRail ProSupport Plus</t>
        </is>
      </c>
      <c r="C14" s="48" t="inlineStr">
        <is>
          <t>24x7 integrated hardware and software support for entire stack</t>
        </is>
      </c>
      <c r="D14" s="49" t="n">
        <v>4</v>
      </c>
      <c r="E14" s="48" t="inlineStr">
        <is>
          <t>Nodes</t>
        </is>
      </c>
      <c r="F14" s="50" t="n">
        <v>6750</v>
      </c>
      <c r="G14" s="50" t="n">
        <v>27000</v>
      </c>
      <c r="H14" s="50" t="n">
        <v>27000</v>
      </c>
      <c r="I14" s="50" t="n">
        <v>27000</v>
      </c>
      <c r="J14" s="50" t="n">
        <v>81000</v>
      </c>
      <c r="K14" s="48" t="inlineStr">
        <is>
          <t>Includes VMware and Dell support</t>
        </is>
      </c>
    </row>
    <row r="15" ht="26" customHeight="1">
      <c r="A15" s="43" t="inlineStr">
        <is>
          <t>Support &amp; Maintenance</t>
        </is>
      </c>
      <c r="B15" s="44" t="inlineStr">
        <is>
          <t>Network Equipment Support</t>
        </is>
      </c>
      <c r="C15" s="44" t="inlineStr">
        <is>
          <t>ProSupport for PowerSwitch networking</t>
        </is>
      </c>
      <c r="D15" s="45" t="n">
        <v>2</v>
      </c>
      <c r="E15" s="44" t="inlineStr">
        <is>
          <t>Switches</t>
        </is>
      </c>
      <c r="F15" s="46" t="n">
        <v>1200</v>
      </c>
      <c r="G15" s="46" t="n">
        <v>2400</v>
      </c>
      <c r="H15" s="46" t="n">
        <v>2400</v>
      </c>
      <c r="I15" s="46" t="n">
        <v>2400</v>
      </c>
      <c r="J15" s="46" t="n">
        <v>7200</v>
      </c>
      <c r="K15" s="44" t="inlineStr">
        <is>
          <t>Switch hardware support contracts</t>
        </is>
      </c>
    </row>
    <row r="16" ht="26" customHeight="1">
      <c r="A16" s="47" t="inlineStr">
        <is>
          <t>Professional Services</t>
        </is>
      </c>
      <c r="B16" s="48" t="inlineStr">
        <is>
          <t>VxRail Deployment Services</t>
        </is>
      </c>
      <c r="C16" s="48" t="inlineStr">
        <is>
          <t>On-site installation network configuration and cluster build</t>
        </is>
      </c>
      <c r="D16" s="49" t="n">
        <v>4</v>
      </c>
      <c r="E16" s="48" t="inlineStr">
        <is>
          <t>Nodes</t>
        </is>
      </c>
      <c r="F16" s="50" t="n">
        <v>5000</v>
      </c>
      <c r="G16" s="50" t="n">
        <v>20000</v>
      </c>
      <c r="H16" s="50" t="n">
        <v>0</v>
      </c>
      <c r="I16" s="50" t="n">
        <v>0</v>
      </c>
      <c r="J16" s="50" t="n">
        <v>20000</v>
      </c>
      <c r="K16" s="48" t="inlineStr">
        <is>
          <t>1 week Dell ProDeploy engagement</t>
        </is>
      </c>
    </row>
    <row r="17" ht="26" customHeight="1">
      <c r="A17" s="43" t="inlineStr">
        <is>
          <t>Professional Services</t>
        </is>
      </c>
      <c r="B17" s="44" t="inlineStr">
        <is>
          <t>VMware Training</t>
        </is>
      </c>
      <c r="C17" s="44" t="inlineStr">
        <is>
          <t>vSphere and vSAN administration 5-day course</t>
        </is>
      </c>
      <c r="D17" s="45" t="n">
        <v>2</v>
      </c>
      <c r="E17" s="44" t="inlineStr">
        <is>
          <t>Students</t>
        </is>
      </c>
      <c r="F17" s="46" t="n">
        <v>3500</v>
      </c>
      <c r="G17" s="46" t="n">
        <v>7000</v>
      </c>
      <c r="H17" s="46" t="n">
        <v>0</v>
      </c>
      <c r="I17" s="46" t="n">
        <v>0</v>
      </c>
      <c r="J17" s="46" t="n">
        <v>7000</v>
      </c>
      <c r="K17" s="44" t="inlineStr">
        <is>
          <t>Hands-on training for IT team</t>
        </is>
      </c>
    </row>
    <row r="18" ht="26" customHeight="1">
      <c r="A18" s="47" t="inlineStr">
        <is>
          <t>Professional Services</t>
        </is>
      </c>
      <c r="B18" s="48" t="inlineStr">
        <is>
          <t>Migration Services</t>
        </is>
      </c>
      <c r="C18" s="48" t="inlineStr">
        <is>
          <t>VM migration planning and execution from legacy infrastructure</t>
        </is>
      </c>
      <c r="D18" s="49" t="n">
        <v>1</v>
      </c>
      <c r="E18" s="48" t="inlineStr">
        <is>
          <t>Project</t>
        </is>
      </c>
      <c r="F18" s="50" t="n">
        <v>15000</v>
      </c>
      <c r="G18" s="50" t="n">
        <v>15000</v>
      </c>
      <c r="H18" s="50" t="n">
        <v>0</v>
      </c>
      <c r="I18" s="50" t="n">
        <v>0</v>
      </c>
      <c r="J18" s="50" t="n">
        <v>15000</v>
      </c>
      <c r="K18" s="48" t="inlineStr">
        <is>
          <t>Professional services for workload migration</t>
        </is>
      </c>
    </row>
    <row r="19" ht="26" customHeight="1">
      <c r="A19" s="51" t="inlineStr">
        <is>
          <t>TOTAL</t>
        </is>
      </c>
      <c r="B19" s="52" t="n"/>
      <c r="C19" s="52" t="n"/>
      <c r="D19" s="52" t="n"/>
      <c r="E19" s="52" t="n"/>
      <c r="F19" s="52" t="n"/>
      <c r="G19" s="53">
        <f>SUM(G3:G18)</f>
        <v/>
      </c>
      <c r="H19" s="53">
        <f>SUM(H3:H18)</f>
        <v/>
      </c>
      <c r="I19" s="53">
        <f>SUM(I3:I18)</f>
        <v/>
      </c>
      <c r="J19" s="53">
        <f>SUM(J3:J18)</f>
        <v/>
      </c>
      <c r="K19" s="52" t="n"/>
    </row>
  </sheetData>
  <autoFilter ref="A2:K19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Hardware</t>
        </is>
      </c>
      <c r="B3" s="44" t="inlineStr">
        <is>
          <t>Legacy Infrastructure Decommission</t>
        </is>
      </c>
      <c r="C3" s="46" t="n">
        <v>-120000</v>
      </c>
      <c r="D3" s="44" t="inlineStr">
        <is>
          <t>3-year maintenance contract savings from retiring 40 physical servers and SAN arrays</t>
        </is>
      </c>
    </row>
    <row r="4" ht="26" customHeight="1">
      <c r="A4" s="47" t="inlineStr">
        <is>
          <t>Operational Savings</t>
        </is>
      </c>
      <c r="B4" s="48" t="inlineStr">
        <is>
          <t>Power and Cooling Reduction</t>
        </is>
      </c>
      <c r="C4" s="50" t="n">
        <v>-45000</v>
      </c>
      <c r="D4" s="48" t="inlineStr">
        <is>
          <t>Annual savings from 70% reduction in power consumption vs legacy infrastructure</t>
        </is>
      </c>
    </row>
    <row r="5" ht="26" customHeight="1">
      <c r="A5" s="43" t="inlineStr">
        <is>
          <t>Operational Savings</t>
        </is>
      </c>
      <c r="B5" s="44" t="inlineStr">
        <is>
          <t>Data Center Footprint Reduction</t>
        </is>
      </c>
      <c r="C5" s="46" t="n">
        <v>-24000</v>
      </c>
      <c r="D5" s="44" t="inlineStr">
        <is>
          <t>Annual savings from consolidating 4 racks to 1 rack (rack rental and cross-connects)</t>
        </is>
      </c>
    </row>
  </sheetData>
  <autoFilter ref="A2:D5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Hardware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Networking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Software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Support &amp; Maintenance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43" t="inlineStr">
        <is>
          <t>Professional Services</t>
        </is>
      </c>
      <c r="B7" s="46">
        <f>SUMIF('Infrastructure Costs'!$A:$A,A7,'Infrastructure Costs'!$G:$G)</f>
        <v/>
      </c>
      <c r="C7" s="46">
        <f>SUMIF(Credits!$A:$A,A7,Credits!$C:$C)</f>
        <v/>
      </c>
      <c r="D7" s="46">
        <f>B7+C7</f>
        <v/>
      </c>
      <c r="E7" s="46">
        <f>SUMIF('Infrastructure Costs'!$A:$A,A7,'Infrastructure Costs'!$H:$H)</f>
        <v/>
      </c>
      <c r="F7" s="46">
        <f>SUMIF('Infrastructure Costs'!$A:$A,A7,'Infrastructure Costs'!$I:$I)</f>
        <v/>
      </c>
      <c r="G7" s="46">
        <f>D7+E7+F7</f>
        <v/>
      </c>
    </row>
    <row r="8" ht="26" customHeight="1">
      <c r="A8" s="51" t="inlineStr">
        <is>
          <t>TOTAL</t>
        </is>
      </c>
      <c r="B8" s="53">
        <f>SUM(B3:B7)</f>
        <v/>
      </c>
      <c r="C8" s="53">
        <f>SUM(C3:C7)</f>
        <v/>
      </c>
      <c r="D8" s="53">
        <f>SUM(D3:D7)</f>
        <v/>
      </c>
      <c r="E8" s="53">
        <f>SUM(E3:E7)</f>
        <v/>
      </c>
      <c r="F8" s="53">
        <f>SUM(F3:F7)</f>
        <v/>
      </c>
      <c r="G8" s="53">
        <f>SUM(G3:G7)</f>
        <v/>
      </c>
    </row>
    <row r="9" ht="26" customHeight="1">
      <c r="A9" s="43" t="inlineStr">
        <is>
          <t>Legacy Cost Avoidance</t>
        </is>
      </c>
      <c r="B9" s="46">
        <f>SUMIF('Infrastructure Costs'!$A:$A,A9,'Infrastructure Costs'!$G:$G)</f>
        <v/>
      </c>
      <c r="C9" s="46">
        <f>SUMIF(Credits!$A:$A,A9,Credits!$C:$C)</f>
        <v/>
      </c>
      <c r="D9" s="46">
        <f>B9+C9</f>
        <v/>
      </c>
      <c r="E9" s="46">
        <f>SUMIF('Infrastructure Costs'!$A:$A,A9,'Infrastructure Costs'!$H:$H)</f>
        <v/>
      </c>
      <c r="F9" s="46">
        <f>SUMIF('Infrastructure Costs'!$A:$A,A9,'Infrastructure Costs'!$I:$I)</f>
        <v/>
      </c>
      <c r="G9" s="46">
        <f>D9+E9+F9</f>
        <v/>
      </c>
    </row>
    <row r="10" ht="26" customHeight="1">
      <c r="A10" s="47" t="inlineStr">
        <is>
          <t>Net Investment After Savings</t>
        </is>
      </c>
      <c r="B10" s="50">
        <f>SUMIF('Infrastructure Costs'!$A:$A,A10,'Infrastructure Costs'!$G:$G)</f>
        <v/>
      </c>
      <c r="C10" s="50">
        <f>SUMIF(Credits!$A:$A,A10,Credits!$C:$C)</f>
        <v/>
      </c>
      <c r="D10" s="50">
        <f>B10+C10</f>
        <v/>
      </c>
      <c r="E10" s="50">
        <f>SUMIF('Infrastructure Costs'!$A:$A,A10,'Infrastructure Costs'!$H:$H)</f>
        <v/>
      </c>
      <c r="F10" s="50">
        <f>SUMIF('Infrastructure Costs'!$A:$A,A10,'Infrastructure Costs'!$I:$I)</f>
        <v/>
      </c>
      <c r="G10" s="50">
        <f>D10+E10+F10</f>
        <v/>
      </c>
    </row>
  </sheetData>
  <autoFilter ref="A2:G1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2025-11-22T19:15:11Z</dcterms:modified>
  <cp:lastModifiedBy>Kishan Siram</cp:lastModifiedBy>
</cp:coreProperties>
</file>