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Assumptions'!$A$2:$G$18</definedName>
    <definedName name="_xlnm._FilterDatabase" localSheetId="2" hidden="1">'Estimate Settings'!$A$2:$D$11</definedName>
    <definedName name="_xlnm._FilterDatabase" localSheetId="3" hidden="1">'LOE'!$A$2:$K$30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165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DELL - Cloud - Vxrail Hci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Cluster Size</t>
        </is>
      </c>
      <c r="C3" s="39" t="inlineStr">
        <is>
          <t>4-node VxRail E560 cluster</t>
        </is>
      </c>
      <c r="D3" s="38" t="inlineStr">
        <is>
          <t>4-node entry</t>
        </is>
      </c>
      <c r="E3" s="38" t="inlineStr">
        <is>
          <t>6-node</t>
        </is>
      </c>
      <c r="F3" s="38" t="inlineStr">
        <is>
          <t>8-12 node</t>
        </is>
      </c>
      <c r="G3" s="38" t="inlineStr">
        <is>
          <t>Cluster scale and VM capacity</t>
        </is>
      </c>
    </row>
    <row r="4" ht="26" customHeight="1">
      <c r="A4" s="40" t="inlineStr">
        <is>
          <t>Solution Scope</t>
        </is>
      </c>
      <c r="B4" s="41" t="inlineStr">
        <is>
          <t>Storage Capacity</t>
        </is>
      </c>
      <c r="C4" s="39" t="inlineStr">
        <is>
          <t>40TB usable all-flash SSD</t>
        </is>
      </c>
      <c r="D4" s="41" t="inlineStr">
        <is>
          <t>20TB usable</t>
        </is>
      </c>
      <c r="E4" s="41" t="inlineStr">
        <is>
          <t>40TB usable</t>
        </is>
      </c>
      <c r="F4" s="41" t="inlineStr">
        <is>
          <t>80TB+ usable</t>
        </is>
      </c>
      <c r="G4" s="41" t="inlineStr">
        <is>
          <t>vSAN storage with deduplication</t>
        </is>
      </c>
    </row>
    <row r="5" ht="26" customHeight="1">
      <c r="A5" s="37" t="inlineStr">
        <is>
          <t>Integration</t>
        </is>
      </c>
      <c r="B5" s="38" t="inlineStr">
        <is>
          <t>vSphere Version</t>
        </is>
      </c>
      <c r="C5" s="39" t="inlineStr">
        <is>
          <t>vSphere 8 Enterprise Plus</t>
        </is>
      </c>
      <c r="D5" s="38" t="inlineStr">
        <is>
          <t>vSphere 7.0</t>
        </is>
      </c>
      <c r="E5" s="38" t="inlineStr">
        <is>
          <t>vSphere 8.0</t>
        </is>
      </c>
      <c r="F5" s="38" t="inlineStr">
        <is>
          <t>vSphere 8 + NSX</t>
        </is>
      </c>
      <c r="G5" s="38" t="inlineStr">
        <is>
          <t>VMware software stack complexity</t>
        </is>
      </c>
    </row>
    <row r="6" ht="26" customHeight="1">
      <c r="A6" s="40" t="inlineStr">
        <is>
          <t>Integration</t>
        </is>
      </c>
      <c r="B6" s="41" t="inlineStr">
        <is>
          <t>Backup Integration</t>
        </is>
      </c>
      <c r="C6" s="39" t="inlineStr">
        <is>
          <t>Veeam Backup &amp; Replication</t>
        </is>
      </c>
      <c r="D6" s="41" t="inlineStr">
        <is>
          <t>No backup</t>
        </is>
      </c>
      <c r="E6" s="41" t="inlineStr">
        <is>
          <t>Veeam or Dell IDPA</t>
        </is>
      </c>
      <c r="F6" s="41" t="inlineStr">
        <is>
          <t>Enterprise backup + DR</t>
        </is>
      </c>
      <c r="G6" s="41" t="inlineStr">
        <is>
          <t>Data protection scope</t>
        </is>
      </c>
    </row>
    <row r="7" ht="26" customHeight="1">
      <c r="A7" s="37" t="inlineStr">
        <is>
          <t>User Base</t>
        </is>
      </c>
      <c r="B7" s="38" t="inlineStr">
        <is>
          <t>VM Count</t>
        </is>
      </c>
      <c r="C7" s="39" t="inlineStr">
        <is>
          <t>250 virtual machines</t>
        </is>
      </c>
      <c r="D7" s="38" t="inlineStr">
        <is>
          <t>&lt;100 VMs</t>
        </is>
      </c>
      <c r="E7" s="38" t="inlineStr">
        <is>
          <t>250 VMs</t>
        </is>
      </c>
      <c r="F7" s="38" t="inlineStr">
        <is>
          <t>500+ VMs</t>
        </is>
      </c>
      <c r="G7" s="38" t="inlineStr">
        <is>
          <t>Virtual machine migration scale</t>
        </is>
      </c>
    </row>
    <row r="8" ht="26" customHeight="1">
      <c r="A8" s="40" t="inlineStr">
        <is>
          <t>User Base</t>
        </is>
      </c>
      <c r="B8" s="41" t="inlineStr">
        <is>
          <t>Admin Team</t>
        </is>
      </c>
      <c r="C8" s="39" t="inlineStr">
        <is>
          <t>3-5 virtualization administrators</t>
        </is>
      </c>
      <c r="D8" s="41" t="inlineStr">
        <is>
          <t>1-2 admins</t>
        </is>
      </c>
      <c r="E8" s="41" t="inlineStr">
        <is>
          <t>3-5 admins</t>
        </is>
      </c>
      <c r="F8" s="41" t="inlineStr">
        <is>
          <t>6+ admins</t>
        </is>
      </c>
      <c r="G8" s="41" t="inlineStr">
        <is>
          <t>Team size for training and support</t>
        </is>
      </c>
    </row>
    <row r="9" ht="26" customHeight="1">
      <c r="A9" s="37" t="inlineStr">
        <is>
          <t>Data Volume</t>
        </is>
      </c>
      <c r="B9" s="38" t="inlineStr">
        <is>
          <t>Storage Type</t>
        </is>
      </c>
      <c r="C9" s="39" t="inlineStr">
        <is>
          <t>All-flash SSD vSAN</t>
        </is>
      </c>
      <c r="D9" s="38" t="inlineStr">
        <is>
          <t>Hybrid SSD+HDD</t>
        </is>
      </c>
      <c r="E9" s="38" t="inlineStr">
        <is>
          <t>All-flash SSD</t>
        </is>
      </c>
      <c r="F9" s="38" t="inlineStr">
        <is>
          <t>All-NVMe performance</t>
        </is>
      </c>
      <c r="G9" s="38" t="inlineStr">
        <is>
          <t>Performance tier and capacity</t>
        </is>
      </c>
    </row>
    <row r="10" ht="26" customHeight="1">
      <c r="A10" s="40" t="inlineStr">
        <is>
          <t>Data Volume</t>
        </is>
      </c>
      <c r="B10" s="41" t="inlineStr">
        <is>
          <t>VM Size</t>
        </is>
      </c>
      <c r="C10" s="39" t="inlineStr">
        <is>
          <t>Average 500GB per VM</t>
        </is>
      </c>
      <c r="D10" s="41" t="inlineStr">
        <is>
          <t>Small VMs (100GB)</t>
        </is>
      </c>
      <c r="E10" s="41" t="inlineStr">
        <is>
          <t>Medium (500GB)</t>
        </is>
      </c>
      <c r="F10" s="41" t="inlineStr">
        <is>
          <t>Large (1TB+)</t>
        </is>
      </c>
      <c r="G10" s="41" t="inlineStr">
        <is>
          <t>VM storage consumption</t>
        </is>
      </c>
    </row>
    <row r="11" ht="26" customHeight="1">
      <c r="A11" s="37" t="inlineStr">
        <is>
          <t>Technical Environment</t>
        </is>
      </c>
      <c r="B11" s="38" t="inlineStr">
        <is>
          <t>Current Virtualization</t>
        </is>
      </c>
      <c r="C11" s="39" t="inlineStr">
        <is>
          <t>VMware vSphere 7.0 on traditional SAN</t>
        </is>
      </c>
      <c r="D11" s="38" t="inlineStr">
        <is>
          <t>vSphere 6.x</t>
        </is>
      </c>
      <c r="E11" s="38" t="inlineStr">
        <is>
          <t>vSphere 7.x</t>
        </is>
      </c>
      <c r="F11" s="38" t="inlineStr">
        <is>
          <t>Multi-hypervisor</t>
        </is>
      </c>
      <c r="G11" s="38" t="inlineStr">
        <is>
          <t>Migration complexity</t>
        </is>
      </c>
    </row>
    <row r="12" ht="26" customHeight="1">
      <c r="A12" s="40" t="inlineStr">
        <is>
          <t>Technical Environment</t>
        </is>
      </c>
      <c r="B12" s="41" t="inlineStr">
        <is>
          <t>Legacy Infrastructure</t>
        </is>
      </c>
      <c r="C12" s="39" t="inlineStr">
        <is>
          <t>EMC Unity or NetApp SAN</t>
        </is>
      </c>
      <c r="D12" s="41" t="inlineStr">
        <is>
          <t>Single SAN</t>
        </is>
      </c>
      <c r="E12" s="41" t="inlineStr">
        <is>
          <t>Multi-vendor SAN</t>
        </is>
      </c>
      <c r="F12" s="41" t="inlineStr">
        <is>
          <t>Complex legacy</t>
        </is>
      </c>
      <c r="G12" s="41" t="inlineStr">
        <is>
          <t>Migration source complexity</t>
        </is>
      </c>
    </row>
    <row r="13" ht="26" customHeight="1">
      <c r="A13" s="37" t="inlineStr">
        <is>
          <t>Technical Environment</t>
        </is>
      </c>
      <c r="B13" s="38" t="inlineStr">
        <is>
          <t>Network Fabric</t>
        </is>
      </c>
      <c r="C13" s="39" t="inlineStr">
        <is>
          <t>25GbE ToR switches for vSAN</t>
        </is>
      </c>
      <c r="D13" s="38" t="inlineStr">
        <is>
          <t>10GbE network</t>
        </is>
      </c>
      <c r="E13" s="38" t="inlineStr">
        <is>
          <t>25GbE network</t>
        </is>
      </c>
      <c r="F13" s="38" t="inlineStr">
        <is>
          <t>100GbE fabric</t>
        </is>
      </c>
      <c r="G13" s="38" t="inlineStr">
        <is>
          <t>Network bandwidth and latency</t>
        </is>
      </c>
    </row>
    <row r="14" ht="26" customHeight="1">
      <c r="A14" s="40" t="inlineStr">
        <is>
          <t>Security &amp; Compliance</t>
        </is>
      </c>
      <c r="B14" s="41" t="inlineStr">
        <is>
          <t>Data Sensitivity</t>
        </is>
      </c>
      <c r="C14" s="39" t="inlineStr">
        <is>
          <t>Internal business data</t>
        </is>
      </c>
      <c r="D14" s="41" t="inlineStr">
        <is>
          <t>Public data</t>
        </is>
      </c>
      <c r="E14" s="41" t="inlineStr">
        <is>
          <t>Confidential data</t>
        </is>
      </c>
      <c r="F14" s="41" t="inlineStr">
        <is>
          <t>Regulated (HIPAA PCI)</t>
        </is>
      </c>
      <c r="G14" s="41" t="inlineStr">
        <is>
          <t>Data classification and controls</t>
        </is>
      </c>
    </row>
    <row r="15" ht="26" customHeight="1">
      <c r="A15" s="37" t="inlineStr">
        <is>
          <t>Security &amp; Compliance</t>
        </is>
      </c>
      <c r="B15" s="38" t="inlineStr">
        <is>
          <t>Encryption</t>
        </is>
      </c>
      <c r="C15" s="39" t="inlineStr">
        <is>
          <t>vSAN encryption at rest</t>
        </is>
      </c>
      <c r="D15" s="38" t="inlineStr">
        <is>
          <t>No encryption</t>
        </is>
      </c>
      <c r="E15" s="38" t="inlineStr">
        <is>
          <t>vSAN encryption</t>
        </is>
      </c>
      <c r="F15" s="38" t="inlineStr">
        <is>
          <t>vSAN + VM encryption</t>
        </is>
      </c>
      <c r="G15" s="38" t="inlineStr">
        <is>
          <t>Security and compliance requirements</t>
        </is>
      </c>
    </row>
    <row r="16" ht="26" customHeight="1">
      <c r="A16" s="40" t="inlineStr">
        <is>
          <t>Performance</t>
        </is>
      </c>
      <c r="B16" s="41" t="inlineStr">
        <is>
          <t>VM Density</t>
        </is>
      </c>
      <c r="C16" s="39" t="inlineStr">
        <is>
          <t>60 VMs per node average</t>
        </is>
      </c>
      <c r="D16" s="41" t="inlineStr">
        <is>
          <t>Low density</t>
        </is>
      </c>
      <c r="E16" s="41" t="inlineStr">
        <is>
          <t>Medium density</t>
        </is>
      </c>
      <c r="F16" s="41" t="inlineStr">
        <is>
          <t>High density</t>
        </is>
      </c>
      <c r="G16" s="41" t="inlineStr">
        <is>
          <t>Consolidation ratio</t>
        </is>
      </c>
    </row>
    <row r="17" ht="26" customHeight="1">
      <c r="A17" s="37" t="inlineStr">
        <is>
          <t>Performance</t>
        </is>
      </c>
      <c r="B17" s="38" t="inlineStr">
        <is>
          <t>vSAN Performance</t>
        </is>
      </c>
      <c r="C17" s="39" t="inlineStr">
        <is>
          <t>Mixed workload 10K IOPS per VM</t>
        </is>
      </c>
      <c r="D17" s="38" t="inlineStr">
        <is>
          <t>Low IOPS</t>
        </is>
      </c>
      <c r="E17" s="38" t="inlineStr">
        <is>
          <t>Mixed workload</t>
        </is>
      </c>
      <c r="F17" s="38" t="inlineStr">
        <is>
          <t>High IOPS (databases)</t>
        </is>
      </c>
      <c r="G17" s="38" t="inlineStr">
        <is>
          <t>Performance requirements</t>
        </is>
      </c>
    </row>
    <row r="18" ht="26" customHeight="1">
      <c r="A18" s="40" t="inlineStr">
        <is>
          <t>Environment</t>
        </is>
      </c>
      <c r="B18" s="41" t="inlineStr">
        <is>
          <t>Migration Approach</t>
        </is>
      </c>
      <c r="C18" s="39" t="inlineStr">
        <is>
          <t>Phased vMotion migration</t>
        </is>
      </c>
      <c r="D18" s="41" t="inlineStr">
        <is>
          <t>Forklift cutover</t>
        </is>
      </c>
      <c r="E18" s="41" t="inlineStr">
        <is>
          <t>Phased vMotion</t>
        </is>
      </c>
      <c r="F18" s="41" t="inlineStr">
        <is>
          <t>Parallel run</t>
        </is>
      </c>
      <c r="G18" s="41" t="inlineStr">
        <is>
          <t>Migration risk and approach</t>
        </is>
      </c>
    </row>
  </sheetData>
  <autoFilter ref="A2:G1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(VM Assessment vSphere Inventory SAN Baseline)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(VxRail Sizing vSAN Design Network Architecture)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(VxRail Installation vSphere Configuration vSAN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(Performance Testing vMotion Validation HA Failover)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(VM Migration SAN Decommission)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(vSphere Training vSAN Administration)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 Performance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VM Inventory</t>
        </is>
      </c>
      <c r="C3" s="46" t="inlineStr">
        <is>
          <t>Inventory VMs workloads and resource consumption</t>
        </is>
      </c>
      <c r="D3" s="46" t="inlineStr">
        <is>
          <t>EO Engineer</t>
        </is>
      </c>
      <c r="E3" s="47" t="n">
        <v>24</v>
      </c>
      <c r="F3" s="48" t="n">
        <v>1</v>
      </c>
      <c r="G3" s="49">
        <f>E3*F3</f>
        <v/>
      </c>
      <c r="H3" s="50" t="n">
        <v>150</v>
      </c>
      <c r="I3" s="49">
        <f>TEXT(G3*H3,"$#,##0")</f>
        <v/>
      </c>
      <c r="J3" s="46" t="inlineStr"/>
      <c r="K3" s="46" t="inlineStr">
        <is>
          <t>Includes VM sizing and capacity planning</t>
        </is>
      </c>
    </row>
    <row r="4" ht="26" customHeight="1">
      <c r="A4" s="51" t="inlineStr">
        <is>
          <t>Discovery</t>
        </is>
      </c>
      <c r="B4" s="52" t="inlineStr">
        <is>
          <t>SAN Baseline</t>
        </is>
      </c>
      <c r="C4" s="52" t="inlineStr">
        <is>
          <t>Document current SAN infrastructure and costs</t>
        </is>
      </c>
      <c r="D4" s="52" t="inlineStr">
        <is>
          <t>EO Engineer</t>
        </is>
      </c>
      <c r="E4" s="53" t="n">
        <v>16</v>
      </c>
      <c r="F4" s="54">
        <f>'Estimate Settings'!$C$3</f>
        <v/>
      </c>
      <c r="G4" s="55">
        <f>$E4*$F4</f>
        <v/>
      </c>
      <c r="H4" s="56" t="n">
        <v>150</v>
      </c>
      <c r="I4" s="55">
        <f>TEXT($G4*$H4,"$#,##0")</f>
        <v/>
      </c>
      <c r="J4" s="52" t="inlineStr"/>
      <c r="K4" s="52" t="inlineStr">
        <is>
          <t>Customer must provide SAN support contracts</t>
        </is>
      </c>
    </row>
    <row r="5" ht="26" customHeight="1">
      <c r="A5" s="45" t="inlineStr">
        <is>
          <t>Discovery</t>
        </is>
      </c>
      <c r="B5" s="46" t="inlineStr">
        <is>
          <t>vSphere Assessment</t>
        </is>
      </c>
      <c r="C5" s="46" t="inlineStr">
        <is>
          <t>Assess vSphere version and configuration</t>
        </is>
      </c>
      <c r="D5" s="46" t="inlineStr">
        <is>
          <t>EO Engineer</t>
        </is>
      </c>
      <c r="E5" s="47" t="n">
        <v>16</v>
      </c>
      <c r="F5" s="57">
        <f>'Estimate Settings'!$C$3</f>
        <v/>
      </c>
      <c r="G5" s="49">
        <f>$E5*$F5</f>
        <v/>
      </c>
      <c r="H5" s="50" t="n">
        <v>150</v>
      </c>
      <c r="I5" s="49">
        <f>TEXT($G5*$H5,"$#,##0")</f>
        <v/>
      </c>
      <c r="J5" s="46" t="inlineStr"/>
      <c r="K5" s="46" t="inlineStr">
        <is>
          <t>Identifies vSphere upgrade requirements</t>
        </is>
      </c>
    </row>
    <row r="6" ht="26" customHeight="1">
      <c r="A6" s="51" t="inlineStr">
        <is>
          <t>Discovery</t>
        </is>
      </c>
      <c r="B6" s="52" t="inlineStr">
        <is>
          <t>Network Survey</t>
        </is>
      </c>
      <c r="C6" s="52" t="inlineStr">
        <is>
          <t>Survey data center network and rack resources</t>
        </is>
      </c>
      <c r="D6" s="52" t="inlineStr">
        <is>
          <t>EO Engineer</t>
        </is>
      </c>
      <c r="E6" s="53" t="n">
        <v>8</v>
      </c>
      <c r="F6" s="54">
        <f>'Estimate Settings'!$C$3</f>
        <v/>
      </c>
      <c r="G6" s="55">
        <f>$E6*$F6</f>
        <v/>
      </c>
      <c r="H6" s="56" t="n">
        <v>140</v>
      </c>
      <c r="I6" s="55">
        <f>TEXT($G6*$H6,"$#,##0")</f>
        <v/>
      </c>
      <c r="J6" s="52" t="inlineStr"/>
      <c r="K6" s="52" t="inlineStr">
        <is>
          <t>Validates 25GbE network and rack space</t>
        </is>
      </c>
    </row>
    <row r="7" ht="26" customHeight="1">
      <c r="A7" s="45" t="inlineStr">
        <is>
          <t>Planning</t>
        </is>
      </c>
      <c r="B7" s="46" t="inlineStr">
        <is>
          <t>VxRail Sizing</t>
        </is>
      </c>
      <c r="C7" s="46" t="inlineStr">
        <is>
          <t>Size VxRail cluster nodes and capacity</t>
        </is>
      </c>
      <c r="D7" s="46" t="inlineStr">
        <is>
          <t>EO Engineer</t>
        </is>
      </c>
      <c r="E7" s="47" t="n">
        <v>32</v>
      </c>
      <c r="F7" s="57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VM Inventory</t>
        </is>
      </c>
      <c r="K7" s="46" t="inlineStr">
        <is>
          <t>Deliverable: VxRail sizing with node configuration</t>
        </is>
      </c>
    </row>
    <row r="8" ht="26" customHeight="1">
      <c r="A8" s="51" t="inlineStr">
        <is>
          <t>Planning</t>
        </is>
      </c>
      <c r="B8" s="52" t="inlineStr">
        <is>
          <t>vSAN Design</t>
        </is>
      </c>
      <c r="C8" s="52" t="inlineStr">
        <is>
          <t>Design vSAN storage policies and capacity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200</v>
      </c>
      <c r="I8" s="55">
        <f>TEXT($G8*$H8,"$#,##0")</f>
        <v/>
      </c>
      <c r="J8" s="52" t="inlineStr">
        <is>
          <t>VxRail Sizing</t>
        </is>
      </c>
      <c r="K8" s="52" t="inlineStr">
        <is>
          <t>vSAN storage policy and FTT configuration</t>
        </is>
      </c>
    </row>
    <row r="9" ht="26" customHeight="1">
      <c r="A9" s="45" t="inlineStr">
        <is>
          <t>Planning</t>
        </is>
      </c>
      <c r="B9" s="46" t="inlineStr">
        <is>
          <t>Network Design</t>
        </is>
      </c>
      <c r="C9" s="46" t="inlineStr">
        <is>
          <t>Design vSphere distributed switching and vSAN network</t>
        </is>
      </c>
      <c r="D9" s="46" t="inlineStr">
        <is>
          <t>EO Engineer</t>
        </is>
      </c>
      <c r="E9" s="47" t="n">
        <v>16</v>
      </c>
      <c r="F9" s="57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Network Survey</t>
        </is>
      </c>
      <c r="K9" s="46" t="inlineStr">
        <is>
          <t>Network diagram with vSAN and vMotion VLANs</t>
        </is>
      </c>
    </row>
    <row r="10" ht="26" customHeight="1">
      <c r="A10" s="51" t="inlineStr">
        <is>
          <t>Planning</t>
        </is>
      </c>
      <c r="B10" s="52" t="inlineStr">
        <is>
          <t>Migration Planning</t>
        </is>
      </c>
      <c r="C10" s="52" t="inlineStr">
        <is>
          <t>Develop VM migration plan and timeline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175</v>
      </c>
      <c r="I10" s="55">
        <f>TEXT($G10*$H10,"$#,##0")</f>
        <v/>
      </c>
      <c r="J10" s="52" t="inlineStr">
        <is>
          <t>VM Inventory</t>
        </is>
      </c>
      <c r="K10" s="52" t="inlineStr">
        <is>
          <t>Deliverable: Migration timeline with dependencies</t>
        </is>
      </c>
    </row>
    <row r="11" ht="26" customHeight="1">
      <c r="A11" s="45" t="inlineStr">
        <is>
          <t>Development</t>
        </is>
      </c>
      <c r="B11" s="46" t="inlineStr">
        <is>
          <t>VxRail Procurement</t>
        </is>
      </c>
      <c r="C11" s="46" t="inlineStr">
        <is>
          <t>Order VxRail E560 nodes and switches</t>
        </is>
      </c>
      <c r="D11" s="46" t="inlineStr">
        <is>
          <t>EO Engineer</t>
        </is>
      </c>
      <c r="E11" s="47" t="n">
        <v>8</v>
      </c>
      <c r="F11" s="57">
        <f>'Estimate Settings'!$C$5</f>
        <v/>
      </c>
      <c r="G11" s="49">
        <f>$E11*$F11</f>
        <v/>
      </c>
      <c r="H11" s="50" t="n">
        <v>150</v>
      </c>
      <c r="I11" s="49">
        <f>TEXT($G11*$H11,"$#,##0")</f>
        <v/>
      </c>
      <c r="J11" s="46" t="inlineStr">
        <is>
          <t>VxRail Sizing</t>
        </is>
      </c>
      <c r="K11" s="46" t="inlineStr">
        <is>
          <t>Coordinate Dell sales and track delivery</t>
        </is>
      </c>
    </row>
    <row r="12" ht="26" customHeight="1">
      <c r="A12" s="51" t="inlineStr">
        <is>
          <t>Development</t>
        </is>
      </c>
      <c r="B12" s="52" t="inlineStr">
        <is>
          <t>VxRail Installation</t>
        </is>
      </c>
      <c r="C12" s="52" t="inlineStr">
        <is>
          <t>Dell ProDeploy rack installation and cabling</t>
        </is>
      </c>
      <c r="D12" s="52" t="inlineStr">
        <is>
          <t>EO Engineer</t>
        </is>
      </c>
      <c r="E12" s="53" t="n">
        <v>24</v>
      </c>
      <c r="F12" s="54">
        <f>'Estimate Settings'!$C$5</f>
        <v/>
      </c>
      <c r="G12" s="55">
        <f>$E12*$F12</f>
        <v/>
      </c>
      <c r="H12" s="56" t="n">
        <v>160</v>
      </c>
      <c r="I12" s="55">
        <f>TEXT($G12*$H12,"$#,##0")</f>
        <v/>
      </c>
      <c r="J12" s="52" t="inlineStr">
        <is>
          <t>VxRail Procurement</t>
        </is>
      </c>
      <c r="K12" s="52" t="inlineStr">
        <is>
          <t>ProDeploy on-site installation and power</t>
        </is>
      </c>
    </row>
    <row r="13" ht="26" customHeight="1">
      <c r="A13" s="45" t="inlineStr">
        <is>
          <t>Development</t>
        </is>
      </c>
      <c r="B13" s="46" t="inlineStr">
        <is>
          <t>vSphere Configuration</t>
        </is>
      </c>
      <c r="C13" s="46" t="inlineStr">
        <is>
          <t>Configure vCenter and vSphere cluster</t>
        </is>
      </c>
      <c r="D13" s="46" t="inlineStr">
        <is>
          <t>EO Engineer</t>
        </is>
      </c>
      <c r="E13" s="47" t="n">
        <v>32</v>
      </c>
      <c r="F13" s="57">
        <f>'Estimate Settings'!$C$5</f>
        <v/>
      </c>
      <c r="G13" s="49">
        <f>$E13*$F13</f>
        <v/>
      </c>
      <c r="H13" s="50" t="n">
        <v>175</v>
      </c>
      <c r="I13" s="49">
        <f>TEXT($G13*$H13,"$#,##0")</f>
        <v/>
      </c>
      <c r="J13" s="46" t="inlineStr">
        <is>
          <t>VxRail Installation</t>
        </is>
      </c>
      <c r="K13" s="46" t="inlineStr">
        <is>
          <t>DRS HA and distributed switching setup</t>
        </is>
      </c>
    </row>
    <row r="14" ht="26" customHeight="1">
      <c r="A14" s="51" t="inlineStr">
        <is>
          <t>Development</t>
        </is>
      </c>
      <c r="B14" s="52" t="inlineStr">
        <is>
          <t>vSAN Configuration</t>
        </is>
      </c>
      <c r="C14" s="52" t="inlineStr">
        <is>
          <t>Configure vSAN storage policies and health</t>
        </is>
      </c>
      <c r="D14" s="52" t="inlineStr">
        <is>
          <t>EO Engineer</t>
        </is>
      </c>
      <c r="E14" s="53" t="n">
        <v>24</v>
      </c>
      <c r="F14" s="54">
        <f>'Estimate Settings'!$C$5</f>
        <v/>
      </c>
      <c r="G14" s="55">
        <f>$E14*$F14</f>
        <v/>
      </c>
      <c r="H14" s="56" t="n">
        <v>175</v>
      </c>
      <c r="I14" s="55">
        <f>TEXT($G14*$H14,"$#,##0")</f>
        <v/>
      </c>
      <c r="J14" s="52" t="inlineStr">
        <is>
          <t>vSphere Configuration</t>
        </is>
      </c>
      <c r="K14" s="52" t="inlineStr">
        <is>
          <t>vSAN disk groups and storage policies</t>
        </is>
      </c>
    </row>
    <row r="15" ht="26" customHeight="1">
      <c r="A15" s="45" t="inlineStr">
        <is>
          <t>Development</t>
        </is>
      </c>
      <c r="B15" s="46" t="inlineStr">
        <is>
          <t>Backup Integration</t>
        </is>
      </c>
      <c r="C15" s="46" t="inlineStr">
        <is>
          <t>Integrate Veeam backup with VxRail</t>
        </is>
      </c>
      <c r="D15" s="46" t="inlineStr">
        <is>
          <t>EO Engineer</t>
        </is>
      </c>
      <c r="E15" s="47" t="n">
        <v>16</v>
      </c>
      <c r="F15" s="57">
        <f>'Estimate Settings'!$C$5</f>
        <v/>
      </c>
      <c r="G15" s="49">
        <f>$E15*$F15</f>
        <v/>
      </c>
      <c r="H15" s="50" t="n">
        <v>160</v>
      </c>
      <c r="I15" s="49">
        <f>TEXT($G15*$H15,"$#,##0")</f>
        <v/>
      </c>
      <c r="J15" s="46" t="inlineStr">
        <is>
          <t>vSAN Configuration</t>
        </is>
      </c>
      <c r="K15" s="46" t="inlineStr">
        <is>
          <t>Veeam backup repository and job configuration</t>
        </is>
      </c>
    </row>
    <row r="16" ht="26" customHeight="1">
      <c r="A16" s="51" t="inlineStr">
        <is>
          <t>Testing</t>
        </is>
      </c>
      <c r="B16" s="52" t="inlineStr">
        <is>
          <t>Performance Testing</t>
        </is>
      </c>
      <c r="C16" s="52" t="inlineStr">
        <is>
          <t>Benchmark vSAN IOps and latency</t>
        </is>
      </c>
      <c r="D16" s="52" t="inlineStr">
        <is>
          <t>EO Engineer</t>
        </is>
      </c>
      <c r="E16" s="53" t="n">
        <v>16</v>
      </c>
      <c r="F16" s="54">
        <f>'Estimate Settings'!$C$6</f>
        <v/>
      </c>
      <c r="G16" s="55">
        <f>$E16*$F16</f>
        <v/>
      </c>
      <c r="H16" s="56" t="n">
        <v>150</v>
      </c>
      <c r="I16" s="55">
        <f>TEXT($G16*$H16,"$#,##0")</f>
        <v/>
      </c>
      <c r="J16" s="52" t="inlineStr">
        <is>
          <t>vSAN Configuration</t>
        </is>
      </c>
      <c r="K16" s="52" t="inlineStr">
        <is>
          <t>IOmeter validation of vSAN performance</t>
        </is>
      </c>
    </row>
    <row r="17" ht="26" customHeight="1">
      <c r="A17" s="45" t="inlineStr">
        <is>
          <t>Testing</t>
        </is>
      </c>
      <c r="B17" s="46" t="inlineStr">
        <is>
          <t>HA Failover Testing</t>
        </is>
      </c>
      <c r="C17" s="46" t="inlineStr">
        <is>
          <t>Test vSphere HA and node failover</t>
        </is>
      </c>
      <c r="D17" s="46" t="inlineStr">
        <is>
          <t>EO Engineer</t>
        </is>
      </c>
      <c r="E17" s="47" t="n">
        <v>8</v>
      </c>
      <c r="F17" s="57">
        <f>'Estimate Settings'!$C$6</f>
        <v/>
      </c>
      <c r="G17" s="49">
        <f>$E17*$F17</f>
        <v/>
      </c>
      <c r="H17" s="50" t="n">
        <v>150</v>
      </c>
      <c r="I17" s="49">
        <f>TEXT($G17*$H17,"$#,##0")</f>
        <v/>
      </c>
      <c r="J17" s="46" t="inlineStr">
        <is>
          <t>Performance Testing</t>
        </is>
      </c>
      <c r="K17" s="46" t="inlineStr">
        <is>
          <t>Validate N+1 HA and automatic failover</t>
        </is>
      </c>
    </row>
    <row r="18" ht="26" customHeight="1">
      <c r="A18" s="51" t="inlineStr">
        <is>
          <t>Testing</t>
        </is>
      </c>
      <c r="B18" s="52" t="inlineStr">
        <is>
          <t>Pilot VM Migration</t>
        </is>
      </c>
      <c r="C18" s="52" t="inlineStr">
        <is>
          <t>Migrate 10-20 pilot VMs via vMotion</t>
        </is>
      </c>
      <c r="D18" s="52" t="inlineStr">
        <is>
          <t>EO Engineer</t>
        </is>
      </c>
      <c r="E18" s="53" t="n">
        <v>16</v>
      </c>
      <c r="F18" s="54">
        <f>'Estimate Settings'!$C$6</f>
        <v/>
      </c>
      <c r="G18" s="55">
        <f>$E18*$F18</f>
        <v/>
      </c>
      <c r="H18" s="56" t="n">
        <v>150</v>
      </c>
      <c r="I18" s="55">
        <f>TEXT($G18*$H18,"$#,##0")</f>
        <v/>
      </c>
      <c r="J18" s="52" t="inlineStr">
        <is>
          <t>Performance Testing</t>
        </is>
      </c>
      <c r="K18" s="52" t="inlineStr">
        <is>
          <t>Customer must identify pilot VMs</t>
        </is>
      </c>
    </row>
    <row r="19" ht="26" customHeight="1">
      <c r="A19" s="45" t="inlineStr">
        <is>
          <t>Testing</t>
        </is>
      </c>
      <c r="B19" s="46" t="inlineStr">
        <is>
          <t>Backup Testing</t>
        </is>
      </c>
      <c r="C19" s="46" t="inlineStr">
        <is>
          <t>Test Veeam backup and restore</t>
        </is>
      </c>
      <c r="D19" s="46" t="inlineStr">
        <is>
          <t>EO Engineer</t>
        </is>
      </c>
      <c r="E19" s="47" t="n">
        <v>8</v>
      </c>
      <c r="F19" s="57">
        <f>'Estimate Settings'!$C$6</f>
        <v/>
      </c>
      <c r="G19" s="49">
        <f>$E19*$F19</f>
        <v/>
      </c>
      <c r="H19" s="50" t="n">
        <v>140</v>
      </c>
      <c r="I19" s="49">
        <f>TEXT($G19*$H19,"$#,##0")</f>
        <v/>
      </c>
      <c r="J19" s="46" t="inlineStr">
        <is>
          <t>Pilot VM Migration</t>
        </is>
      </c>
      <c r="K19" s="46" t="inlineStr">
        <is>
          <t>Validate backup success and recovery</t>
        </is>
      </c>
    </row>
    <row r="20" ht="26" customHeight="1">
      <c r="A20" s="51" t="inlineStr">
        <is>
          <t>Deployment</t>
        </is>
      </c>
      <c r="B20" s="52" t="inlineStr">
        <is>
          <t>VM Migration</t>
        </is>
      </c>
      <c r="C20" s="52" t="inlineStr">
        <is>
          <t>Phased vMotion migration of all VMs</t>
        </is>
      </c>
      <c r="D20" s="52" t="inlineStr">
        <is>
          <t>EO Engineer</t>
        </is>
      </c>
      <c r="E20" s="53" t="n">
        <v>48</v>
      </c>
      <c r="F20" s="54">
        <f>'Estimate Settings'!$C$7</f>
        <v/>
      </c>
      <c r="G20" s="55">
        <f>$E20*$F20</f>
        <v/>
      </c>
      <c r="H20" s="56" t="n">
        <v>175</v>
      </c>
      <c r="I20" s="55">
        <f>TEXT($G20*$H20,"$#,##0")</f>
        <v/>
      </c>
      <c r="J20" s="52" t="inlineStr">
        <is>
          <t>Pilot VM Migration</t>
        </is>
      </c>
      <c r="K20" s="52" t="inlineStr">
        <is>
          <t>20-50 VMs per weekend migration window</t>
        </is>
      </c>
    </row>
    <row r="21" ht="26" customHeight="1">
      <c r="A21" s="45" t="inlineStr">
        <is>
          <t>Deployment</t>
        </is>
      </c>
      <c r="B21" s="46" t="inlineStr">
        <is>
          <t>Application Validation</t>
        </is>
      </c>
      <c r="C21" s="46" t="inlineStr">
        <is>
          <t>Validate application connectivity post-migration</t>
        </is>
      </c>
      <c r="D21" s="46" t="inlineStr">
        <is>
          <t>EO Engineer</t>
        </is>
      </c>
      <c r="E21" s="47" t="n">
        <v>16</v>
      </c>
      <c r="F21" s="57">
        <f>'Estimate Settings'!$C$7</f>
        <v/>
      </c>
      <c r="G21" s="49">
        <f>$E21*$F21</f>
        <v/>
      </c>
      <c r="H21" s="50" t="n">
        <v>150</v>
      </c>
      <c r="I21" s="49">
        <f>TEXT($G21*$H21,"$#,##0")</f>
        <v/>
      </c>
      <c r="J21" s="46" t="inlineStr">
        <is>
          <t>VM Migration</t>
        </is>
      </c>
      <c r="K21" s="46" t="inlineStr">
        <is>
          <t>Application team smoke testing</t>
        </is>
      </c>
    </row>
    <row r="22" ht="26" customHeight="1">
      <c r="A22" s="51" t="inlineStr">
        <is>
          <t>Deployment</t>
        </is>
      </c>
      <c r="B22" s="52" t="inlineStr">
        <is>
          <t>SAN Decommission</t>
        </is>
      </c>
      <c r="C22" s="52" t="inlineStr">
        <is>
          <t>Decommission legacy SAN infrastructure</t>
        </is>
      </c>
      <c r="D22" s="52" t="inlineStr">
        <is>
          <t>EO Engineer</t>
        </is>
      </c>
      <c r="E22" s="53" t="n">
        <v>8</v>
      </c>
      <c r="F22" s="54">
        <f>'Estimate Settings'!$C$7</f>
        <v/>
      </c>
      <c r="G22" s="55">
        <f>$E22*$F22</f>
        <v/>
      </c>
      <c r="H22" s="56" t="n">
        <v>140</v>
      </c>
      <c r="I22" s="55">
        <f>TEXT($G22*$H22,"$#,##0")</f>
        <v/>
      </c>
      <c r="J22" s="52" t="inlineStr">
        <is>
          <t>Application Validation</t>
        </is>
      </c>
      <c r="K22" s="52" t="inlineStr">
        <is>
          <t>Coordinate SAN support cancellation</t>
        </is>
      </c>
    </row>
    <row r="23" ht="26" customHeight="1">
      <c r="A23" s="45" t="inlineStr">
        <is>
          <t>Training</t>
        </is>
      </c>
      <c r="B23" s="46" t="inlineStr">
        <is>
          <t>vSphere Training</t>
        </is>
      </c>
      <c r="C23" s="46" t="inlineStr">
        <is>
          <t>Train team on vSphere 8 features</t>
        </is>
      </c>
      <c r="D23" s="46" t="inlineStr">
        <is>
          <t>EO Engineer</t>
        </is>
      </c>
      <c r="E23" s="47" t="n">
        <v>16</v>
      </c>
      <c r="F23" s="57">
        <f>'Estimate Settings'!$C$8</f>
        <v/>
      </c>
      <c r="G23" s="49">
        <f>$E23*$F23</f>
        <v/>
      </c>
      <c r="H23" s="50" t="n">
        <v>150</v>
      </c>
      <c r="I23" s="49">
        <f>TEXT($G23*$H23,"$#,##0")</f>
        <v/>
      </c>
      <c r="J23" s="46" t="inlineStr">
        <is>
          <t>Application Validation</t>
        </is>
      </c>
      <c r="K23" s="46" t="inlineStr">
        <is>
          <t>vSphere 8 DRS HA and distributed switching</t>
        </is>
      </c>
    </row>
    <row r="24" ht="26" customHeight="1">
      <c r="A24" s="51" t="inlineStr">
        <is>
          <t>Training</t>
        </is>
      </c>
      <c r="B24" s="52" t="inlineStr">
        <is>
          <t>vSAN Training</t>
        </is>
      </c>
      <c r="C24" s="52" t="inlineStr">
        <is>
          <t>Train team on vSAN administration and troubleshooting</t>
        </is>
      </c>
      <c r="D24" s="52" t="inlineStr">
        <is>
          <t>EO Engineer</t>
        </is>
      </c>
      <c r="E24" s="53" t="n">
        <v>16</v>
      </c>
      <c r="F24" s="54">
        <f>'Estimate Settings'!$C$8</f>
        <v/>
      </c>
      <c r="G24" s="55">
        <f>$E24*$F24</f>
        <v/>
      </c>
      <c r="H24" s="56" t="n">
        <v>175</v>
      </c>
      <c r="I24" s="55">
        <f>TEXT($G24*$H24,"$#,##0")</f>
        <v/>
      </c>
      <c r="J24" s="52" t="inlineStr">
        <is>
          <t>vSphere Training</t>
        </is>
      </c>
      <c r="K24" s="52" t="inlineStr">
        <is>
          <t>vSAN health monitoring and capacity management</t>
        </is>
      </c>
    </row>
    <row r="25" ht="26" customHeight="1">
      <c r="A25" s="45" t="inlineStr">
        <is>
          <t>Training</t>
        </is>
      </c>
      <c r="B25" s="46" t="inlineStr">
        <is>
          <t>Documentation</t>
        </is>
      </c>
      <c r="C25" s="46" t="inlineStr">
        <is>
          <t>Create runbooks and architecture documentation</t>
        </is>
      </c>
      <c r="D25" s="46" t="inlineStr">
        <is>
          <t>EO Engineer</t>
        </is>
      </c>
      <c r="E25" s="47" t="n">
        <v>16</v>
      </c>
      <c r="F25" s="57">
        <f>'Estimate Settings'!$C$8</f>
        <v/>
      </c>
      <c r="G25" s="49">
        <f>$E25*$F25</f>
        <v/>
      </c>
      <c r="H25" s="50" t="n">
        <v>140</v>
      </c>
      <c r="I25" s="49">
        <f>TEXT($G25*$H25,"$#,##0")</f>
        <v/>
      </c>
      <c r="J25" s="46" t="inlineStr">
        <is>
          <t>vSAN Training</t>
        </is>
      </c>
      <c r="K25" s="46" t="inlineStr">
        <is>
          <t>Deliverable: As-built docs and troubleshooting guides</t>
        </is>
      </c>
    </row>
    <row r="26" ht="26" customHeight="1">
      <c r="A26" s="51" t="inlineStr">
        <is>
          <t>Closeout</t>
        </is>
      </c>
      <c r="B26" s="52" t="inlineStr">
        <is>
          <t>Knowledge Transfer</t>
        </is>
      </c>
      <c r="C26" s="52" t="inlineStr">
        <is>
          <t>Transfer VxRail ownership to virtualization team</t>
        </is>
      </c>
      <c r="D26" s="52" t="inlineStr">
        <is>
          <t>EO Engineer</t>
        </is>
      </c>
      <c r="E26" s="53" t="n">
        <v>8</v>
      </c>
      <c r="F26" s="54">
        <f>'Estimate Settings'!$C$9</f>
        <v/>
      </c>
      <c r="G26" s="55">
        <f>$E26*$F26</f>
        <v/>
      </c>
      <c r="H26" s="56" t="n">
        <v>150</v>
      </c>
      <c r="I26" s="55">
        <f>TEXT($G26*$H26,"$#,##0")</f>
        <v/>
      </c>
      <c r="J26" s="52" t="inlineStr">
        <is>
          <t>Documentation</t>
        </is>
      </c>
      <c r="K26" s="52" t="inlineStr">
        <is>
          <t>Comprehensive handover</t>
        </is>
      </c>
    </row>
    <row r="27" ht="26" customHeight="1">
      <c r="A27" s="45" t="inlineStr">
        <is>
          <t>Closeout</t>
        </is>
      </c>
      <c r="B27" s="46" t="inlineStr">
        <is>
          <t>Performance Baseline</t>
        </is>
      </c>
      <c r="C27" s="46" t="inlineStr">
        <is>
          <t>Establish vSAN performance baseline</t>
        </is>
      </c>
      <c r="D27" s="46" t="inlineStr">
        <is>
          <t>EO Engineer</t>
        </is>
      </c>
      <c r="E27" s="47" t="n">
        <v>4</v>
      </c>
      <c r="F27" s="57">
        <f>'Estimate Settings'!$C$9</f>
        <v/>
      </c>
      <c r="G27" s="49">
        <f>$E27*$F27</f>
        <v/>
      </c>
      <c r="H27" s="50" t="n">
        <v>140</v>
      </c>
      <c r="I27" s="49">
        <f>TEXT($G27*$H27,"$#,##0")</f>
        <v/>
      </c>
      <c r="J27" s="46" t="inlineStr">
        <is>
          <t>Knowledge Transfer</t>
        </is>
      </c>
      <c r="K27" s="46" t="inlineStr">
        <is>
          <t>Baseline IOps latency and throughput</t>
        </is>
      </c>
    </row>
    <row r="28" ht="26" customHeight="1">
      <c r="A28" s="51" t="inlineStr">
        <is>
          <t>Management</t>
        </is>
      </c>
      <c r="B28" s="52" t="inlineStr">
        <is>
          <t>Technical Leadership</t>
        </is>
      </c>
      <c r="C28" s="52" t="inlineStr">
        <is>
          <t>Quarterback VMware architecture review</t>
        </is>
      </c>
      <c r="D28" s="52" t="inlineStr">
        <is>
          <t>EO Quarterback</t>
        </is>
      </c>
      <c r="E28" s="55">
        <f>ROUND(SUM($G$3:$G$27)*0.10,0)</f>
        <v/>
      </c>
      <c r="F28" s="54">
        <f>'Estimate Settings'!$C$11</f>
        <v/>
      </c>
      <c r="G28" s="55">
        <f>$E28*$F28</f>
        <v/>
      </c>
      <c r="H28" s="56" t="n">
        <v>200</v>
      </c>
      <c r="I28" s="55">
        <f>TEXT($G28*$H28,"$#,##0")</f>
        <v/>
      </c>
      <c r="J28" s="52" t="inlineStr"/>
      <c r="K28" s="52" t="inlineStr">
        <is>
          <t>vSphere and vSAN architecture guidance</t>
        </is>
      </c>
    </row>
    <row r="29" ht="26" customHeight="1">
      <c r="A29" s="45" t="inlineStr">
        <is>
          <t>Management</t>
        </is>
      </c>
      <c r="B29" s="46" t="inlineStr">
        <is>
          <t>Project Management</t>
        </is>
      </c>
      <c r="C29" s="46" t="inlineStr">
        <is>
          <t>Project coordination and vendor management</t>
        </is>
      </c>
      <c r="D29" s="46" t="inlineStr">
        <is>
          <t>EO Project Manager</t>
        </is>
      </c>
      <c r="E29" s="49">
        <f>ROUND(SUM($G$3:$G$27)*0.10,0)</f>
        <v/>
      </c>
      <c r="F29" s="57">
        <f>'Estimate Settings'!$C$10</f>
        <v/>
      </c>
      <c r="G29" s="49">
        <f>$E29*$F29</f>
        <v/>
      </c>
      <c r="H29" s="50" t="n">
        <v>175</v>
      </c>
      <c r="I29" s="49">
        <f>TEXT($G29*$H29,"$#,##0")</f>
        <v/>
      </c>
      <c r="J29" s="46" t="inlineStr"/>
      <c r="K29" s="46" t="inlineStr">
        <is>
          <t>Dell coordination migration planning</t>
        </is>
      </c>
    </row>
    <row r="30" ht="26" customHeight="1">
      <c r="A30" s="58" t="inlineStr"/>
      <c r="B30" s="58" t="inlineStr"/>
      <c r="C30" s="58" t="inlineStr"/>
      <c r="D30" s="58" t="inlineStr"/>
      <c r="E30" s="58" t="inlineStr"/>
      <c r="F30" s="59" t="inlineStr">
        <is>
          <t>TOTAL HOURS</t>
        </is>
      </c>
      <c r="G30" s="59">
        <f>SUM($G$3:$G$29)</f>
        <v/>
      </c>
      <c r="H30" s="59" t="inlineStr">
        <is>
          <t>TOTAL COST</t>
        </is>
      </c>
      <c r="I30" s="59">
        <f>TEXT(SUMPRODUCT($G$3:$G$29,$H$3:$H$29),"$#,##0")</f>
        <v/>
      </c>
      <c r="J30" s="58" t="inlineStr"/>
      <c r="K30" s="58" t="inlineStr">
        <is>
          <t>Update phase multipliers based on VM count</t>
        </is>
      </c>
    </row>
  </sheetData>
  <autoFilter ref="A2:K30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Dell Partner Discount</t>
        </is>
      </c>
      <c r="B3" s="60" t="n">
        <v>-20000</v>
      </c>
      <c r="C3" s="38" t="inlineStr">
        <is>
          <t>Dell Titanium Partner discount on VxRail hardware (negotiate 5-10%)</t>
        </is>
      </c>
    </row>
    <row r="4" ht="26" customHeight="1">
      <c r="A4" s="40" t="inlineStr">
        <is>
          <t>Implementation Discount</t>
        </is>
      </c>
      <c r="B4" s="61" t="n">
        <v>0</v>
      </c>
      <c r="C4" s="41" t="inlineStr">
        <is>
          <t>No implementation discount applicable</t>
        </is>
      </c>
    </row>
    <row r="5" ht="26" customHeight="1">
      <c r="A5" s="62" t="inlineStr">
        <is>
          <t>TOTAL</t>
        </is>
      </c>
      <c r="B5" s="63">
        <f>SUMPRODUCT($G$3:$G$29,$H$3:$H$29)-20000</f>
        <v/>
      </c>
      <c r="C5" s="62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2025-11-22T22:13:22Z</dcterms:modified>
  <cp:lastModifiedBy>Kishan Siram</cp:lastModifiedBy>
</cp:coreProperties>
</file>