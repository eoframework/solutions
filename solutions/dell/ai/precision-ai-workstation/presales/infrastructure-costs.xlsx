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Guidelines'!$A$2:$F$9</definedName>
    <definedName name="_xlnm._FilterDatabase" localSheetId="2" hidden="1">'Infrastructure Costs'!$A$2:$K$21</definedName>
    <definedName name="_xlnm._FilterDatabase" localSheetId="3" hidden="1">'Credits'!$A$2:$D$6</definedName>
    <definedName name="_xlnm._FilterDatabase" localSheetId="4" hidden="1">'3-Year Summary'!$A$2:$G$7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Precision Ai Workstation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Workstations</t>
        </is>
      </c>
      <c r="B3" s="38" t="inlineStr">
        <is>
          <t>Dell Precision 7960</t>
        </is>
      </c>
      <c r="C3" s="39" t="inlineStr">
        <is>
          <t>3 units</t>
        </is>
      </c>
      <c r="D3" s="39" t="inlineStr">
        <is>
          <t>10 units</t>
        </is>
      </c>
      <c r="E3" s="39" t="inlineStr">
        <is>
          <t>25 units</t>
        </is>
      </c>
      <c r="F3" s="38" t="inlineStr">
        <is>
          <t>Dual Xeon with 256GB RAM per workstation</t>
        </is>
      </c>
    </row>
    <row r="4" ht="26" customHeight="1">
      <c r="A4" s="40" t="inlineStr">
        <is>
          <t>GPUs</t>
        </is>
      </c>
      <c r="B4" s="41" t="inlineStr">
        <is>
          <t>NVIDIA RTX A6000 48GB</t>
        </is>
      </c>
      <c r="C4" s="42" t="inlineStr">
        <is>
          <t>3 GPUs</t>
        </is>
      </c>
      <c r="D4" s="42" t="inlineStr">
        <is>
          <t>10 GPUs</t>
        </is>
      </c>
      <c r="E4" s="42" t="inlineStr">
        <is>
          <t>25 GPUs</t>
        </is>
      </c>
      <c r="F4" s="41" t="inlineStr">
        <is>
          <t>Professional AI/ML GPU with CUDA and Tensor cores</t>
        </is>
      </c>
    </row>
    <row r="5" ht="26" customHeight="1">
      <c r="A5" s="37" t="inlineStr">
        <is>
          <t>Local Storage</t>
        </is>
      </c>
      <c r="B5" s="38" t="inlineStr">
        <is>
          <t>NVMe SSD per workstation</t>
        </is>
      </c>
      <c r="C5" s="39" t="inlineStr">
        <is>
          <t>2TB per unit</t>
        </is>
      </c>
      <c r="D5" s="39" t="inlineStr">
        <is>
          <t>4TB per unit</t>
        </is>
      </c>
      <c r="E5" s="39" t="inlineStr">
        <is>
          <t>4TB per unit</t>
        </is>
      </c>
      <c r="F5" s="38" t="inlineStr">
        <is>
          <t>High-speed local storage for training datasets</t>
        </is>
      </c>
    </row>
    <row r="6" ht="26" customHeight="1">
      <c r="A6" s="40" t="inlineStr">
        <is>
          <t>Shared Storage</t>
        </is>
      </c>
      <c r="B6" s="41" t="inlineStr">
        <is>
          <t>Dell PowerScale F600</t>
        </is>
      </c>
      <c r="C6" s="42" t="inlineStr">
        <is>
          <t>20TB usable</t>
        </is>
      </c>
      <c r="D6" s="42" t="inlineStr">
        <is>
          <t>100TB usable</t>
        </is>
      </c>
      <c r="E6" s="42" t="inlineStr">
        <is>
          <t>250TB usable</t>
        </is>
      </c>
      <c r="F6" s="41" t="inlineStr">
        <is>
          <t>Team dataset repository with NFS/SMB access</t>
        </is>
      </c>
    </row>
    <row r="7" ht="26" customHeight="1">
      <c r="A7" s="37" t="inlineStr">
        <is>
          <t>Network Infrastructure</t>
        </is>
      </c>
      <c r="B7" s="38" t="inlineStr">
        <is>
          <t>10GbE Switching</t>
        </is>
      </c>
      <c r="C7" s="39" t="inlineStr">
        <is>
          <t>1x 24-port switch</t>
        </is>
      </c>
      <c r="D7" s="39" t="inlineStr">
        <is>
          <t>2x 48-port switch</t>
        </is>
      </c>
      <c r="E7" s="39" t="inlineStr">
        <is>
          <t>4x 48-port switch</t>
        </is>
      </c>
      <c r="F7" s="38" t="inlineStr">
        <is>
          <t>High-speed data transfer between workstations and storage</t>
        </is>
      </c>
    </row>
    <row r="8" ht="26" customHeight="1">
      <c r="A8" s="40" t="inlineStr">
        <is>
          <t>System Memory</t>
        </is>
      </c>
      <c r="B8" s="41" t="inlineStr">
        <is>
          <t>DDR5 RAM per workstation</t>
        </is>
      </c>
      <c r="C8" s="42" t="inlineStr">
        <is>
          <t>256GB</t>
        </is>
      </c>
      <c r="D8" s="42" t="inlineStr">
        <is>
          <t>512GB</t>
        </is>
      </c>
      <c r="E8" s="42" t="inlineStr">
        <is>
          <t>512GB</t>
        </is>
      </c>
      <c r="F8" s="41" t="inlineStr">
        <is>
          <t>Large memory for preprocessing and data loading</t>
        </is>
      </c>
    </row>
    <row r="9" ht="26" customHeight="1">
      <c r="A9" s="37" t="inlineStr">
        <is>
          <t>Support Tier</t>
        </is>
      </c>
      <c r="B9" s="38" t="inlineStr">
        <is>
          <t>Dell ProSupport Plus</t>
        </is>
      </c>
      <c r="C9" s="39" t="inlineStr">
        <is>
          <t>24x7 support</t>
        </is>
      </c>
      <c r="D9" s="39" t="inlineStr">
        <is>
          <t>24x7 support</t>
        </is>
      </c>
      <c r="E9" s="39" t="inlineStr">
        <is>
          <t>24x7 support</t>
        </is>
      </c>
      <c r="F9" s="38" t="inlineStr">
        <is>
          <t>Next business day on-site hardware service</t>
        </is>
      </c>
    </row>
  </sheetData>
  <autoFilter ref="A2:F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50" customWidth="1" min="3" max="3"/>
    <col width="12" customWidth="1" min="4" max="4"/>
    <col width="16" customWidth="1" min="5" max="5"/>
    <col width="12" customWidth="1" min="6" max="6"/>
    <col width="15" customWidth="1" min="7" max="7"/>
    <col width="12" customWidth="1" min="8" max="8"/>
    <col width="12" customWidth="1" min="9" max="9"/>
    <col width="15" customWidth="1" min="10" max="10"/>
    <col width="3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Hardware</t>
        </is>
      </c>
      <c r="B3" s="44" t="inlineStr">
        <is>
          <t>Dell Precision 7960 Tower</t>
        </is>
      </c>
      <c r="C3" s="44" t="inlineStr">
        <is>
          <t>Dual Xeon Gold 6430 32-core 256GB DDR5 2TB NVMe Ubuntu 22.04</t>
        </is>
      </c>
      <c r="D3" s="45" t="n">
        <v>10</v>
      </c>
      <c r="E3" s="44" t="inlineStr">
        <is>
          <t>Units</t>
        </is>
      </c>
      <c r="F3" s="46" t="n">
        <v>12000</v>
      </c>
      <c r="G3" s="46" t="n">
        <v>120000</v>
      </c>
      <c r="H3" s="46" t="n">
        <v>0</v>
      </c>
      <c r="I3" s="46" t="n">
        <v>0</v>
      </c>
      <c r="J3" s="46" t="n">
        <v>120000</v>
      </c>
      <c r="K3" s="44" t="inlineStr">
        <is>
          <t>One-time hardware purchase</t>
        </is>
      </c>
    </row>
    <row r="4" ht="26" customHeight="1">
      <c r="A4" s="47" t="inlineStr">
        <is>
          <t>Hardware</t>
        </is>
      </c>
      <c r="B4" s="48" t="inlineStr">
        <is>
          <t>NVIDIA RTX A6000</t>
        </is>
      </c>
      <c r="C4" s="48" t="inlineStr">
        <is>
          <t>48GB GDDR6 professional GPU for AI/ML training 10752 CUDA cores</t>
        </is>
      </c>
      <c r="D4" s="49" t="n">
        <v>10</v>
      </c>
      <c r="E4" s="48" t="inlineStr">
        <is>
          <t>Units</t>
        </is>
      </c>
      <c r="F4" s="50" t="n">
        <v>4500</v>
      </c>
      <c r="G4" s="50" t="n">
        <v>45000</v>
      </c>
      <c r="H4" s="50" t="n">
        <v>0</v>
      </c>
      <c r="I4" s="50" t="n">
        <v>0</v>
      </c>
      <c r="J4" s="50" t="n">
        <v>45000</v>
      </c>
      <c r="K4" s="48" t="inlineStr">
        <is>
          <t>One-time GPU purchase</t>
        </is>
      </c>
    </row>
    <row r="5" ht="26" customHeight="1">
      <c r="A5" s="43" t="inlineStr">
        <is>
          <t>Hardware</t>
        </is>
      </c>
      <c r="B5" s="44" t="inlineStr">
        <is>
          <t>Additional 256GB DDR5 RAM</t>
        </is>
      </c>
      <c r="C5" s="44" t="inlineStr">
        <is>
          <t>Memory upgrade to 512GB total RAM for large model preprocessing</t>
        </is>
      </c>
      <c r="D5" s="45" t="n">
        <v>10</v>
      </c>
      <c r="E5" s="44" t="inlineStr">
        <is>
          <t>Units</t>
        </is>
      </c>
      <c r="F5" s="46" t="n">
        <v>2400</v>
      </c>
      <c r="G5" s="46" t="n">
        <v>24000</v>
      </c>
      <c r="H5" s="46" t="n">
        <v>0</v>
      </c>
      <c r="I5" s="46" t="n">
        <v>0</v>
      </c>
      <c r="J5" s="46" t="n">
        <v>24000</v>
      </c>
      <c r="K5" s="44" t="inlineStr">
        <is>
          <t>Optional memory expansion to 512GB</t>
        </is>
      </c>
    </row>
    <row r="6" ht="26" customHeight="1">
      <c r="A6" s="47" t="inlineStr">
        <is>
          <t>Hardware</t>
        </is>
      </c>
      <c r="B6" s="48" t="inlineStr">
        <is>
          <t>4TB NVMe SSD Upgrade</t>
        </is>
      </c>
      <c r="C6" s="48" t="inlineStr">
        <is>
          <t>Additional high-speed NVMe storage for large training datasets</t>
        </is>
      </c>
      <c r="D6" s="49" t="n">
        <v>10</v>
      </c>
      <c r="E6" s="48" t="inlineStr">
        <is>
          <t>Units</t>
        </is>
      </c>
      <c r="F6" s="50" t="n">
        <v>800</v>
      </c>
      <c r="G6" s="50" t="n">
        <v>8000</v>
      </c>
      <c r="H6" s="50" t="n">
        <v>0</v>
      </c>
      <c r="I6" s="50" t="n">
        <v>0</v>
      </c>
      <c r="J6" s="50" t="n">
        <v>8000</v>
      </c>
      <c r="K6" s="48" t="inlineStr">
        <is>
          <t>Upgrade from base 2TB to 4TB</t>
        </is>
      </c>
    </row>
    <row r="7" ht="26" customHeight="1">
      <c r="A7" s="43" t="inlineStr">
        <is>
          <t>Hardware</t>
        </is>
      </c>
      <c r="B7" s="44" t="inlineStr">
        <is>
          <t>Dell PowerScale F600</t>
        </is>
      </c>
      <c r="C7" s="44" t="inlineStr">
        <is>
          <t>100TB usable NAS for shared datasets with 10GbE connectivity</t>
        </is>
      </c>
      <c r="D7" s="45" t="n">
        <v>1</v>
      </c>
      <c r="E7" s="44" t="inlineStr">
        <is>
          <t>System</t>
        </is>
      </c>
      <c r="F7" s="46" t="n">
        <v>85000</v>
      </c>
      <c r="G7" s="46" t="n">
        <v>85000</v>
      </c>
      <c r="H7" s="46" t="n">
        <v>0</v>
      </c>
      <c r="I7" s="46" t="n">
        <v>0</v>
      </c>
      <c r="J7" s="46" t="n">
        <v>85000</v>
      </c>
      <c r="K7" s="44" t="inlineStr">
        <is>
          <t>Team collaboration and dataset repository</t>
        </is>
      </c>
    </row>
    <row r="8" ht="26" customHeight="1">
      <c r="A8" s="47" t="inlineStr">
        <is>
          <t>Hardware</t>
        </is>
      </c>
      <c r="B8" s="48" t="inlineStr">
        <is>
          <t>Dell PowerSwitch S4148T</t>
        </is>
      </c>
      <c r="C8" s="48" t="inlineStr">
        <is>
          <t>48-port 10GbE switch for workstation cluster fabric</t>
        </is>
      </c>
      <c r="D8" s="49" t="n">
        <v>1</v>
      </c>
      <c r="E8" s="48" t="inlineStr">
        <is>
          <t>Units</t>
        </is>
      </c>
      <c r="F8" s="50" t="n">
        <v>6500</v>
      </c>
      <c r="G8" s="50" t="n">
        <v>6500</v>
      </c>
      <c r="H8" s="50" t="n">
        <v>0</v>
      </c>
      <c r="I8" s="50" t="n">
        <v>0</v>
      </c>
      <c r="J8" s="50" t="n">
        <v>6500</v>
      </c>
      <c r="K8" s="48" t="inlineStr">
        <is>
          <t>High-speed network connectivity</t>
        </is>
      </c>
    </row>
    <row r="9" ht="26" customHeight="1">
      <c r="A9" s="43" t="inlineStr">
        <is>
          <t>Hardware</t>
        </is>
      </c>
      <c r="B9" s="44" t="inlineStr">
        <is>
          <t>10GbE Network Adapters</t>
        </is>
      </c>
      <c r="C9" s="44" t="inlineStr">
        <is>
          <t>Dual-port 10GbE network cards for workstations</t>
        </is>
      </c>
      <c r="D9" s="45" t="n">
        <v>10</v>
      </c>
      <c r="E9" s="44" t="inlineStr">
        <is>
          <t>Units</t>
        </is>
      </c>
      <c r="F9" s="46" t="n">
        <v>450</v>
      </c>
      <c r="G9" s="46" t="n">
        <v>4500</v>
      </c>
      <c r="H9" s="46" t="n">
        <v>0</v>
      </c>
      <c r="I9" s="46" t="n">
        <v>0</v>
      </c>
      <c r="J9" s="46" t="n">
        <v>4500</v>
      </c>
      <c r="K9" s="44" t="inlineStr">
        <is>
          <t>Network connectivity for PowerScale access</t>
        </is>
      </c>
    </row>
    <row r="10" ht="26" customHeight="1">
      <c r="A10" s="47" t="inlineStr">
        <is>
          <t>Hardware</t>
        </is>
      </c>
      <c r="B10" s="48" t="inlineStr">
        <is>
          <t>Rack Cabinet &amp; PDU</t>
        </is>
      </c>
      <c r="C10" s="48" t="inlineStr">
        <is>
          <t>42U rack cabinet with redundant PDUs for data center deployment</t>
        </is>
      </c>
      <c r="D10" s="49" t="n">
        <v>1</v>
      </c>
      <c r="E10" s="48" t="inlineStr">
        <is>
          <t>Units</t>
        </is>
      </c>
      <c r="F10" s="50" t="n">
        <v>3500</v>
      </c>
      <c r="G10" s="50" t="n">
        <v>3500</v>
      </c>
      <c r="H10" s="50" t="n">
        <v>0</v>
      </c>
      <c r="I10" s="50" t="n">
        <v>0</v>
      </c>
      <c r="J10" s="50" t="n">
        <v>3500</v>
      </c>
      <c r="K10" s="48" t="inlineStr">
        <is>
          <t>Physical infrastructure (if rack-mount needed)</t>
        </is>
      </c>
    </row>
    <row r="11" ht="26" customHeight="1">
      <c r="A11" s="43" t="inlineStr">
        <is>
          <t>Software</t>
        </is>
      </c>
      <c r="B11" s="44" t="inlineStr">
        <is>
          <t>Ubuntu Pro Subscription</t>
        </is>
      </c>
      <c r="C11" s="44" t="inlineStr">
        <is>
          <t>Enterprise Linux support and security updates per workstation</t>
        </is>
      </c>
      <c r="D11" s="45" t="n">
        <v>10</v>
      </c>
      <c r="E11" s="44" t="inlineStr">
        <is>
          <t>Annual</t>
        </is>
      </c>
      <c r="F11" s="46" t="n">
        <v>500</v>
      </c>
      <c r="G11" s="46" t="n">
        <v>5000</v>
      </c>
      <c r="H11" s="46" t="n">
        <v>5000</v>
      </c>
      <c r="I11" s="46" t="n">
        <v>5000</v>
      </c>
      <c r="J11" s="46" t="n">
        <v>15000</v>
      </c>
      <c r="K11" s="44" t="inlineStr">
        <is>
          <t>Extended security maintenance and compliance</t>
        </is>
      </c>
    </row>
    <row r="12" ht="26" customHeight="1">
      <c r="A12" s="47" t="inlineStr">
        <is>
          <t>Software</t>
        </is>
      </c>
      <c r="B12" s="48" t="inlineStr">
        <is>
          <t>NVIDIA AI Enterprise</t>
        </is>
      </c>
      <c r="C12" s="48" t="inlineStr">
        <is>
          <t>Enterprise AI software suite with GPU optimization and support</t>
        </is>
      </c>
      <c r="D12" s="49" t="n">
        <v>10</v>
      </c>
      <c r="E12" s="48" t="inlineStr">
        <is>
          <t>Annual</t>
        </is>
      </c>
      <c r="F12" s="50" t="n">
        <v>3600</v>
      </c>
      <c r="G12" s="50" t="n">
        <v>36000</v>
      </c>
      <c r="H12" s="50" t="n">
        <v>36000</v>
      </c>
      <c r="I12" s="50" t="n">
        <v>36000</v>
      </c>
      <c r="J12" s="50" t="n">
        <v>108000</v>
      </c>
      <c r="K12" s="48" t="inlineStr">
        <is>
          <t>Includes TensorRT NGC catalog and vGPU</t>
        </is>
      </c>
    </row>
    <row r="13" ht="26" customHeight="1">
      <c r="A13" s="43" t="inlineStr">
        <is>
          <t>Software</t>
        </is>
      </c>
      <c r="B13" s="44" t="inlineStr">
        <is>
          <t>Datadog Infrastructure Monitoring</t>
        </is>
      </c>
      <c r="C13" s="44" t="inlineStr">
        <is>
          <t>Infrastructure and GPU monitoring (10 hosts)</t>
        </is>
      </c>
      <c r="D13" s="45" t="n">
        <v>10</v>
      </c>
      <c r="E13" s="44" t="inlineStr">
        <is>
          <t>Hosts/Month</t>
        </is>
      </c>
      <c r="F13" s="46" t="n">
        <v>23</v>
      </c>
      <c r="G13" s="46" t="n">
        <v>2760</v>
      </c>
      <c r="H13" s="46" t="n">
        <v>2760</v>
      </c>
      <c r="I13" s="46" t="n">
        <v>2760</v>
      </c>
      <c r="J13" s="46" t="n">
        <v>8280</v>
      </c>
      <c r="K13" s="44" t="inlineStr">
        <is>
          <t>APM and infrastructure monitoring</t>
        </is>
      </c>
    </row>
    <row r="14" ht="26" customHeight="1">
      <c r="A14" s="47" t="inlineStr">
        <is>
          <t>Software</t>
        </is>
      </c>
      <c r="B14" s="48" t="inlineStr">
        <is>
          <t>JupyterHub Enterprise</t>
        </is>
      </c>
      <c r="C14" s="48" t="inlineStr">
        <is>
          <t>Multi-user Jupyter notebook server with authentication</t>
        </is>
      </c>
      <c r="D14" s="49" t="n">
        <v>10</v>
      </c>
      <c r="E14" s="48" t="inlineStr">
        <is>
          <t>Users/Annual</t>
        </is>
      </c>
      <c r="F14" s="50" t="n">
        <v>150</v>
      </c>
      <c r="G14" s="50" t="n">
        <v>1500</v>
      </c>
      <c r="H14" s="50" t="n">
        <v>1500</v>
      </c>
      <c r="I14" s="50" t="n">
        <v>1500</v>
      </c>
      <c r="J14" s="50" t="n">
        <v>4500</v>
      </c>
      <c r="K14" s="48" t="inlineStr">
        <is>
          <t>Centralized development environment (optional)</t>
        </is>
      </c>
    </row>
    <row r="15" ht="26" customHeight="1">
      <c r="A15" s="43" t="inlineStr">
        <is>
          <t>Support &amp; Maintenance</t>
        </is>
      </c>
      <c r="B15" s="44" t="inlineStr">
        <is>
          <t>Dell ProSupport Plus</t>
        </is>
      </c>
      <c r="C15" s="44" t="inlineStr">
        <is>
          <t>24x7 hardware support with next business day on-site for workstations</t>
        </is>
      </c>
      <c r="D15" s="45" t="n">
        <v>10</v>
      </c>
      <c r="E15" s="44" t="inlineStr">
        <is>
          <t>Annual</t>
        </is>
      </c>
      <c r="F15" s="46" t="n">
        <v>1200</v>
      </c>
      <c r="G15" s="46" t="n">
        <v>12000</v>
      </c>
      <c r="H15" s="46" t="n">
        <v>12000</v>
      </c>
      <c r="I15" s="46" t="n">
        <v>12000</v>
      </c>
      <c r="J15" s="46" t="n">
        <v>36000</v>
      </c>
      <c r="K15" s="44" t="inlineStr">
        <is>
          <t>Hardware warranty and support</t>
        </is>
      </c>
    </row>
    <row r="16" ht="26" customHeight="1">
      <c r="A16" s="47" t="inlineStr">
        <is>
          <t>Support &amp; Maintenance</t>
        </is>
      </c>
      <c r="B16" s="48" t="inlineStr">
        <is>
          <t>PowerScale ProSupport Plus</t>
        </is>
      </c>
      <c r="C16" s="48" t="inlineStr">
        <is>
          <t>24x7 support for storage array with 4-hour response</t>
        </is>
      </c>
      <c r="D16" s="49" t="n">
        <v>1</v>
      </c>
      <c r="E16" s="48" t="inlineStr">
        <is>
          <t>Annual</t>
        </is>
      </c>
      <c r="F16" s="50" t="n">
        <v>12000</v>
      </c>
      <c r="G16" s="50" t="n">
        <v>12000</v>
      </c>
      <c r="H16" s="50" t="n">
        <v>12000</v>
      </c>
      <c r="I16" s="50" t="n">
        <v>12000</v>
      </c>
      <c r="J16" s="50" t="n">
        <v>36000</v>
      </c>
      <c r="K16" s="48" t="inlineStr">
        <is>
          <t>Includes firmware updates and phone support</t>
        </is>
      </c>
    </row>
    <row r="17" ht="26" customHeight="1">
      <c r="A17" s="43" t="inlineStr">
        <is>
          <t>Support &amp; Maintenance</t>
        </is>
      </c>
      <c r="B17" s="44" t="inlineStr">
        <is>
          <t>Network Equipment Support</t>
        </is>
      </c>
      <c r="C17" s="44" t="inlineStr">
        <is>
          <t>ProSupport for PowerSwitch networking equipment</t>
        </is>
      </c>
      <c r="D17" s="45" t="n">
        <v>1</v>
      </c>
      <c r="E17" s="44" t="inlineStr">
        <is>
          <t>Annual</t>
        </is>
      </c>
      <c r="F17" s="46" t="n">
        <v>850</v>
      </c>
      <c r="G17" s="46" t="n">
        <v>850</v>
      </c>
      <c r="H17" s="46" t="n">
        <v>850</v>
      </c>
      <c r="I17" s="46" t="n">
        <v>850</v>
      </c>
      <c r="J17" s="46" t="n">
        <v>2550</v>
      </c>
      <c r="K17" s="44" t="inlineStr">
        <is>
          <t>Switch hardware support</t>
        </is>
      </c>
    </row>
    <row r="18" ht="26" customHeight="1">
      <c r="A18" s="47" t="inlineStr">
        <is>
          <t>Professional Services</t>
        </is>
      </c>
      <c r="B18" s="48" t="inlineStr">
        <is>
          <t>Dell ProDeploy Services</t>
        </is>
      </c>
      <c r="C18" s="48" t="inlineStr">
        <is>
          <t>Rack installation OS setup ML framework installation</t>
        </is>
      </c>
      <c r="D18" s="49" t="n">
        <v>10</v>
      </c>
      <c r="E18" s="48" t="inlineStr">
        <is>
          <t>Units</t>
        </is>
      </c>
      <c r="F18" s="50" t="n">
        <v>2000</v>
      </c>
      <c r="G18" s="50" t="n">
        <v>20000</v>
      </c>
      <c r="H18" s="50" t="n">
        <v>0</v>
      </c>
      <c r="I18" s="50" t="n">
        <v>0</v>
      </c>
      <c r="J18" s="50" t="n">
        <v>20000</v>
      </c>
      <c r="K18" s="48" t="inlineStr">
        <is>
          <t>One-time professional deployment services</t>
        </is>
      </c>
    </row>
    <row r="19" ht="26" customHeight="1">
      <c r="A19" s="43" t="inlineStr">
        <is>
          <t>Professional Services</t>
        </is>
      </c>
      <c r="B19" s="44" t="inlineStr">
        <is>
          <t>Data Scientist Training</t>
        </is>
      </c>
      <c r="C19" s="44" t="inlineStr">
        <is>
          <t>CUDA optimization distributed training GPU profiling best practices</t>
        </is>
      </c>
      <c r="D19" s="45" t="n">
        <v>1</v>
      </c>
      <c r="E19" s="44" t="inlineStr">
        <is>
          <t>Workshop</t>
        </is>
      </c>
      <c r="F19" s="46" t="n">
        <v>8000</v>
      </c>
      <c r="G19" s="46" t="n">
        <v>8000</v>
      </c>
      <c r="H19" s="46" t="n">
        <v>0</v>
      </c>
      <c r="I19" s="46" t="n">
        <v>0</v>
      </c>
      <c r="J19" s="46" t="n">
        <v>8000</v>
      </c>
      <c r="K19" s="44" t="inlineStr">
        <is>
          <t>2-day hands-on training workshop</t>
        </is>
      </c>
    </row>
    <row r="20" ht="26" customHeight="1">
      <c r="A20" s="47" t="inlineStr">
        <is>
          <t>Professional Services</t>
        </is>
      </c>
      <c r="B20" s="48" t="inlineStr">
        <is>
          <t>Infrastructure Design</t>
        </is>
      </c>
      <c r="C20" s="48" t="inlineStr">
        <is>
          <t>Solution architecture design and capacity planning consultation</t>
        </is>
      </c>
      <c r="D20" s="49" t="n">
        <v>40</v>
      </c>
      <c r="E20" s="48" t="inlineStr">
        <is>
          <t>Hours</t>
        </is>
      </c>
      <c r="F20" s="50" t="n">
        <v>250</v>
      </c>
      <c r="G20" s="50" t="n">
        <v>10000</v>
      </c>
      <c r="H20" s="50" t="n">
        <v>0</v>
      </c>
      <c r="I20" s="50" t="n">
        <v>0</v>
      </c>
      <c r="J20" s="50" t="n">
        <v>10000</v>
      </c>
      <c r="K20" s="48" t="inlineStr">
        <is>
          <t>Upfront architecture and design services</t>
        </is>
      </c>
    </row>
    <row r="21" ht="26" customHeight="1">
      <c r="A21" s="51" t="inlineStr">
        <is>
          <t>TOTAL</t>
        </is>
      </c>
      <c r="B21" s="52" t="n"/>
      <c r="C21" s="52" t="n"/>
      <c r="D21" s="52" t="n"/>
      <c r="E21" s="52" t="n"/>
      <c r="F21" s="52" t="n"/>
      <c r="G21" s="53">
        <f>SUM(G3:G20)</f>
        <v/>
      </c>
      <c r="H21" s="53">
        <f>SUM(H3:H20)</f>
        <v/>
      </c>
      <c r="I21" s="53">
        <f>SUM(I3:I20)</f>
        <v/>
      </c>
      <c r="J21" s="53">
        <f>SUM(J3:J20)</f>
        <v/>
      </c>
      <c r="K21" s="52" t="n"/>
    </row>
  </sheetData>
  <autoFilter ref="A2:K21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Hardware</t>
        </is>
      </c>
      <c r="B3" s="44" t="inlineStr">
        <is>
          <t>Dell Partner Discount</t>
        </is>
      </c>
      <c r="C3" s="46" t="n">
        <v>-59175</v>
      </c>
      <c r="D3" s="44" t="inlineStr">
        <is>
          <t>15% partner discount applied to hardware purchases (workstations GPUs storage networking)</t>
        </is>
      </c>
    </row>
    <row r="4" ht="26" customHeight="1">
      <c r="A4" s="47" t="inlineStr">
        <is>
          <t>Software</t>
        </is>
      </c>
      <c r="B4" s="48" t="inlineStr">
        <is>
          <t>NVIDIA AI Enterprise Promo</t>
        </is>
      </c>
      <c r="C4" s="50" t="n">
        <v>-10800</v>
      </c>
      <c r="D4" s="48" t="inlineStr">
        <is>
          <t>First-year 30% discount on NVIDIA AI Enterprise subscription (10 licenses)</t>
        </is>
      </c>
    </row>
    <row r="5" ht="26" customHeight="1">
      <c r="A5" s="43" t="inlineStr">
        <is>
          <t>Professional Services</t>
        </is>
      </c>
      <c r="B5" s="44" t="inlineStr">
        <is>
          <t>Dell ProDeploy Credit</t>
        </is>
      </c>
      <c r="C5" s="46" t="n">
        <v>-4000</v>
      </c>
      <c r="D5" s="44" t="inlineStr">
        <is>
          <t>Deployment services credit with qualifying hardware purchase</t>
        </is>
      </c>
    </row>
    <row r="6" ht="26" customHeight="1">
      <c r="A6" s="47" t="inlineStr">
        <is>
          <t>Support &amp; Maintenance</t>
        </is>
      </c>
      <c r="B6" s="48" t="inlineStr">
        <is>
          <t>No Credits Available</t>
        </is>
      </c>
      <c r="C6" s="50" t="n">
        <v>0</v>
      </c>
      <c r="D6" s="48" t="inlineStr">
        <is>
          <t>Support contracts at standard pricing</t>
        </is>
      </c>
    </row>
  </sheetData>
  <autoFilter ref="A2:D6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Hardware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47" t="inlineStr">
        <is>
          <t>Professional Services</t>
        </is>
      </c>
      <c r="B6" s="50">
        <f>SUMIF('Infrastructure Costs'!$A:$A,A6,'Infrastructure Costs'!$G:$G)</f>
        <v/>
      </c>
      <c r="C6" s="50">
        <f>SUMIF(Credits!$A:$A,A6,Credits!$C:$C)</f>
        <v/>
      </c>
      <c r="D6" s="50">
        <f>B6+C6</f>
        <v/>
      </c>
      <c r="E6" s="50">
        <f>SUMIF('Infrastructure Costs'!$A:$A,A6,'Infrastructure Costs'!$H:$H)</f>
        <v/>
      </c>
      <c r="F6" s="50">
        <f>SUMIF('Infrastructure Costs'!$A:$A,A6,'Infrastructure Costs'!$I:$I)</f>
        <v/>
      </c>
      <c r="G6" s="50">
        <f>D6+E6+F6</f>
        <v/>
      </c>
    </row>
    <row r="7" ht="26" customHeight="1">
      <c r="A7" s="51" t="inlineStr">
        <is>
          <t>TOTAL</t>
        </is>
      </c>
      <c r="B7" s="53">
        <f>SUM(B3:B6)</f>
        <v/>
      </c>
      <c r="C7" s="53">
        <f>SUM(C3:C6)</f>
        <v/>
      </c>
      <c r="D7" s="53">
        <f>SUM(D3:D6)</f>
        <v/>
      </c>
      <c r="E7" s="53">
        <f>SUM(E3:E6)</f>
        <v/>
      </c>
      <c r="F7" s="53">
        <f>SUM(F3:F6)</f>
        <v/>
      </c>
      <c r="G7" s="53">
        <f>SUM(G3:G6)</f>
        <v/>
      </c>
    </row>
  </sheetData>
  <autoFilter ref="A2:G7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2025-11-22T18:40:14Z</dcterms:modified>
  <cp:lastModifiedBy>Kishan Siram</cp:lastModifiedBy>
</cp:coreProperties>
</file>