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Categories (Read Only)" sheetId="2" state="visible" r:id="rId2"/>
    <sheet xmlns:r="http://schemas.openxmlformats.org/officeDocument/2006/relationships" name="Business Requirements" sheetId="3" state="visible" r:id="rId3"/>
    <sheet xmlns:r="http://schemas.openxmlformats.org/officeDocument/2006/relationships" name="Technical Requirements" sheetId="4" state="visible" r:id="rId4"/>
    <sheet xmlns:r="http://schemas.openxmlformats.org/officeDocument/2006/relationships" name="Security &amp; Compliance" sheetId="5" state="visible" r:id="rId5"/>
    <sheet xmlns:r="http://schemas.openxmlformats.org/officeDocument/2006/relationships" name="Operations &amp; Support" sheetId="6" state="visible" r:id="rId6"/>
    <sheet xmlns:r="http://schemas.openxmlformats.org/officeDocument/2006/relationships" name="Implementation Planning" sheetId="7" state="visible" r:id="rId7"/>
    <sheet xmlns:r="http://schemas.openxmlformats.org/officeDocument/2006/relationships" name="Risk &amp; Constraint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7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FFFFFF"/>
      <sz val="12"/>
    </font>
    <font>
      <name val="Calibri"/>
      <b val="1"/>
      <color rgb="FF2C3E50"/>
      <sz val="12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6" fillId="7" borderId="5" applyAlignment="1" pivotButton="0" quotePrefix="0" xfId="0">
      <alignment horizontal="center" vertical="center"/>
    </xf>
    <xf numFmtId="0" fontId="16" fillId="8" borderId="5" applyAlignment="1" pivotButton="0" quotePrefix="0" xfId="0">
      <alignment horizontal="center" vertical="center"/>
    </xf>
    <xf numFmtId="9" fontId="16" fillId="8" borderId="5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2" fillId="11" borderId="5" applyAlignment="1" pivotButton="0" quotePrefix="0" xfId="0">
      <alignment vertical="top" wrapText="1" indent="1"/>
    </xf>
    <xf numFmtId="0" fontId="2" fillId="10" borderId="5" applyAlignment="1" pivotButton="0" quotePrefix="0" xfId="0">
      <alignment vertical="top" wrapText="1" indent="1"/>
    </xf>
    <xf numFmtId="0" fontId="2" fillId="4" borderId="5" applyAlignment="1" pivotButton="0" quotePrefix="0" xfId="0">
      <alignment vertical="top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Discovery Questionnaire</t>
        </is>
      </c>
    </row>
    <row r="5" ht="30" customHeight="1">
      <c r="B5" t="inlineStr">
        <is>
          <t>Presales Document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November 22, 2025</t>
        </is>
      </c>
    </row>
    <row r="8" ht="18" customHeight="1">
      <c r="B8" s="2" t="inlineStr">
        <is>
          <t>Customer:</t>
        </is>
      </c>
      <c r="C8" s="3" t="inlineStr">
        <is>
          <t>Precision Ai Workstation</t>
        </is>
      </c>
    </row>
    <row r="9" ht="18" customHeight="1">
      <c r="B9" s="2" t="inlineStr">
        <is>
          <t>Version:</t>
        </is>
      </c>
      <c r="C9" s="3" t="inlineStr">
        <is>
          <t>[Customer Name]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26" customHeight="1">
      <c r="A1" s="35" t="inlineStr">
        <is>
          <t>Total Questions</t>
        </is>
      </c>
      <c r="B1" s="35" t="inlineStr">
        <is>
          <t>Answered</t>
        </is>
      </c>
      <c r="C1" s="35" t="inlineStr">
        <is>
          <t>Remaining</t>
        </is>
      </c>
      <c r="D1" s="35" t="inlineStr">
        <is>
          <t>% Complete</t>
        </is>
      </c>
    </row>
    <row r="2" ht="26" customHeight="1">
      <c r="A2" s="36" t="n">
        <v>75</v>
      </c>
      <c r="B2" s="36">
        <f>SUMPRODUCT(--(LEN(F5:F79)&gt;0))</f>
        <v/>
      </c>
      <c r="C2" s="36">
        <f>A2-B2</f>
        <v/>
      </c>
      <c r="D2" s="37">
        <f>B2/A2</f>
        <v/>
      </c>
    </row>
    <row r="4" ht="32" customHeight="1">
      <c r="A4" s="38" t="inlineStr">
        <is>
          <t>Question ID</t>
        </is>
      </c>
      <c r="B4" s="38" t="inlineStr">
        <is>
          <t>Category</t>
        </is>
      </c>
      <c r="C4" s="38" t="inlineStr">
        <is>
          <t>Sub-Category</t>
        </is>
      </c>
      <c r="D4" s="38" t="inlineStr">
        <is>
          <t>Question</t>
        </is>
      </c>
      <c r="E4" s="38" t="inlineStr">
        <is>
          <t>Guidance</t>
        </is>
      </c>
      <c r="F4" s="38" t="inlineStr">
        <is>
          <t>Customer Response</t>
        </is>
      </c>
      <c r="G4" s="38" t="inlineStr">
        <is>
          <t>Notes</t>
        </is>
      </c>
    </row>
    <row r="5">
      <c r="A5" s="39">
        <f>IF('Business Requirements'!A2="","",'Business Requirements'!A2)</f>
        <v/>
      </c>
      <c r="B5" s="39">
        <f>IF('Business Requirements'!B2="","",'Business Requirements'!B2)</f>
        <v/>
      </c>
      <c r="C5" s="39">
        <f>IF('Business Requirements'!C2="","",'Business Requirements'!C2)</f>
        <v/>
      </c>
      <c r="D5" s="39">
        <f>IF('Business Requirements'!D2="","",'Business Requirements'!D2)</f>
        <v/>
      </c>
      <c r="E5" s="39">
        <f>IF('Business Requirements'!E2="","",'Business Requirements'!E2)</f>
        <v/>
      </c>
      <c r="F5" s="40">
        <f>IF('Business Requirements'!F2="","",'Business Requirements'!F2)</f>
        <v/>
      </c>
      <c r="G5" s="39">
        <f>IF('Business Requirements'!G2="","",'Business Requirements'!G2)</f>
        <v/>
      </c>
    </row>
    <row r="6">
      <c r="A6" s="41">
        <f>IF('Business Requirements'!A3="","",'Business Requirements'!A3)</f>
        <v/>
      </c>
      <c r="B6" s="41">
        <f>IF('Business Requirements'!B3="","",'Business Requirements'!B3)</f>
        <v/>
      </c>
      <c r="C6" s="41">
        <f>IF('Business Requirements'!C3="","",'Business Requirements'!C3)</f>
        <v/>
      </c>
      <c r="D6" s="41">
        <f>IF('Business Requirements'!D3="","",'Business Requirements'!D3)</f>
        <v/>
      </c>
      <c r="E6" s="41">
        <f>IF('Business Requirements'!E3="","",'Business Requirements'!E3)</f>
        <v/>
      </c>
      <c r="F6" s="40">
        <f>IF('Business Requirements'!F3="","",'Business Requirements'!F3)</f>
        <v/>
      </c>
      <c r="G6" s="41">
        <f>IF('Business Requirements'!G3="","",'Business Requirements'!G3)</f>
        <v/>
      </c>
    </row>
    <row r="7">
      <c r="A7" s="39">
        <f>IF('Business Requirements'!A4="","",'Business Requirements'!A4)</f>
        <v/>
      </c>
      <c r="B7" s="39">
        <f>IF('Business Requirements'!B4="","",'Business Requirements'!B4)</f>
        <v/>
      </c>
      <c r="C7" s="39">
        <f>IF('Business Requirements'!C4="","",'Business Requirements'!C4)</f>
        <v/>
      </c>
      <c r="D7" s="39">
        <f>IF('Business Requirements'!D4="","",'Business Requirements'!D4)</f>
        <v/>
      </c>
      <c r="E7" s="39">
        <f>IF('Business Requirements'!E4="","",'Business Requirements'!E4)</f>
        <v/>
      </c>
      <c r="F7" s="40">
        <f>IF('Business Requirements'!F4="","",'Business Requirements'!F4)</f>
        <v/>
      </c>
      <c r="G7" s="39">
        <f>IF('Business Requirements'!G4="","",'Business Requirements'!G4)</f>
        <v/>
      </c>
    </row>
    <row r="8">
      <c r="A8" s="41">
        <f>IF('Business Requirements'!A5="","",'Business Requirements'!A5)</f>
        <v/>
      </c>
      <c r="B8" s="41">
        <f>IF('Business Requirements'!B5="","",'Business Requirements'!B5)</f>
        <v/>
      </c>
      <c r="C8" s="41">
        <f>IF('Business Requirements'!C5="","",'Business Requirements'!C5)</f>
        <v/>
      </c>
      <c r="D8" s="41">
        <f>IF('Business Requirements'!D5="","",'Business Requirements'!D5)</f>
        <v/>
      </c>
      <c r="E8" s="41">
        <f>IF('Business Requirements'!E5="","",'Business Requirements'!E5)</f>
        <v/>
      </c>
      <c r="F8" s="40">
        <f>IF('Business Requirements'!F5="","",'Business Requirements'!F5)</f>
        <v/>
      </c>
      <c r="G8" s="41">
        <f>IF('Business Requirements'!G5="","",'Business Requirements'!G5)</f>
        <v/>
      </c>
    </row>
    <row r="9">
      <c r="A9" s="39">
        <f>IF('Business Requirements'!A6="","",'Business Requirements'!A6)</f>
        <v/>
      </c>
      <c r="B9" s="39">
        <f>IF('Business Requirements'!B6="","",'Business Requirements'!B6)</f>
        <v/>
      </c>
      <c r="C9" s="39">
        <f>IF('Business Requirements'!C6="","",'Business Requirements'!C6)</f>
        <v/>
      </c>
      <c r="D9" s="39">
        <f>IF('Business Requirements'!D6="","",'Business Requirements'!D6)</f>
        <v/>
      </c>
      <c r="E9" s="39">
        <f>IF('Business Requirements'!E6="","",'Business Requirements'!E6)</f>
        <v/>
      </c>
      <c r="F9" s="40">
        <f>IF('Business Requirements'!F6="","",'Business Requirements'!F6)</f>
        <v/>
      </c>
      <c r="G9" s="39">
        <f>IF('Business Requirements'!G6="","",'Business Requirements'!G6)</f>
        <v/>
      </c>
    </row>
    <row r="10">
      <c r="A10" s="41">
        <f>IF('Business Requirements'!A7="","",'Business Requirements'!A7)</f>
        <v/>
      </c>
      <c r="B10" s="41">
        <f>IF('Business Requirements'!B7="","",'Business Requirements'!B7)</f>
        <v/>
      </c>
      <c r="C10" s="41">
        <f>IF('Business Requirements'!C7="","",'Business Requirements'!C7)</f>
        <v/>
      </c>
      <c r="D10" s="41">
        <f>IF('Business Requirements'!D7="","",'Business Requirements'!D7)</f>
        <v/>
      </c>
      <c r="E10" s="41">
        <f>IF('Business Requirements'!E7="","",'Business Requirements'!E7)</f>
        <v/>
      </c>
      <c r="F10" s="40">
        <f>IF('Business Requirements'!F7="","",'Business Requirements'!F7)</f>
        <v/>
      </c>
      <c r="G10" s="41">
        <f>IF('Business Requirements'!G7="","",'Business Requirements'!G7)</f>
        <v/>
      </c>
    </row>
    <row r="11">
      <c r="A11" s="39">
        <f>IF('Business Requirements'!A8="","",'Business Requirements'!A8)</f>
        <v/>
      </c>
      <c r="B11" s="39">
        <f>IF('Business Requirements'!B8="","",'Business Requirements'!B8)</f>
        <v/>
      </c>
      <c r="C11" s="39">
        <f>IF('Business Requirements'!C8="","",'Business Requirements'!C8)</f>
        <v/>
      </c>
      <c r="D11" s="39">
        <f>IF('Business Requirements'!D8="","",'Business Requirements'!D8)</f>
        <v/>
      </c>
      <c r="E11" s="39">
        <f>IF('Business Requirements'!E8="","",'Business Requirements'!E8)</f>
        <v/>
      </c>
      <c r="F11" s="40">
        <f>IF('Business Requirements'!F8="","",'Business Requirements'!F8)</f>
        <v/>
      </c>
      <c r="G11" s="39">
        <f>IF('Business Requirements'!G8="","",'Business Requirements'!G8)</f>
        <v/>
      </c>
    </row>
    <row r="12">
      <c r="A12" s="41">
        <f>IF('Business Requirements'!A9="","",'Business Requirements'!A9)</f>
        <v/>
      </c>
      <c r="B12" s="41">
        <f>IF('Business Requirements'!B9="","",'Business Requirements'!B9)</f>
        <v/>
      </c>
      <c r="C12" s="41">
        <f>IF('Business Requirements'!C9="","",'Business Requirements'!C9)</f>
        <v/>
      </c>
      <c r="D12" s="41">
        <f>IF('Business Requirements'!D9="","",'Business Requirements'!D9)</f>
        <v/>
      </c>
      <c r="E12" s="41">
        <f>IF('Business Requirements'!E9="","",'Business Requirements'!E9)</f>
        <v/>
      </c>
      <c r="F12" s="40">
        <f>IF('Business Requirements'!F9="","",'Business Requirements'!F9)</f>
        <v/>
      </c>
      <c r="G12" s="41">
        <f>IF('Business Requirements'!G9="","",'Business Requirements'!G9)</f>
        <v/>
      </c>
    </row>
    <row r="13">
      <c r="A13" s="39">
        <f>IF('Business Requirements'!A10="","",'Business Requirements'!A10)</f>
        <v/>
      </c>
      <c r="B13" s="39">
        <f>IF('Business Requirements'!B10="","",'Business Requirements'!B10)</f>
        <v/>
      </c>
      <c r="C13" s="39">
        <f>IF('Business Requirements'!C10="","",'Business Requirements'!C10)</f>
        <v/>
      </c>
      <c r="D13" s="39">
        <f>IF('Business Requirements'!D10="","",'Business Requirements'!D10)</f>
        <v/>
      </c>
      <c r="E13" s="39">
        <f>IF('Business Requirements'!E10="","",'Business Requirements'!E10)</f>
        <v/>
      </c>
      <c r="F13" s="40">
        <f>IF('Business Requirements'!F10="","",'Business Requirements'!F10)</f>
        <v/>
      </c>
      <c r="G13" s="39">
        <f>IF('Business Requirements'!G10="","",'Business Requirements'!G10)</f>
        <v/>
      </c>
    </row>
    <row r="14">
      <c r="A14" s="41">
        <f>IF('Business Requirements'!A11="","",'Business Requirements'!A11)</f>
        <v/>
      </c>
      <c r="B14" s="41">
        <f>IF('Business Requirements'!B11="","",'Business Requirements'!B11)</f>
        <v/>
      </c>
      <c r="C14" s="41">
        <f>IF('Business Requirements'!C11="","",'Business Requirements'!C11)</f>
        <v/>
      </c>
      <c r="D14" s="41">
        <f>IF('Business Requirements'!D11="","",'Business Requirements'!D11)</f>
        <v/>
      </c>
      <c r="E14" s="41">
        <f>IF('Business Requirements'!E11="","",'Business Requirements'!E11)</f>
        <v/>
      </c>
      <c r="F14" s="40">
        <f>IF('Business Requirements'!F11="","",'Business Requirements'!F11)</f>
        <v/>
      </c>
      <c r="G14" s="41">
        <f>IF('Business Requirements'!G11="","",'Business Requirements'!G11)</f>
        <v/>
      </c>
    </row>
    <row r="15">
      <c r="A15" s="39">
        <f>IF('Business Requirements'!A12="","",'Business Requirements'!A12)</f>
        <v/>
      </c>
      <c r="B15" s="39">
        <f>IF('Business Requirements'!B12="","",'Business Requirements'!B12)</f>
        <v/>
      </c>
      <c r="C15" s="39">
        <f>IF('Business Requirements'!C12="","",'Business Requirements'!C12)</f>
        <v/>
      </c>
      <c r="D15" s="39">
        <f>IF('Business Requirements'!D12="","",'Business Requirements'!D12)</f>
        <v/>
      </c>
      <c r="E15" s="39">
        <f>IF('Business Requirements'!E12="","",'Business Requirements'!E12)</f>
        <v/>
      </c>
      <c r="F15" s="40">
        <f>IF('Business Requirements'!F12="","",'Business Requirements'!F12)</f>
        <v/>
      </c>
      <c r="G15" s="39">
        <f>IF('Business Requirements'!G12="","",'Business Requirements'!G12)</f>
        <v/>
      </c>
    </row>
    <row r="16">
      <c r="A16" s="41">
        <f>IF('Business Requirements'!A13="","",'Business Requirements'!A13)</f>
        <v/>
      </c>
      <c r="B16" s="41">
        <f>IF('Business Requirements'!B13="","",'Business Requirements'!B13)</f>
        <v/>
      </c>
      <c r="C16" s="41">
        <f>IF('Business Requirements'!C13="","",'Business Requirements'!C13)</f>
        <v/>
      </c>
      <c r="D16" s="41">
        <f>IF('Business Requirements'!D13="","",'Business Requirements'!D13)</f>
        <v/>
      </c>
      <c r="E16" s="41">
        <f>IF('Business Requirements'!E13="","",'Business Requirements'!E13)</f>
        <v/>
      </c>
      <c r="F16" s="40">
        <f>IF('Business Requirements'!F13="","",'Business Requirements'!F13)</f>
        <v/>
      </c>
      <c r="G16" s="41">
        <f>IF('Business Requirements'!G13="","",'Business Requirements'!G13)</f>
        <v/>
      </c>
    </row>
    <row r="17">
      <c r="A17" s="39">
        <f>IF('Business Requirements'!A14="","",'Business Requirements'!A14)</f>
        <v/>
      </c>
      <c r="B17" s="39">
        <f>IF('Business Requirements'!B14="","",'Business Requirements'!B14)</f>
        <v/>
      </c>
      <c r="C17" s="39">
        <f>IF('Business Requirements'!C14="","",'Business Requirements'!C14)</f>
        <v/>
      </c>
      <c r="D17" s="39">
        <f>IF('Business Requirements'!D14="","",'Business Requirements'!D14)</f>
        <v/>
      </c>
      <c r="E17" s="39">
        <f>IF('Business Requirements'!E14="","",'Business Requirements'!E14)</f>
        <v/>
      </c>
      <c r="F17" s="40">
        <f>IF('Business Requirements'!F14="","",'Business Requirements'!F14)</f>
        <v/>
      </c>
      <c r="G17" s="39">
        <f>IF('Business Requirements'!G14="","",'Business Requirements'!G14)</f>
        <v/>
      </c>
    </row>
    <row r="18">
      <c r="A18" s="41">
        <f>IF('Business Requirements'!A15="","",'Business Requirements'!A15)</f>
        <v/>
      </c>
      <c r="B18" s="41">
        <f>IF('Business Requirements'!B15="","",'Business Requirements'!B15)</f>
        <v/>
      </c>
      <c r="C18" s="41">
        <f>IF('Business Requirements'!C15="","",'Business Requirements'!C15)</f>
        <v/>
      </c>
      <c r="D18" s="41">
        <f>IF('Business Requirements'!D15="","",'Business Requirements'!D15)</f>
        <v/>
      </c>
      <c r="E18" s="41">
        <f>IF('Business Requirements'!E15="","",'Business Requirements'!E15)</f>
        <v/>
      </c>
      <c r="F18" s="40">
        <f>IF('Business Requirements'!F15="","",'Business Requirements'!F15)</f>
        <v/>
      </c>
      <c r="G18" s="41">
        <f>IF('Business Requirements'!G15="","",'Business Requirements'!G15)</f>
        <v/>
      </c>
    </row>
    <row r="19">
      <c r="A19" s="39">
        <f>IF('Business Requirements'!A16="","",'Business Requirements'!A16)</f>
        <v/>
      </c>
      <c r="B19" s="39">
        <f>IF('Business Requirements'!B16="","",'Business Requirements'!B16)</f>
        <v/>
      </c>
      <c r="C19" s="39">
        <f>IF('Business Requirements'!C16="","",'Business Requirements'!C16)</f>
        <v/>
      </c>
      <c r="D19" s="39">
        <f>IF('Business Requirements'!D16="","",'Business Requirements'!D16)</f>
        <v/>
      </c>
      <c r="E19" s="39">
        <f>IF('Business Requirements'!E16="","",'Business Requirements'!E16)</f>
        <v/>
      </c>
      <c r="F19" s="40">
        <f>IF('Business Requirements'!F16="","",'Business Requirements'!F16)</f>
        <v/>
      </c>
      <c r="G19" s="39">
        <f>IF('Business Requirements'!G16="","",'Business Requirements'!G16)</f>
        <v/>
      </c>
    </row>
    <row r="20">
      <c r="A20" s="41">
        <f>IF('Business Requirements'!A17="","",'Business Requirements'!A17)</f>
        <v/>
      </c>
      <c r="B20" s="41">
        <f>IF('Business Requirements'!B17="","",'Business Requirements'!B17)</f>
        <v/>
      </c>
      <c r="C20" s="41">
        <f>IF('Business Requirements'!C17="","",'Business Requirements'!C17)</f>
        <v/>
      </c>
      <c r="D20" s="41">
        <f>IF('Business Requirements'!D17="","",'Business Requirements'!D17)</f>
        <v/>
      </c>
      <c r="E20" s="41">
        <f>IF('Business Requirements'!E17="","",'Business Requirements'!E17)</f>
        <v/>
      </c>
      <c r="F20" s="40">
        <f>IF('Business Requirements'!F17="","",'Business Requirements'!F17)</f>
        <v/>
      </c>
      <c r="G20" s="41">
        <f>IF('Business Requirements'!G17="","",'Business Requirements'!G17)</f>
        <v/>
      </c>
    </row>
    <row r="21">
      <c r="A21" s="39">
        <f>IF('Business Requirements'!A18="","",'Business Requirements'!A18)</f>
        <v/>
      </c>
      <c r="B21" s="39">
        <f>IF('Business Requirements'!B18="","",'Business Requirements'!B18)</f>
        <v/>
      </c>
      <c r="C21" s="39">
        <f>IF('Business Requirements'!C18="","",'Business Requirements'!C18)</f>
        <v/>
      </c>
      <c r="D21" s="39">
        <f>IF('Business Requirements'!D18="","",'Business Requirements'!D18)</f>
        <v/>
      </c>
      <c r="E21" s="39">
        <f>IF('Business Requirements'!E18="","",'Business Requirements'!E18)</f>
        <v/>
      </c>
      <c r="F21" s="40">
        <f>IF('Business Requirements'!F18="","",'Business Requirements'!F18)</f>
        <v/>
      </c>
      <c r="G21" s="39">
        <f>IF('Business Requirements'!G18="","",'Business Requirements'!G18)</f>
        <v/>
      </c>
    </row>
    <row r="22">
      <c r="A22" s="41">
        <f>IF('Technical Requirements'!A2="","",'Technical Requirements'!A2)</f>
        <v/>
      </c>
      <c r="B22" s="41">
        <f>IF('Technical Requirements'!B2="","",'Technical Requirements'!B2)</f>
        <v/>
      </c>
      <c r="C22" s="41">
        <f>IF('Technical Requirements'!C2="","",'Technical Requirements'!C2)</f>
        <v/>
      </c>
      <c r="D22" s="41">
        <f>IF('Technical Requirements'!D2="","",'Technical Requirements'!D2)</f>
        <v/>
      </c>
      <c r="E22" s="41">
        <f>IF('Technical Requirements'!E2="","",'Technical Requirements'!E2)</f>
        <v/>
      </c>
      <c r="F22" s="40">
        <f>IF('Technical Requirements'!F2="","",'Technical Requirements'!F2)</f>
        <v/>
      </c>
      <c r="G22" s="41">
        <f>IF('Technical Requirements'!G2="","",'Technical Requirements'!G2)</f>
        <v/>
      </c>
    </row>
    <row r="23">
      <c r="A23" s="39">
        <f>IF('Technical Requirements'!A3="","",'Technical Requirements'!A3)</f>
        <v/>
      </c>
      <c r="B23" s="39">
        <f>IF('Technical Requirements'!B3="","",'Technical Requirements'!B3)</f>
        <v/>
      </c>
      <c r="C23" s="39">
        <f>IF('Technical Requirements'!C3="","",'Technical Requirements'!C3)</f>
        <v/>
      </c>
      <c r="D23" s="39">
        <f>IF('Technical Requirements'!D3="","",'Technical Requirements'!D3)</f>
        <v/>
      </c>
      <c r="E23" s="39">
        <f>IF('Technical Requirements'!E3="","",'Technical Requirements'!E3)</f>
        <v/>
      </c>
      <c r="F23" s="40">
        <f>IF('Technical Requirements'!F3="","",'Technical Requirements'!F3)</f>
        <v/>
      </c>
      <c r="G23" s="39">
        <f>IF('Technical Requirements'!G3="","",'Technical Requirements'!G3)</f>
        <v/>
      </c>
    </row>
    <row r="24">
      <c r="A24" s="41">
        <f>IF('Technical Requirements'!A4="","",'Technical Requirements'!A4)</f>
        <v/>
      </c>
      <c r="B24" s="41">
        <f>IF('Technical Requirements'!B4="","",'Technical Requirements'!B4)</f>
        <v/>
      </c>
      <c r="C24" s="41">
        <f>IF('Technical Requirements'!C4="","",'Technical Requirements'!C4)</f>
        <v/>
      </c>
      <c r="D24" s="41">
        <f>IF('Technical Requirements'!D4="","",'Technical Requirements'!D4)</f>
        <v/>
      </c>
      <c r="E24" s="41">
        <f>IF('Technical Requirements'!E4="","",'Technical Requirements'!E4)</f>
        <v/>
      </c>
      <c r="F24" s="40">
        <f>IF('Technical Requirements'!F4="","",'Technical Requirements'!F4)</f>
        <v/>
      </c>
      <c r="G24" s="41">
        <f>IF('Technical Requirements'!G4="","",'Technical Requirements'!G4)</f>
        <v/>
      </c>
    </row>
    <row r="25">
      <c r="A25" s="39">
        <f>IF('Technical Requirements'!A5="","",'Technical Requirements'!A5)</f>
        <v/>
      </c>
      <c r="B25" s="39">
        <f>IF('Technical Requirements'!B5="","",'Technical Requirements'!B5)</f>
        <v/>
      </c>
      <c r="C25" s="39">
        <f>IF('Technical Requirements'!C5="","",'Technical Requirements'!C5)</f>
        <v/>
      </c>
      <c r="D25" s="39">
        <f>IF('Technical Requirements'!D5="","",'Technical Requirements'!D5)</f>
        <v/>
      </c>
      <c r="E25" s="39">
        <f>IF('Technical Requirements'!E5="","",'Technical Requirements'!E5)</f>
        <v/>
      </c>
      <c r="F25" s="40">
        <f>IF('Technical Requirements'!F5="","",'Technical Requirements'!F5)</f>
        <v/>
      </c>
      <c r="G25" s="39">
        <f>IF('Technical Requirements'!G5="","",'Technical Requirements'!G5)</f>
        <v/>
      </c>
    </row>
    <row r="26">
      <c r="A26" s="41">
        <f>IF('Technical Requirements'!A6="","",'Technical Requirements'!A6)</f>
        <v/>
      </c>
      <c r="B26" s="41">
        <f>IF('Technical Requirements'!B6="","",'Technical Requirements'!B6)</f>
        <v/>
      </c>
      <c r="C26" s="41">
        <f>IF('Technical Requirements'!C6="","",'Technical Requirements'!C6)</f>
        <v/>
      </c>
      <c r="D26" s="41">
        <f>IF('Technical Requirements'!D6="","",'Technical Requirements'!D6)</f>
        <v/>
      </c>
      <c r="E26" s="41">
        <f>IF('Technical Requirements'!E6="","",'Technical Requirements'!E6)</f>
        <v/>
      </c>
      <c r="F26" s="40">
        <f>IF('Technical Requirements'!F6="","",'Technical Requirements'!F6)</f>
        <v/>
      </c>
      <c r="G26" s="41">
        <f>IF('Technical Requirements'!G6="","",'Technical Requirements'!G6)</f>
        <v/>
      </c>
    </row>
    <row r="27">
      <c r="A27" s="39">
        <f>IF('Technical Requirements'!A7="","",'Technical Requirements'!A7)</f>
        <v/>
      </c>
      <c r="B27" s="39">
        <f>IF('Technical Requirements'!B7="","",'Technical Requirements'!B7)</f>
        <v/>
      </c>
      <c r="C27" s="39">
        <f>IF('Technical Requirements'!C7="","",'Technical Requirements'!C7)</f>
        <v/>
      </c>
      <c r="D27" s="39">
        <f>IF('Technical Requirements'!D7="","",'Technical Requirements'!D7)</f>
        <v/>
      </c>
      <c r="E27" s="39">
        <f>IF('Technical Requirements'!E7="","",'Technical Requirements'!E7)</f>
        <v/>
      </c>
      <c r="F27" s="40">
        <f>IF('Technical Requirements'!F7="","",'Technical Requirements'!F7)</f>
        <v/>
      </c>
      <c r="G27" s="39">
        <f>IF('Technical Requirements'!G7="","",'Technical Requirements'!G7)</f>
        <v/>
      </c>
    </row>
    <row r="28">
      <c r="A28" s="41">
        <f>IF('Technical Requirements'!A8="","",'Technical Requirements'!A8)</f>
        <v/>
      </c>
      <c r="B28" s="41">
        <f>IF('Technical Requirements'!B8="","",'Technical Requirements'!B8)</f>
        <v/>
      </c>
      <c r="C28" s="41">
        <f>IF('Technical Requirements'!C8="","",'Technical Requirements'!C8)</f>
        <v/>
      </c>
      <c r="D28" s="41">
        <f>IF('Technical Requirements'!D8="","",'Technical Requirements'!D8)</f>
        <v/>
      </c>
      <c r="E28" s="41">
        <f>IF('Technical Requirements'!E8="","",'Technical Requirements'!E8)</f>
        <v/>
      </c>
      <c r="F28" s="40">
        <f>IF('Technical Requirements'!F8="","",'Technical Requirements'!F8)</f>
        <v/>
      </c>
      <c r="G28" s="41">
        <f>IF('Technical Requirements'!G8="","",'Technical Requirements'!G8)</f>
        <v/>
      </c>
    </row>
    <row r="29">
      <c r="A29" s="39">
        <f>IF('Technical Requirements'!A9="","",'Technical Requirements'!A9)</f>
        <v/>
      </c>
      <c r="B29" s="39">
        <f>IF('Technical Requirements'!B9="","",'Technical Requirements'!B9)</f>
        <v/>
      </c>
      <c r="C29" s="39">
        <f>IF('Technical Requirements'!C9="","",'Technical Requirements'!C9)</f>
        <v/>
      </c>
      <c r="D29" s="39">
        <f>IF('Technical Requirements'!D9="","",'Technical Requirements'!D9)</f>
        <v/>
      </c>
      <c r="E29" s="39">
        <f>IF('Technical Requirements'!E9="","",'Technical Requirements'!E9)</f>
        <v/>
      </c>
      <c r="F29" s="40">
        <f>IF('Technical Requirements'!F9="","",'Technical Requirements'!F9)</f>
        <v/>
      </c>
      <c r="G29" s="39">
        <f>IF('Technical Requirements'!G9="","",'Technical Requirements'!G9)</f>
        <v/>
      </c>
    </row>
    <row r="30">
      <c r="A30" s="41">
        <f>IF('Technical Requirements'!A10="","",'Technical Requirements'!A10)</f>
        <v/>
      </c>
      <c r="B30" s="41">
        <f>IF('Technical Requirements'!B10="","",'Technical Requirements'!B10)</f>
        <v/>
      </c>
      <c r="C30" s="41">
        <f>IF('Technical Requirements'!C10="","",'Technical Requirements'!C10)</f>
        <v/>
      </c>
      <c r="D30" s="41">
        <f>IF('Technical Requirements'!D10="","",'Technical Requirements'!D10)</f>
        <v/>
      </c>
      <c r="E30" s="41">
        <f>IF('Technical Requirements'!E10="","",'Technical Requirements'!E10)</f>
        <v/>
      </c>
      <c r="F30" s="40">
        <f>IF('Technical Requirements'!F10="","",'Technical Requirements'!F10)</f>
        <v/>
      </c>
      <c r="G30" s="41">
        <f>IF('Technical Requirements'!G10="","",'Technical Requirements'!G10)</f>
        <v/>
      </c>
    </row>
    <row r="31">
      <c r="A31" s="39">
        <f>IF('Technical Requirements'!A11="","",'Technical Requirements'!A11)</f>
        <v/>
      </c>
      <c r="B31" s="39">
        <f>IF('Technical Requirements'!B11="","",'Technical Requirements'!B11)</f>
        <v/>
      </c>
      <c r="C31" s="39">
        <f>IF('Technical Requirements'!C11="","",'Technical Requirements'!C11)</f>
        <v/>
      </c>
      <c r="D31" s="39">
        <f>IF('Technical Requirements'!D11="","",'Technical Requirements'!D11)</f>
        <v/>
      </c>
      <c r="E31" s="39">
        <f>IF('Technical Requirements'!E11="","",'Technical Requirements'!E11)</f>
        <v/>
      </c>
      <c r="F31" s="40">
        <f>IF('Technical Requirements'!F11="","",'Technical Requirements'!F11)</f>
        <v/>
      </c>
      <c r="G31" s="39">
        <f>IF('Technical Requirements'!G11="","",'Technical Requirements'!G11)</f>
        <v/>
      </c>
    </row>
    <row r="32">
      <c r="A32" s="41">
        <f>IF('Technical Requirements'!A12="","",'Technical Requirements'!A12)</f>
        <v/>
      </c>
      <c r="B32" s="41">
        <f>IF('Technical Requirements'!B12="","",'Technical Requirements'!B12)</f>
        <v/>
      </c>
      <c r="C32" s="41">
        <f>IF('Technical Requirements'!C12="","",'Technical Requirements'!C12)</f>
        <v/>
      </c>
      <c r="D32" s="41">
        <f>IF('Technical Requirements'!D12="","",'Technical Requirements'!D12)</f>
        <v/>
      </c>
      <c r="E32" s="41">
        <f>IF('Technical Requirements'!E12="","",'Technical Requirements'!E12)</f>
        <v/>
      </c>
      <c r="F32" s="40">
        <f>IF('Technical Requirements'!F12="","",'Technical Requirements'!F12)</f>
        <v/>
      </c>
      <c r="G32" s="41">
        <f>IF('Technical Requirements'!G12="","",'Technical Requirements'!G12)</f>
        <v/>
      </c>
    </row>
    <row r="33">
      <c r="A33" s="39">
        <f>IF('Technical Requirements'!A13="","",'Technical Requirements'!A13)</f>
        <v/>
      </c>
      <c r="B33" s="39">
        <f>IF('Technical Requirements'!B13="","",'Technical Requirements'!B13)</f>
        <v/>
      </c>
      <c r="C33" s="39">
        <f>IF('Technical Requirements'!C13="","",'Technical Requirements'!C13)</f>
        <v/>
      </c>
      <c r="D33" s="39">
        <f>IF('Technical Requirements'!D13="","",'Technical Requirements'!D13)</f>
        <v/>
      </c>
      <c r="E33" s="39">
        <f>IF('Technical Requirements'!E13="","",'Technical Requirements'!E13)</f>
        <v/>
      </c>
      <c r="F33" s="40">
        <f>IF('Technical Requirements'!F13="","",'Technical Requirements'!F13)</f>
        <v/>
      </c>
      <c r="G33" s="39">
        <f>IF('Technical Requirements'!G13="","",'Technical Requirements'!G13)</f>
        <v/>
      </c>
    </row>
    <row r="34">
      <c r="A34" s="41">
        <f>IF('Technical Requirements'!A14="","",'Technical Requirements'!A14)</f>
        <v/>
      </c>
      <c r="B34" s="41">
        <f>IF('Technical Requirements'!B14="","",'Technical Requirements'!B14)</f>
        <v/>
      </c>
      <c r="C34" s="41">
        <f>IF('Technical Requirements'!C14="","",'Technical Requirements'!C14)</f>
        <v/>
      </c>
      <c r="D34" s="41">
        <f>IF('Technical Requirements'!D14="","",'Technical Requirements'!D14)</f>
        <v/>
      </c>
      <c r="E34" s="41">
        <f>IF('Technical Requirements'!E14="","",'Technical Requirements'!E14)</f>
        <v/>
      </c>
      <c r="F34" s="40">
        <f>IF('Technical Requirements'!F14="","",'Technical Requirements'!F14)</f>
        <v/>
      </c>
      <c r="G34" s="41">
        <f>IF('Technical Requirements'!G14="","",'Technical Requirements'!G14)</f>
        <v/>
      </c>
    </row>
    <row r="35">
      <c r="A35" s="39">
        <f>IF('Technical Requirements'!A15="","",'Technical Requirements'!A15)</f>
        <v/>
      </c>
      <c r="B35" s="39">
        <f>IF('Technical Requirements'!B15="","",'Technical Requirements'!B15)</f>
        <v/>
      </c>
      <c r="C35" s="39">
        <f>IF('Technical Requirements'!C15="","",'Technical Requirements'!C15)</f>
        <v/>
      </c>
      <c r="D35" s="39">
        <f>IF('Technical Requirements'!D15="","",'Technical Requirements'!D15)</f>
        <v/>
      </c>
      <c r="E35" s="39">
        <f>IF('Technical Requirements'!E15="","",'Technical Requirements'!E15)</f>
        <v/>
      </c>
      <c r="F35" s="40">
        <f>IF('Technical Requirements'!F15="","",'Technical Requirements'!F15)</f>
        <v/>
      </c>
      <c r="G35" s="39">
        <f>IF('Technical Requirements'!G15="","",'Technical Requirements'!G15)</f>
        <v/>
      </c>
    </row>
    <row r="36">
      <c r="A36" s="41">
        <f>IF('Technical Requirements'!A16="","",'Technical Requirements'!A16)</f>
        <v/>
      </c>
      <c r="B36" s="41">
        <f>IF('Technical Requirements'!B16="","",'Technical Requirements'!B16)</f>
        <v/>
      </c>
      <c r="C36" s="41">
        <f>IF('Technical Requirements'!C16="","",'Technical Requirements'!C16)</f>
        <v/>
      </c>
      <c r="D36" s="41">
        <f>IF('Technical Requirements'!D16="","",'Technical Requirements'!D16)</f>
        <v/>
      </c>
      <c r="E36" s="41">
        <f>IF('Technical Requirements'!E16="","",'Technical Requirements'!E16)</f>
        <v/>
      </c>
      <c r="F36" s="40">
        <f>IF('Technical Requirements'!F16="","",'Technical Requirements'!F16)</f>
        <v/>
      </c>
      <c r="G36" s="41">
        <f>IF('Technical Requirements'!G16="","",'Technical Requirements'!G16)</f>
        <v/>
      </c>
    </row>
    <row r="37">
      <c r="A37" s="39">
        <f>IF('Technical Requirements'!A17="","",'Technical Requirements'!A17)</f>
        <v/>
      </c>
      <c r="B37" s="39">
        <f>IF('Technical Requirements'!B17="","",'Technical Requirements'!B17)</f>
        <v/>
      </c>
      <c r="C37" s="39">
        <f>IF('Technical Requirements'!C17="","",'Technical Requirements'!C17)</f>
        <v/>
      </c>
      <c r="D37" s="39">
        <f>IF('Technical Requirements'!D17="","",'Technical Requirements'!D17)</f>
        <v/>
      </c>
      <c r="E37" s="39">
        <f>IF('Technical Requirements'!E17="","",'Technical Requirements'!E17)</f>
        <v/>
      </c>
      <c r="F37" s="40">
        <f>IF('Technical Requirements'!F17="","",'Technical Requirements'!F17)</f>
        <v/>
      </c>
      <c r="G37" s="39">
        <f>IF('Technical Requirements'!G17="","",'Technical Requirements'!G17)</f>
        <v/>
      </c>
    </row>
    <row r="38">
      <c r="A38" s="41">
        <f>IF('Technical Requirements'!A18="","",'Technical Requirements'!A18)</f>
        <v/>
      </c>
      <c r="B38" s="41">
        <f>IF('Technical Requirements'!B18="","",'Technical Requirements'!B18)</f>
        <v/>
      </c>
      <c r="C38" s="41">
        <f>IF('Technical Requirements'!C18="","",'Technical Requirements'!C18)</f>
        <v/>
      </c>
      <c r="D38" s="41">
        <f>IF('Technical Requirements'!D18="","",'Technical Requirements'!D18)</f>
        <v/>
      </c>
      <c r="E38" s="41">
        <f>IF('Technical Requirements'!E18="","",'Technical Requirements'!E18)</f>
        <v/>
      </c>
      <c r="F38" s="40">
        <f>IF('Technical Requirements'!F18="","",'Technical Requirements'!F18)</f>
        <v/>
      </c>
      <c r="G38" s="41">
        <f>IF('Technical Requirements'!G18="","",'Technical Requirements'!G18)</f>
        <v/>
      </c>
    </row>
    <row r="39">
      <c r="A39" s="39">
        <f>IF('Technical Requirements'!A19="","",'Technical Requirements'!A19)</f>
        <v/>
      </c>
      <c r="B39" s="39">
        <f>IF('Technical Requirements'!B19="","",'Technical Requirements'!B19)</f>
        <v/>
      </c>
      <c r="C39" s="39">
        <f>IF('Technical Requirements'!C19="","",'Technical Requirements'!C19)</f>
        <v/>
      </c>
      <c r="D39" s="39">
        <f>IF('Technical Requirements'!D19="","",'Technical Requirements'!D19)</f>
        <v/>
      </c>
      <c r="E39" s="39">
        <f>IF('Technical Requirements'!E19="","",'Technical Requirements'!E19)</f>
        <v/>
      </c>
      <c r="F39" s="40">
        <f>IF('Technical Requirements'!F19="","",'Technical Requirements'!F19)</f>
        <v/>
      </c>
      <c r="G39" s="39">
        <f>IF('Technical Requirements'!G19="","",'Technical Requirements'!G19)</f>
        <v/>
      </c>
    </row>
    <row r="40">
      <c r="A40" s="41">
        <f>IF('Technical Requirements'!A20="","",'Technical Requirements'!A20)</f>
        <v/>
      </c>
      <c r="B40" s="41">
        <f>IF('Technical Requirements'!B20="","",'Technical Requirements'!B20)</f>
        <v/>
      </c>
      <c r="C40" s="41">
        <f>IF('Technical Requirements'!C20="","",'Technical Requirements'!C20)</f>
        <v/>
      </c>
      <c r="D40" s="41">
        <f>IF('Technical Requirements'!D20="","",'Technical Requirements'!D20)</f>
        <v/>
      </c>
      <c r="E40" s="41">
        <f>IF('Technical Requirements'!E20="","",'Technical Requirements'!E20)</f>
        <v/>
      </c>
      <c r="F40" s="40">
        <f>IF('Technical Requirements'!F20="","",'Technical Requirements'!F20)</f>
        <v/>
      </c>
      <c r="G40" s="41">
        <f>IF('Technical Requirements'!G20="","",'Technical Requirements'!G20)</f>
        <v/>
      </c>
    </row>
    <row r="41">
      <c r="A41" s="39">
        <f>IF('Technical Requirements'!A21="","",'Technical Requirements'!A21)</f>
        <v/>
      </c>
      <c r="B41" s="39">
        <f>IF('Technical Requirements'!B21="","",'Technical Requirements'!B21)</f>
        <v/>
      </c>
      <c r="C41" s="39">
        <f>IF('Technical Requirements'!C21="","",'Technical Requirements'!C21)</f>
        <v/>
      </c>
      <c r="D41" s="39">
        <f>IF('Technical Requirements'!D21="","",'Technical Requirements'!D21)</f>
        <v/>
      </c>
      <c r="E41" s="39">
        <f>IF('Technical Requirements'!E21="","",'Technical Requirements'!E21)</f>
        <v/>
      </c>
      <c r="F41" s="40">
        <f>IF('Technical Requirements'!F21="","",'Technical Requirements'!F21)</f>
        <v/>
      </c>
      <c r="G41" s="39">
        <f>IF('Technical Requirements'!G21="","",'Technical Requirements'!G21)</f>
        <v/>
      </c>
    </row>
    <row r="42">
      <c r="A42" s="41">
        <f>IF('Security &amp; Compliance'!A2="","",'Security &amp; Compliance'!A2)</f>
        <v/>
      </c>
      <c r="B42" s="41">
        <f>IF('Security &amp; Compliance'!B2="","",'Security &amp; Compliance'!B2)</f>
        <v/>
      </c>
      <c r="C42" s="41">
        <f>IF('Security &amp; Compliance'!C2="","",'Security &amp; Compliance'!C2)</f>
        <v/>
      </c>
      <c r="D42" s="41">
        <f>IF('Security &amp; Compliance'!D2="","",'Security &amp; Compliance'!D2)</f>
        <v/>
      </c>
      <c r="E42" s="41">
        <f>IF('Security &amp; Compliance'!E2="","",'Security &amp; Compliance'!E2)</f>
        <v/>
      </c>
      <c r="F42" s="40">
        <f>IF('Security &amp; Compliance'!F2="","",'Security &amp; Compliance'!F2)</f>
        <v/>
      </c>
      <c r="G42" s="41">
        <f>IF('Security &amp; Compliance'!G2="","",'Security &amp; Compliance'!G2)</f>
        <v/>
      </c>
    </row>
    <row r="43">
      <c r="A43" s="39">
        <f>IF('Security &amp; Compliance'!A3="","",'Security &amp; Compliance'!A3)</f>
        <v/>
      </c>
      <c r="B43" s="39">
        <f>IF('Security &amp; Compliance'!B3="","",'Security &amp; Compliance'!B3)</f>
        <v/>
      </c>
      <c r="C43" s="39">
        <f>IF('Security &amp; Compliance'!C3="","",'Security &amp; Compliance'!C3)</f>
        <v/>
      </c>
      <c r="D43" s="39">
        <f>IF('Security &amp; Compliance'!D3="","",'Security &amp; Compliance'!D3)</f>
        <v/>
      </c>
      <c r="E43" s="39">
        <f>IF('Security &amp; Compliance'!E3="","",'Security &amp; Compliance'!E3)</f>
        <v/>
      </c>
      <c r="F43" s="40">
        <f>IF('Security &amp; Compliance'!F3="","",'Security &amp; Compliance'!F3)</f>
        <v/>
      </c>
      <c r="G43" s="39">
        <f>IF('Security &amp; Compliance'!G3="","",'Security &amp; Compliance'!G3)</f>
        <v/>
      </c>
    </row>
    <row r="44">
      <c r="A44" s="41">
        <f>IF('Security &amp; Compliance'!A4="","",'Security &amp; Compliance'!A4)</f>
        <v/>
      </c>
      <c r="B44" s="41">
        <f>IF('Security &amp; Compliance'!B4="","",'Security &amp; Compliance'!B4)</f>
        <v/>
      </c>
      <c r="C44" s="41">
        <f>IF('Security &amp; Compliance'!C4="","",'Security &amp; Compliance'!C4)</f>
        <v/>
      </c>
      <c r="D44" s="41">
        <f>IF('Security &amp; Compliance'!D4="","",'Security &amp; Compliance'!D4)</f>
        <v/>
      </c>
      <c r="E44" s="41">
        <f>IF('Security &amp; Compliance'!E4="","",'Security &amp; Compliance'!E4)</f>
        <v/>
      </c>
      <c r="F44" s="40">
        <f>IF('Security &amp; Compliance'!F4="","",'Security &amp; Compliance'!F4)</f>
        <v/>
      </c>
      <c r="G44" s="41">
        <f>IF('Security &amp; Compliance'!G4="","",'Security &amp; Compliance'!G4)</f>
        <v/>
      </c>
    </row>
    <row r="45">
      <c r="A45" s="39">
        <f>IF('Security &amp; Compliance'!A5="","",'Security &amp; Compliance'!A5)</f>
        <v/>
      </c>
      <c r="B45" s="39">
        <f>IF('Security &amp; Compliance'!B5="","",'Security &amp; Compliance'!B5)</f>
        <v/>
      </c>
      <c r="C45" s="39">
        <f>IF('Security &amp; Compliance'!C5="","",'Security &amp; Compliance'!C5)</f>
        <v/>
      </c>
      <c r="D45" s="39">
        <f>IF('Security &amp; Compliance'!D5="","",'Security &amp; Compliance'!D5)</f>
        <v/>
      </c>
      <c r="E45" s="39">
        <f>IF('Security &amp; Compliance'!E5="","",'Security &amp; Compliance'!E5)</f>
        <v/>
      </c>
      <c r="F45" s="40">
        <f>IF('Security &amp; Compliance'!F5="","",'Security &amp; Compliance'!F5)</f>
        <v/>
      </c>
      <c r="G45" s="39">
        <f>IF('Security &amp; Compliance'!G5="","",'Security &amp; Compliance'!G5)</f>
        <v/>
      </c>
    </row>
    <row r="46">
      <c r="A46" s="41">
        <f>IF('Security &amp; Compliance'!A6="","",'Security &amp; Compliance'!A6)</f>
        <v/>
      </c>
      <c r="B46" s="41">
        <f>IF('Security &amp; Compliance'!B6="","",'Security &amp; Compliance'!B6)</f>
        <v/>
      </c>
      <c r="C46" s="41">
        <f>IF('Security &amp; Compliance'!C6="","",'Security &amp; Compliance'!C6)</f>
        <v/>
      </c>
      <c r="D46" s="41">
        <f>IF('Security &amp; Compliance'!D6="","",'Security &amp; Compliance'!D6)</f>
        <v/>
      </c>
      <c r="E46" s="41">
        <f>IF('Security &amp; Compliance'!E6="","",'Security &amp; Compliance'!E6)</f>
        <v/>
      </c>
      <c r="F46" s="40">
        <f>IF('Security &amp; Compliance'!F6="","",'Security &amp; Compliance'!F6)</f>
        <v/>
      </c>
      <c r="G46" s="41">
        <f>IF('Security &amp; Compliance'!G6="","",'Security &amp; Compliance'!G6)</f>
        <v/>
      </c>
    </row>
    <row r="47">
      <c r="A47" s="39">
        <f>IF('Security &amp; Compliance'!A7="","",'Security &amp; Compliance'!A7)</f>
        <v/>
      </c>
      <c r="B47" s="39">
        <f>IF('Security &amp; Compliance'!B7="","",'Security &amp; Compliance'!B7)</f>
        <v/>
      </c>
      <c r="C47" s="39">
        <f>IF('Security &amp; Compliance'!C7="","",'Security &amp; Compliance'!C7)</f>
        <v/>
      </c>
      <c r="D47" s="39">
        <f>IF('Security &amp; Compliance'!D7="","",'Security &amp; Compliance'!D7)</f>
        <v/>
      </c>
      <c r="E47" s="39">
        <f>IF('Security &amp; Compliance'!E7="","",'Security &amp; Compliance'!E7)</f>
        <v/>
      </c>
      <c r="F47" s="40">
        <f>IF('Security &amp; Compliance'!F7="","",'Security &amp; Compliance'!F7)</f>
        <v/>
      </c>
      <c r="G47" s="39">
        <f>IF('Security &amp; Compliance'!G7="","",'Security &amp; Compliance'!G7)</f>
        <v/>
      </c>
    </row>
    <row r="48">
      <c r="A48" s="41">
        <f>IF('Security &amp; Compliance'!A8="","",'Security &amp; Compliance'!A8)</f>
        <v/>
      </c>
      <c r="B48" s="41">
        <f>IF('Security &amp; Compliance'!B8="","",'Security &amp; Compliance'!B8)</f>
        <v/>
      </c>
      <c r="C48" s="41">
        <f>IF('Security &amp; Compliance'!C8="","",'Security &amp; Compliance'!C8)</f>
        <v/>
      </c>
      <c r="D48" s="41">
        <f>IF('Security &amp; Compliance'!D8="","",'Security &amp; Compliance'!D8)</f>
        <v/>
      </c>
      <c r="E48" s="41">
        <f>IF('Security &amp; Compliance'!E8="","",'Security &amp; Compliance'!E8)</f>
        <v/>
      </c>
      <c r="F48" s="40">
        <f>IF('Security &amp; Compliance'!F8="","",'Security &amp; Compliance'!F8)</f>
        <v/>
      </c>
      <c r="G48" s="41">
        <f>IF('Security &amp; Compliance'!G8="","",'Security &amp; Compliance'!G8)</f>
        <v/>
      </c>
    </row>
    <row r="49">
      <c r="A49" s="39">
        <f>IF('Security &amp; Compliance'!A9="","",'Security &amp; Compliance'!A9)</f>
        <v/>
      </c>
      <c r="B49" s="39">
        <f>IF('Security &amp; Compliance'!B9="","",'Security &amp; Compliance'!B9)</f>
        <v/>
      </c>
      <c r="C49" s="39">
        <f>IF('Security &amp; Compliance'!C9="","",'Security &amp; Compliance'!C9)</f>
        <v/>
      </c>
      <c r="D49" s="39">
        <f>IF('Security &amp; Compliance'!D9="","",'Security &amp; Compliance'!D9)</f>
        <v/>
      </c>
      <c r="E49" s="39">
        <f>IF('Security &amp; Compliance'!E9="","",'Security &amp; Compliance'!E9)</f>
        <v/>
      </c>
      <c r="F49" s="40">
        <f>IF('Security &amp; Compliance'!F9="","",'Security &amp; Compliance'!F9)</f>
        <v/>
      </c>
      <c r="G49" s="39">
        <f>IF('Security &amp; Compliance'!G9="","",'Security &amp; Compliance'!G9)</f>
        <v/>
      </c>
    </row>
    <row r="50">
      <c r="A50" s="41">
        <f>IF('Security &amp; Compliance'!A10="","",'Security &amp; Compliance'!A10)</f>
        <v/>
      </c>
      <c r="B50" s="41">
        <f>IF('Security &amp; Compliance'!B10="","",'Security &amp; Compliance'!B10)</f>
        <v/>
      </c>
      <c r="C50" s="41">
        <f>IF('Security &amp; Compliance'!C10="","",'Security &amp; Compliance'!C10)</f>
        <v/>
      </c>
      <c r="D50" s="41">
        <f>IF('Security &amp; Compliance'!D10="","",'Security &amp; Compliance'!D10)</f>
        <v/>
      </c>
      <c r="E50" s="41">
        <f>IF('Security &amp; Compliance'!E10="","",'Security &amp; Compliance'!E10)</f>
        <v/>
      </c>
      <c r="F50" s="40">
        <f>IF('Security &amp; Compliance'!F10="","",'Security &amp; Compliance'!F10)</f>
        <v/>
      </c>
      <c r="G50" s="41">
        <f>IF('Security &amp; Compliance'!G10="","",'Security &amp; Compliance'!G10)</f>
        <v/>
      </c>
    </row>
    <row r="51">
      <c r="A51" s="39">
        <f>IF('Security &amp; Compliance'!A11="","",'Security &amp; Compliance'!A11)</f>
        <v/>
      </c>
      <c r="B51" s="39">
        <f>IF('Security &amp; Compliance'!B11="","",'Security &amp; Compliance'!B11)</f>
        <v/>
      </c>
      <c r="C51" s="39">
        <f>IF('Security &amp; Compliance'!C11="","",'Security &amp; Compliance'!C11)</f>
        <v/>
      </c>
      <c r="D51" s="39">
        <f>IF('Security &amp; Compliance'!D11="","",'Security &amp; Compliance'!D11)</f>
        <v/>
      </c>
      <c r="E51" s="39">
        <f>IF('Security &amp; Compliance'!E11="","",'Security &amp; Compliance'!E11)</f>
        <v/>
      </c>
      <c r="F51" s="40">
        <f>IF('Security &amp; Compliance'!F11="","",'Security &amp; Compliance'!F11)</f>
        <v/>
      </c>
      <c r="G51" s="39">
        <f>IF('Security &amp; Compliance'!G11="","",'Security &amp; Compliance'!G11)</f>
        <v/>
      </c>
    </row>
    <row r="52">
      <c r="A52" s="41">
        <f>IF('Operations &amp; Support'!A2="","",'Operations &amp; Support'!A2)</f>
        <v/>
      </c>
      <c r="B52" s="41">
        <f>IF('Operations &amp; Support'!B2="","",'Operations &amp; Support'!B2)</f>
        <v/>
      </c>
      <c r="C52" s="41">
        <f>IF('Operations &amp; Support'!C2="","",'Operations &amp; Support'!C2)</f>
        <v/>
      </c>
      <c r="D52" s="41">
        <f>IF('Operations &amp; Support'!D2="","",'Operations &amp; Support'!D2)</f>
        <v/>
      </c>
      <c r="E52" s="41">
        <f>IF('Operations &amp; Support'!E2="","",'Operations &amp; Support'!E2)</f>
        <v/>
      </c>
      <c r="F52" s="40">
        <f>IF('Operations &amp; Support'!F2="","",'Operations &amp; Support'!F2)</f>
        <v/>
      </c>
      <c r="G52" s="41">
        <f>IF('Operations &amp; Support'!G2="","",'Operations &amp; Support'!G2)</f>
        <v/>
      </c>
    </row>
    <row r="53">
      <c r="A53" s="39">
        <f>IF('Operations &amp; Support'!A3="","",'Operations &amp; Support'!A3)</f>
        <v/>
      </c>
      <c r="B53" s="39">
        <f>IF('Operations &amp; Support'!B3="","",'Operations &amp; Support'!B3)</f>
        <v/>
      </c>
      <c r="C53" s="39">
        <f>IF('Operations &amp; Support'!C3="","",'Operations &amp; Support'!C3)</f>
        <v/>
      </c>
      <c r="D53" s="39">
        <f>IF('Operations &amp; Support'!D3="","",'Operations &amp; Support'!D3)</f>
        <v/>
      </c>
      <c r="E53" s="39">
        <f>IF('Operations &amp; Support'!E3="","",'Operations &amp; Support'!E3)</f>
        <v/>
      </c>
      <c r="F53" s="40">
        <f>IF('Operations &amp; Support'!F3="","",'Operations &amp; Support'!F3)</f>
        <v/>
      </c>
      <c r="G53" s="39">
        <f>IF('Operations &amp; Support'!G3="","",'Operations &amp; Support'!G3)</f>
        <v/>
      </c>
    </row>
    <row r="54">
      <c r="A54" s="41">
        <f>IF('Operations &amp; Support'!A4="","",'Operations &amp; Support'!A4)</f>
        <v/>
      </c>
      <c r="B54" s="41">
        <f>IF('Operations &amp; Support'!B4="","",'Operations &amp; Support'!B4)</f>
        <v/>
      </c>
      <c r="C54" s="41">
        <f>IF('Operations &amp; Support'!C4="","",'Operations &amp; Support'!C4)</f>
        <v/>
      </c>
      <c r="D54" s="41">
        <f>IF('Operations &amp; Support'!D4="","",'Operations &amp; Support'!D4)</f>
        <v/>
      </c>
      <c r="E54" s="41">
        <f>IF('Operations &amp; Support'!E4="","",'Operations &amp; Support'!E4)</f>
        <v/>
      </c>
      <c r="F54" s="40">
        <f>IF('Operations &amp; Support'!F4="","",'Operations &amp; Support'!F4)</f>
        <v/>
      </c>
      <c r="G54" s="41">
        <f>IF('Operations &amp; Support'!G4="","",'Operations &amp; Support'!G4)</f>
        <v/>
      </c>
    </row>
    <row r="55">
      <c r="A55" s="39">
        <f>IF('Operations &amp; Support'!A5="","",'Operations &amp; Support'!A5)</f>
        <v/>
      </c>
      <c r="B55" s="39">
        <f>IF('Operations &amp; Support'!B5="","",'Operations &amp; Support'!B5)</f>
        <v/>
      </c>
      <c r="C55" s="39">
        <f>IF('Operations &amp; Support'!C5="","",'Operations &amp; Support'!C5)</f>
        <v/>
      </c>
      <c r="D55" s="39">
        <f>IF('Operations &amp; Support'!D5="","",'Operations &amp; Support'!D5)</f>
        <v/>
      </c>
      <c r="E55" s="39">
        <f>IF('Operations &amp; Support'!E5="","",'Operations &amp; Support'!E5)</f>
        <v/>
      </c>
      <c r="F55" s="40">
        <f>IF('Operations &amp; Support'!F5="","",'Operations &amp; Support'!F5)</f>
        <v/>
      </c>
      <c r="G55" s="39">
        <f>IF('Operations &amp; Support'!G5="","",'Operations &amp; Support'!G5)</f>
        <v/>
      </c>
    </row>
    <row r="56">
      <c r="A56" s="41">
        <f>IF('Operations &amp; Support'!A6="","",'Operations &amp; Support'!A6)</f>
        <v/>
      </c>
      <c r="B56" s="41">
        <f>IF('Operations &amp; Support'!B6="","",'Operations &amp; Support'!B6)</f>
        <v/>
      </c>
      <c r="C56" s="41">
        <f>IF('Operations &amp; Support'!C6="","",'Operations &amp; Support'!C6)</f>
        <v/>
      </c>
      <c r="D56" s="41">
        <f>IF('Operations &amp; Support'!D6="","",'Operations &amp; Support'!D6)</f>
        <v/>
      </c>
      <c r="E56" s="41">
        <f>IF('Operations &amp; Support'!E6="","",'Operations &amp; Support'!E6)</f>
        <v/>
      </c>
      <c r="F56" s="40">
        <f>IF('Operations &amp; Support'!F6="","",'Operations &amp; Support'!F6)</f>
        <v/>
      </c>
      <c r="G56" s="41">
        <f>IF('Operations &amp; Support'!G6="","",'Operations &amp; Support'!G6)</f>
        <v/>
      </c>
    </row>
    <row r="57">
      <c r="A57" s="39">
        <f>IF('Operations &amp; Support'!A7="","",'Operations &amp; Support'!A7)</f>
        <v/>
      </c>
      <c r="B57" s="39">
        <f>IF('Operations &amp; Support'!B7="","",'Operations &amp; Support'!B7)</f>
        <v/>
      </c>
      <c r="C57" s="39">
        <f>IF('Operations &amp; Support'!C7="","",'Operations &amp; Support'!C7)</f>
        <v/>
      </c>
      <c r="D57" s="39">
        <f>IF('Operations &amp; Support'!D7="","",'Operations &amp; Support'!D7)</f>
        <v/>
      </c>
      <c r="E57" s="39">
        <f>IF('Operations &amp; Support'!E7="","",'Operations &amp; Support'!E7)</f>
        <v/>
      </c>
      <c r="F57" s="40">
        <f>IF('Operations &amp; Support'!F7="","",'Operations &amp; Support'!F7)</f>
        <v/>
      </c>
      <c r="G57" s="39">
        <f>IF('Operations &amp; Support'!G7="","",'Operations &amp; Support'!G7)</f>
        <v/>
      </c>
    </row>
    <row r="58">
      <c r="A58" s="41">
        <f>IF('Operations &amp; Support'!A8="","",'Operations &amp; Support'!A8)</f>
        <v/>
      </c>
      <c r="B58" s="41">
        <f>IF('Operations &amp; Support'!B8="","",'Operations &amp; Support'!B8)</f>
        <v/>
      </c>
      <c r="C58" s="41">
        <f>IF('Operations &amp; Support'!C8="","",'Operations &amp; Support'!C8)</f>
        <v/>
      </c>
      <c r="D58" s="41">
        <f>IF('Operations &amp; Support'!D8="","",'Operations &amp; Support'!D8)</f>
        <v/>
      </c>
      <c r="E58" s="41">
        <f>IF('Operations &amp; Support'!E8="","",'Operations &amp; Support'!E8)</f>
        <v/>
      </c>
      <c r="F58" s="40">
        <f>IF('Operations &amp; Support'!F8="","",'Operations &amp; Support'!F8)</f>
        <v/>
      </c>
      <c r="G58" s="41">
        <f>IF('Operations &amp; Support'!G8="","",'Operations &amp; Support'!G8)</f>
        <v/>
      </c>
    </row>
    <row r="59">
      <c r="A59" s="39">
        <f>IF('Operations &amp; Support'!A9="","",'Operations &amp; Support'!A9)</f>
        <v/>
      </c>
      <c r="B59" s="39">
        <f>IF('Operations &amp; Support'!B9="","",'Operations &amp; Support'!B9)</f>
        <v/>
      </c>
      <c r="C59" s="39">
        <f>IF('Operations &amp; Support'!C9="","",'Operations &amp; Support'!C9)</f>
        <v/>
      </c>
      <c r="D59" s="39">
        <f>IF('Operations &amp; Support'!D9="","",'Operations &amp; Support'!D9)</f>
        <v/>
      </c>
      <c r="E59" s="39">
        <f>IF('Operations &amp; Support'!E9="","",'Operations &amp; Support'!E9)</f>
        <v/>
      </c>
      <c r="F59" s="40">
        <f>IF('Operations &amp; Support'!F9="","",'Operations &amp; Support'!F9)</f>
        <v/>
      </c>
      <c r="G59" s="39">
        <f>IF('Operations &amp; Support'!G9="","",'Operations &amp; Support'!G9)</f>
        <v/>
      </c>
    </row>
    <row r="60">
      <c r="A60" s="41">
        <f>IF('Operations &amp; Support'!A10="","",'Operations &amp; Support'!A10)</f>
        <v/>
      </c>
      <c r="B60" s="41">
        <f>IF('Operations &amp; Support'!B10="","",'Operations &amp; Support'!B10)</f>
        <v/>
      </c>
      <c r="C60" s="41">
        <f>IF('Operations &amp; Support'!C10="","",'Operations &amp; Support'!C10)</f>
        <v/>
      </c>
      <c r="D60" s="41">
        <f>IF('Operations &amp; Support'!D10="","",'Operations &amp; Support'!D10)</f>
        <v/>
      </c>
      <c r="E60" s="41">
        <f>IF('Operations &amp; Support'!E10="","",'Operations &amp; Support'!E10)</f>
        <v/>
      </c>
      <c r="F60" s="40">
        <f>IF('Operations &amp; Support'!F10="","",'Operations &amp; Support'!F10)</f>
        <v/>
      </c>
      <c r="G60" s="41">
        <f>IF('Operations &amp; Support'!G10="","",'Operations &amp; Support'!G10)</f>
        <v/>
      </c>
    </row>
    <row r="61">
      <c r="A61" s="39">
        <f>IF('Operations &amp; Support'!A11="","",'Operations &amp; Support'!A11)</f>
        <v/>
      </c>
      <c r="B61" s="39">
        <f>IF('Operations &amp; Support'!B11="","",'Operations &amp; Support'!B11)</f>
        <v/>
      </c>
      <c r="C61" s="39">
        <f>IF('Operations &amp; Support'!C11="","",'Operations &amp; Support'!C11)</f>
        <v/>
      </c>
      <c r="D61" s="39">
        <f>IF('Operations &amp; Support'!D11="","",'Operations &amp; Support'!D11)</f>
        <v/>
      </c>
      <c r="E61" s="39">
        <f>IF('Operations &amp; Support'!E11="","",'Operations &amp; Support'!E11)</f>
        <v/>
      </c>
      <c r="F61" s="40">
        <f>IF('Operations &amp; Support'!F11="","",'Operations &amp; Support'!F11)</f>
        <v/>
      </c>
      <c r="G61" s="39">
        <f>IF('Operations &amp; Support'!G11="","",'Operations &amp; Support'!G11)</f>
        <v/>
      </c>
    </row>
    <row r="62">
      <c r="A62" s="41">
        <f>IF('Implementation Planning'!A2="","",'Implementation Planning'!A2)</f>
        <v/>
      </c>
      <c r="B62" s="41">
        <f>IF('Implementation Planning'!B2="","",'Implementation Planning'!B2)</f>
        <v/>
      </c>
      <c r="C62" s="41">
        <f>IF('Implementation Planning'!C2="","",'Implementation Planning'!C2)</f>
        <v/>
      </c>
      <c r="D62" s="41">
        <f>IF('Implementation Planning'!D2="","",'Implementation Planning'!D2)</f>
        <v/>
      </c>
      <c r="E62" s="41">
        <f>IF('Implementation Planning'!E2="","",'Implementation Planning'!E2)</f>
        <v/>
      </c>
      <c r="F62" s="40">
        <f>IF('Implementation Planning'!F2="","",'Implementation Planning'!F2)</f>
        <v/>
      </c>
      <c r="G62" s="41">
        <f>IF('Implementation Planning'!G2="","",'Implementation Planning'!G2)</f>
        <v/>
      </c>
    </row>
    <row r="63">
      <c r="A63" s="39">
        <f>IF('Implementation Planning'!A3="","",'Implementation Planning'!A3)</f>
        <v/>
      </c>
      <c r="B63" s="39">
        <f>IF('Implementation Planning'!B3="","",'Implementation Planning'!B3)</f>
        <v/>
      </c>
      <c r="C63" s="39">
        <f>IF('Implementation Planning'!C3="","",'Implementation Planning'!C3)</f>
        <v/>
      </c>
      <c r="D63" s="39">
        <f>IF('Implementation Planning'!D3="","",'Implementation Planning'!D3)</f>
        <v/>
      </c>
      <c r="E63" s="39">
        <f>IF('Implementation Planning'!E3="","",'Implementation Planning'!E3)</f>
        <v/>
      </c>
      <c r="F63" s="40">
        <f>IF('Implementation Planning'!F3="","",'Implementation Planning'!F3)</f>
        <v/>
      </c>
      <c r="G63" s="39">
        <f>IF('Implementation Planning'!G3="","",'Implementation Planning'!G3)</f>
        <v/>
      </c>
    </row>
    <row r="64">
      <c r="A64" s="41">
        <f>IF('Implementation Planning'!A4="","",'Implementation Planning'!A4)</f>
        <v/>
      </c>
      <c r="B64" s="41">
        <f>IF('Implementation Planning'!B4="","",'Implementation Planning'!B4)</f>
        <v/>
      </c>
      <c r="C64" s="41">
        <f>IF('Implementation Planning'!C4="","",'Implementation Planning'!C4)</f>
        <v/>
      </c>
      <c r="D64" s="41">
        <f>IF('Implementation Planning'!D4="","",'Implementation Planning'!D4)</f>
        <v/>
      </c>
      <c r="E64" s="41">
        <f>IF('Implementation Planning'!E4="","",'Implementation Planning'!E4)</f>
        <v/>
      </c>
      <c r="F64" s="40">
        <f>IF('Implementation Planning'!F4="","",'Implementation Planning'!F4)</f>
        <v/>
      </c>
      <c r="G64" s="41">
        <f>IF('Implementation Planning'!G4="","",'Implementation Planning'!G4)</f>
        <v/>
      </c>
    </row>
    <row r="65">
      <c r="A65" s="39">
        <f>IF('Implementation Planning'!A5="","",'Implementation Planning'!A5)</f>
        <v/>
      </c>
      <c r="B65" s="39">
        <f>IF('Implementation Planning'!B5="","",'Implementation Planning'!B5)</f>
        <v/>
      </c>
      <c r="C65" s="39">
        <f>IF('Implementation Planning'!C5="","",'Implementation Planning'!C5)</f>
        <v/>
      </c>
      <c r="D65" s="39">
        <f>IF('Implementation Planning'!D5="","",'Implementation Planning'!D5)</f>
        <v/>
      </c>
      <c r="E65" s="39">
        <f>IF('Implementation Planning'!E5="","",'Implementation Planning'!E5)</f>
        <v/>
      </c>
      <c r="F65" s="40">
        <f>IF('Implementation Planning'!F5="","",'Implementation Planning'!F5)</f>
        <v/>
      </c>
      <c r="G65" s="39">
        <f>IF('Implementation Planning'!G5="","",'Implementation Planning'!G5)</f>
        <v/>
      </c>
    </row>
    <row r="66">
      <c r="A66" s="41">
        <f>IF('Implementation Planning'!A6="","",'Implementation Planning'!A6)</f>
        <v/>
      </c>
      <c r="B66" s="41">
        <f>IF('Implementation Planning'!B6="","",'Implementation Planning'!B6)</f>
        <v/>
      </c>
      <c r="C66" s="41">
        <f>IF('Implementation Planning'!C6="","",'Implementation Planning'!C6)</f>
        <v/>
      </c>
      <c r="D66" s="41">
        <f>IF('Implementation Planning'!D6="","",'Implementation Planning'!D6)</f>
        <v/>
      </c>
      <c r="E66" s="41">
        <f>IF('Implementation Planning'!E6="","",'Implementation Planning'!E6)</f>
        <v/>
      </c>
      <c r="F66" s="40">
        <f>IF('Implementation Planning'!F6="","",'Implementation Planning'!F6)</f>
        <v/>
      </c>
      <c r="G66" s="41">
        <f>IF('Implementation Planning'!G6="","",'Implementation Planning'!G6)</f>
        <v/>
      </c>
    </row>
    <row r="67">
      <c r="A67" s="39">
        <f>IF('Implementation Planning'!A7="","",'Implementation Planning'!A7)</f>
        <v/>
      </c>
      <c r="B67" s="39">
        <f>IF('Implementation Planning'!B7="","",'Implementation Planning'!B7)</f>
        <v/>
      </c>
      <c r="C67" s="39">
        <f>IF('Implementation Planning'!C7="","",'Implementation Planning'!C7)</f>
        <v/>
      </c>
      <c r="D67" s="39">
        <f>IF('Implementation Planning'!D7="","",'Implementation Planning'!D7)</f>
        <v/>
      </c>
      <c r="E67" s="39">
        <f>IF('Implementation Planning'!E7="","",'Implementation Planning'!E7)</f>
        <v/>
      </c>
      <c r="F67" s="40">
        <f>IF('Implementation Planning'!F7="","",'Implementation Planning'!F7)</f>
        <v/>
      </c>
      <c r="G67" s="39">
        <f>IF('Implementation Planning'!G7="","",'Implementation Planning'!G7)</f>
        <v/>
      </c>
    </row>
    <row r="68">
      <c r="A68" s="41">
        <f>IF('Implementation Planning'!A8="","",'Implementation Planning'!A8)</f>
        <v/>
      </c>
      <c r="B68" s="41">
        <f>IF('Implementation Planning'!B8="","",'Implementation Planning'!B8)</f>
        <v/>
      </c>
      <c r="C68" s="41">
        <f>IF('Implementation Planning'!C8="","",'Implementation Planning'!C8)</f>
        <v/>
      </c>
      <c r="D68" s="41">
        <f>IF('Implementation Planning'!D8="","",'Implementation Planning'!D8)</f>
        <v/>
      </c>
      <c r="E68" s="41">
        <f>IF('Implementation Planning'!E8="","",'Implementation Planning'!E8)</f>
        <v/>
      </c>
      <c r="F68" s="40">
        <f>IF('Implementation Planning'!F8="","",'Implementation Planning'!F8)</f>
        <v/>
      </c>
      <c r="G68" s="41">
        <f>IF('Implementation Planning'!G8="","",'Implementation Planning'!G8)</f>
        <v/>
      </c>
    </row>
    <row r="69">
      <c r="A69" s="39">
        <f>IF('Implementation Planning'!A9="","",'Implementation Planning'!A9)</f>
        <v/>
      </c>
      <c r="B69" s="39">
        <f>IF('Implementation Planning'!B9="","",'Implementation Planning'!B9)</f>
        <v/>
      </c>
      <c r="C69" s="39">
        <f>IF('Implementation Planning'!C9="","",'Implementation Planning'!C9)</f>
        <v/>
      </c>
      <c r="D69" s="39">
        <f>IF('Implementation Planning'!D9="","",'Implementation Planning'!D9)</f>
        <v/>
      </c>
      <c r="E69" s="39">
        <f>IF('Implementation Planning'!E9="","",'Implementation Planning'!E9)</f>
        <v/>
      </c>
      <c r="F69" s="40">
        <f>IF('Implementation Planning'!F9="","",'Implementation Planning'!F9)</f>
        <v/>
      </c>
      <c r="G69" s="39">
        <f>IF('Implementation Planning'!G9="","",'Implementation Planning'!G9)</f>
        <v/>
      </c>
    </row>
    <row r="70">
      <c r="A70" s="41">
        <f>IF('Implementation Planning'!A10="","",'Implementation Planning'!A10)</f>
        <v/>
      </c>
      <c r="B70" s="41">
        <f>IF('Implementation Planning'!B10="","",'Implementation Planning'!B10)</f>
        <v/>
      </c>
      <c r="C70" s="41">
        <f>IF('Implementation Planning'!C10="","",'Implementation Planning'!C10)</f>
        <v/>
      </c>
      <c r="D70" s="41">
        <f>IF('Implementation Planning'!D10="","",'Implementation Planning'!D10)</f>
        <v/>
      </c>
      <c r="E70" s="41">
        <f>IF('Implementation Planning'!E10="","",'Implementation Planning'!E10)</f>
        <v/>
      </c>
      <c r="F70" s="40">
        <f>IF('Implementation Planning'!F10="","",'Implementation Planning'!F10)</f>
        <v/>
      </c>
      <c r="G70" s="41">
        <f>IF('Implementation Planning'!G10="","",'Implementation Planning'!G10)</f>
        <v/>
      </c>
    </row>
    <row r="71">
      <c r="A71" s="39">
        <f>IF('Implementation Planning'!A11="","",'Implementation Planning'!A11)</f>
        <v/>
      </c>
      <c r="B71" s="39">
        <f>IF('Implementation Planning'!B11="","",'Implementation Planning'!B11)</f>
        <v/>
      </c>
      <c r="C71" s="39">
        <f>IF('Implementation Planning'!C11="","",'Implementation Planning'!C11)</f>
        <v/>
      </c>
      <c r="D71" s="39">
        <f>IF('Implementation Planning'!D11="","",'Implementation Planning'!D11)</f>
        <v/>
      </c>
      <c r="E71" s="39">
        <f>IF('Implementation Planning'!E11="","",'Implementation Planning'!E11)</f>
        <v/>
      </c>
      <c r="F71" s="40">
        <f>IF('Implementation Planning'!F11="","",'Implementation Planning'!F11)</f>
        <v/>
      </c>
      <c r="G71" s="39">
        <f>IF('Implementation Planning'!G11="","",'Implementation Planning'!G11)</f>
        <v/>
      </c>
    </row>
    <row r="72">
      <c r="A72" s="41">
        <f>IF('Risk &amp; Constraints'!A2="","",'Risk &amp; Constraints'!A2)</f>
        <v/>
      </c>
      <c r="B72" s="41">
        <f>IF('Risk &amp; Constraints'!B2="","",'Risk &amp; Constraints'!B2)</f>
        <v/>
      </c>
      <c r="C72" s="41">
        <f>IF('Risk &amp; Constraints'!C2="","",'Risk &amp; Constraints'!C2)</f>
        <v/>
      </c>
      <c r="D72" s="41">
        <f>IF('Risk &amp; Constraints'!D2="","",'Risk &amp; Constraints'!D2)</f>
        <v/>
      </c>
      <c r="E72" s="41">
        <f>IF('Risk &amp; Constraints'!E2="","",'Risk &amp; Constraints'!E2)</f>
        <v/>
      </c>
      <c r="F72" s="40">
        <f>IF('Risk &amp; Constraints'!F2="","",'Risk &amp; Constraints'!F2)</f>
        <v/>
      </c>
      <c r="G72" s="41">
        <f>IF('Risk &amp; Constraints'!G2="","",'Risk &amp; Constraints'!G2)</f>
        <v/>
      </c>
    </row>
    <row r="73">
      <c r="A73" s="39">
        <f>IF('Risk &amp; Constraints'!A3="","",'Risk &amp; Constraints'!A3)</f>
        <v/>
      </c>
      <c r="B73" s="39">
        <f>IF('Risk &amp; Constraints'!B3="","",'Risk &amp; Constraints'!B3)</f>
        <v/>
      </c>
      <c r="C73" s="39">
        <f>IF('Risk &amp; Constraints'!C3="","",'Risk &amp; Constraints'!C3)</f>
        <v/>
      </c>
      <c r="D73" s="39">
        <f>IF('Risk &amp; Constraints'!D3="","",'Risk &amp; Constraints'!D3)</f>
        <v/>
      </c>
      <c r="E73" s="39">
        <f>IF('Risk &amp; Constraints'!E3="","",'Risk &amp; Constraints'!E3)</f>
        <v/>
      </c>
      <c r="F73" s="40">
        <f>IF('Risk &amp; Constraints'!F3="","",'Risk &amp; Constraints'!F3)</f>
        <v/>
      </c>
      <c r="G73" s="39">
        <f>IF('Risk &amp; Constraints'!G3="","",'Risk &amp; Constraints'!G3)</f>
        <v/>
      </c>
    </row>
    <row r="74">
      <c r="A74" s="41">
        <f>IF('Risk &amp; Constraints'!A4="","",'Risk &amp; Constraints'!A4)</f>
        <v/>
      </c>
      <c r="B74" s="41">
        <f>IF('Risk &amp; Constraints'!B4="","",'Risk &amp; Constraints'!B4)</f>
        <v/>
      </c>
      <c r="C74" s="41">
        <f>IF('Risk &amp; Constraints'!C4="","",'Risk &amp; Constraints'!C4)</f>
        <v/>
      </c>
      <c r="D74" s="41">
        <f>IF('Risk &amp; Constraints'!D4="","",'Risk &amp; Constraints'!D4)</f>
        <v/>
      </c>
      <c r="E74" s="41">
        <f>IF('Risk &amp; Constraints'!E4="","",'Risk &amp; Constraints'!E4)</f>
        <v/>
      </c>
      <c r="F74" s="40">
        <f>IF('Risk &amp; Constraints'!F4="","",'Risk &amp; Constraints'!F4)</f>
        <v/>
      </c>
      <c r="G74" s="41">
        <f>IF('Risk &amp; Constraints'!G4="","",'Risk &amp; Constraints'!G4)</f>
        <v/>
      </c>
    </row>
    <row r="75">
      <c r="A75" s="39">
        <f>IF('Risk &amp; Constraints'!A5="","",'Risk &amp; Constraints'!A5)</f>
        <v/>
      </c>
      <c r="B75" s="39">
        <f>IF('Risk &amp; Constraints'!B5="","",'Risk &amp; Constraints'!B5)</f>
        <v/>
      </c>
      <c r="C75" s="39">
        <f>IF('Risk &amp; Constraints'!C5="","",'Risk &amp; Constraints'!C5)</f>
        <v/>
      </c>
      <c r="D75" s="39">
        <f>IF('Risk &amp; Constraints'!D5="","",'Risk &amp; Constraints'!D5)</f>
        <v/>
      </c>
      <c r="E75" s="39">
        <f>IF('Risk &amp; Constraints'!E5="","",'Risk &amp; Constraints'!E5)</f>
        <v/>
      </c>
      <c r="F75" s="40">
        <f>IF('Risk &amp; Constraints'!F5="","",'Risk &amp; Constraints'!F5)</f>
        <v/>
      </c>
      <c r="G75" s="39">
        <f>IF('Risk &amp; Constraints'!G5="","",'Risk &amp; Constraints'!G5)</f>
        <v/>
      </c>
    </row>
    <row r="76">
      <c r="A76" s="41">
        <f>IF('Risk &amp; Constraints'!A6="","",'Risk &amp; Constraints'!A6)</f>
        <v/>
      </c>
      <c r="B76" s="41">
        <f>IF('Risk &amp; Constraints'!B6="","",'Risk &amp; Constraints'!B6)</f>
        <v/>
      </c>
      <c r="C76" s="41">
        <f>IF('Risk &amp; Constraints'!C6="","",'Risk &amp; Constraints'!C6)</f>
        <v/>
      </c>
      <c r="D76" s="41">
        <f>IF('Risk &amp; Constraints'!D6="","",'Risk &amp; Constraints'!D6)</f>
        <v/>
      </c>
      <c r="E76" s="41">
        <f>IF('Risk &amp; Constraints'!E6="","",'Risk &amp; Constraints'!E6)</f>
        <v/>
      </c>
      <c r="F76" s="40">
        <f>IF('Risk &amp; Constraints'!F6="","",'Risk &amp; Constraints'!F6)</f>
        <v/>
      </c>
      <c r="G76" s="41">
        <f>IF('Risk &amp; Constraints'!G6="","",'Risk &amp; Constraints'!G6)</f>
        <v/>
      </c>
    </row>
    <row r="77">
      <c r="A77" s="39">
        <f>IF('Risk &amp; Constraints'!A7="","",'Risk &amp; Constraints'!A7)</f>
        <v/>
      </c>
      <c r="B77" s="39">
        <f>IF('Risk &amp; Constraints'!B7="","",'Risk &amp; Constraints'!B7)</f>
        <v/>
      </c>
      <c r="C77" s="39">
        <f>IF('Risk &amp; Constraints'!C7="","",'Risk &amp; Constraints'!C7)</f>
        <v/>
      </c>
      <c r="D77" s="39">
        <f>IF('Risk &amp; Constraints'!D7="","",'Risk &amp; Constraints'!D7)</f>
        <v/>
      </c>
      <c r="E77" s="39">
        <f>IF('Risk &amp; Constraints'!E7="","",'Risk &amp; Constraints'!E7)</f>
        <v/>
      </c>
      <c r="F77" s="40">
        <f>IF('Risk &amp; Constraints'!F7="","",'Risk &amp; Constraints'!F7)</f>
        <v/>
      </c>
      <c r="G77" s="39">
        <f>IF('Risk &amp; Constraints'!G7="","",'Risk &amp; Constraints'!G7)</f>
        <v/>
      </c>
    </row>
    <row r="78">
      <c r="A78" s="41">
        <f>IF('Risk &amp; Constraints'!A8="","",'Risk &amp; Constraints'!A8)</f>
        <v/>
      </c>
      <c r="B78" s="41">
        <f>IF('Risk &amp; Constraints'!B8="","",'Risk &amp; Constraints'!B8)</f>
        <v/>
      </c>
      <c r="C78" s="41">
        <f>IF('Risk &amp; Constraints'!C8="","",'Risk &amp; Constraints'!C8)</f>
        <v/>
      </c>
      <c r="D78" s="41">
        <f>IF('Risk &amp; Constraints'!D8="","",'Risk &amp; Constraints'!D8)</f>
        <v/>
      </c>
      <c r="E78" s="41">
        <f>IF('Risk &amp; Constraints'!E8="","",'Risk &amp; Constraints'!E8)</f>
        <v/>
      </c>
      <c r="F78" s="40">
        <f>IF('Risk &amp; Constraints'!F8="","",'Risk &amp; Constraints'!F8)</f>
        <v/>
      </c>
      <c r="G78" s="41">
        <f>IF('Risk &amp; Constraints'!G8="","",'Risk &amp; Constraints'!G8)</f>
        <v/>
      </c>
    </row>
    <row r="79">
      <c r="A79" s="39">
        <f>IF('Risk &amp; Constraints'!A9="","",'Risk &amp; Constraints'!A9)</f>
        <v/>
      </c>
      <c r="B79" s="39">
        <f>IF('Risk &amp; Constraints'!B9="","",'Risk &amp; Constraints'!B9)</f>
        <v/>
      </c>
      <c r="C79" s="39">
        <f>IF('Risk &amp; Constraints'!C9="","",'Risk &amp; Constraints'!C9)</f>
        <v/>
      </c>
      <c r="D79" s="39">
        <f>IF('Risk &amp; Constraints'!D9="","",'Risk &amp; Constraints'!D9)</f>
        <v/>
      </c>
      <c r="E79" s="39">
        <f>IF('Risk &amp; Constraints'!E9="","",'Risk &amp; Constraints'!E9)</f>
        <v/>
      </c>
      <c r="F79" s="40">
        <f>IF('Risk &amp; Constraints'!F9="","",'Risk &amp; Constraints'!F9)</f>
        <v/>
      </c>
      <c r="G79" s="39">
        <f>IF('Risk &amp; Constraints'!G9="","",'Risk &amp; Constraints'!G9)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BUS-001</t>
        </is>
      </c>
      <c r="B2" s="41" t="inlineStr">
        <is>
          <t>Business Requirements</t>
        </is>
      </c>
      <c r="C2" s="41" t="inlineStr">
        <is>
          <t>Project Information</t>
        </is>
      </c>
      <c r="D2" s="41" t="inlineStr">
        <is>
          <t>What is the name of your AI Workstation project?</t>
        </is>
      </c>
      <c r="E2" s="41" t="inlineStr">
        <is>
          <t>Provide internal project reference name</t>
        </is>
      </c>
      <c r="F2" s="40" t="n"/>
      <c r="G2" s="41" t="inlineStr">
        <is>
          <t>Internal project reference for tracking</t>
        </is>
      </c>
    </row>
    <row r="3">
      <c r="A3" s="39" t="inlineStr">
        <is>
          <t>BUS-002</t>
        </is>
      </c>
      <c r="B3" s="39" t="inlineStr">
        <is>
          <t>Business Requirements</t>
        </is>
      </c>
      <c r="C3" s="39" t="inlineStr">
        <is>
          <t>Project Information</t>
        </is>
      </c>
      <c r="D3" s="39" t="inlineStr">
        <is>
          <t>Who is the primary stakeholder for this AI infrastructure project?</t>
        </is>
      </c>
      <c r="E3" s="39" t="inlineStr">
        <is>
          <t>Name, role, and decision-making authority</t>
        </is>
      </c>
      <c r="F3" s="40" t="n"/>
      <c r="G3" s="39" t="inlineStr">
        <is>
          <t>Main point of contact and decision authority</t>
        </is>
      </c>
    </row>
    <row r="4">
      <c r="A4" s="41" t="inlineStr">
        <is>
          <t>BUS-003</t>
        </is>
      </c>
      <c r="B4" s="41" t="inlineStr">
        <is>
          <t>Business Requirements</t>
        </is>
      </c>
      <c r="C4" s="41" t="inlineStr">
        <is>
          <t>Business Drivers</t>
        </is>
      </c>
      <c r="D4" s="41" t="inlineStr">
        <is>
          <t>What AI/ML challenges are you trying to solve with local GPU infrastructure?</t>
        </is>
      </c>
      <c r="E4" s="41" t="inlineStr">
        <is>
          <t>Common challenges: High cloud GPU costs, Data transfer bottlenecks, Data sovereignty concerns, Slow model iteration, Limited flexibility</t>
        </is>
      </c>
      <c r="F4" s="40" t="n"/>
      <c r="G4" s="41" t="inlineStr">
        <is>
          <t>Primary business driver for on-premises AI investment</t>
        </is>
      </c>
    </row>
    <row r="5">
      <c r="A5" s="39" t="inlineStr">
        <is>
          <t>BUS-004</t>
        </is>
      </c>
      <c r="B5" s="39" t="inlineStr">
        <is>
          <t>Business Requirements</t>
        </is>
      </c>
      <c r="C5" s="39" t="inlineStr">
        <is>
          <t>Current State</t>
        </is>
      </c>
      <c r="D5" s="39" t="inlineStr">
        <is>
          <t>What is your current AI/ML infrastructure setup?</t>
        </is>
      </c>
      <c r="E5" s="39" t="inlineStr">
        <is>
          <t>Describe cloud instances, on-prem servers, GPU resources, and pain points</t>
        </is>
      </c>
      <c r="F5" s="40" t="n"/>
      <c r="G5" s="39" t="inlineStr">
        <is>
          <t>Current state baseline assessment</t>
        </is>
      </c>
    </row>
    <row r="6">
      <c r="A6" s="41" t="inlineStr">
        <is>
          <t>BUS-005</t>
        </is>
      </c>
      <c r="B6" s="41" t="inlineStr">
        <is>
          <t>Business Requirements</t>
        </is>
      </c>
      <c r="C6" s="41" t="inlineStr">
        <is>
          <t>Team Size</t>
        </is>
      </c>
      <c r="D6" s="41" t="inlineStr">
        <is>
          <t>How many data scientists and ML engineers need dedicated workstations?</t>
        </is>
      </c>
      <c r="E6" s="41" t="inlineStr">
        <is>
          <t>Typical ranges: 1-5, 6-10, 11-25, 25+</t>
        </is>
      </c>
      <c r="F6" s="40" t="n"/>
      <c r="G6" s="41" t="inlineStr">
        <is>
          <t>Determines hardware quantity and deployment scale</t>
        </is>
      </c>
    </row>
    <row r="7">
      <c r="A7" s="39" t="inlineStr">
        <is>
          <t>BUS-006</t>
        </is>
      </c>
      <c r="B7" s="39" t="inlineStr">
        <is>
          <t>Business Requirements</t>
        </is>
      </c>
      <c r="C7" s="39" t="inlineStr">
        <is>
          <t>Workload Types</t>
        </is>
      </c>
      <c r="D7" s="39" t="inlineStr">
        <is>
          <t>What types of AI/ML workloads will you run?</t>
        </is>
      </c>
      <c r="E7" s="39" t="inlineStr">
        <is>
          <t>Common types: LLM training, Computer vision, NLP, Reinforcement learning, Data preprocessing, Model inference</t>
        </is>
      </c>
      <c r="F7" s="40" t="n"/>
      <c r="G7" s="39" t="inlineStr">
        <is>
          <t>Workload classification drives GPU and storage sizing</t>
        </is>
      </c>
    </row>
    <row r="8">
      <c r="A8" s="41" t="inlineStr">
        <is>
          <t>BUS-007</t>
        </is>
      </c>
      <c r="B8" s="41" t="inlineStr">
        <is>
          <t>Business Requirements</t>
        </is>
      </c>
      <c r="C8" s="41" t="inlineStr">
        <is>
          <t>Objectives</t>
        </is>
      </c>
      <c r="D8" s="41" t="inlineStr">
        <is>
          <t>What are your primary goals for deploying AI workstations?</t>
        </is>
      </c>
      <c r="E8" s="41" t="inlineStr">
        <is>
          <t>Common goals: Reduce cloud costs, Improve data security, Accelerate model training, Enable larger models, Support collaborative research</t>
        </is>
      </c>
      <c r="F8" s="40" t="n"/>
      <c r="G8" s="41" t="inlineStr">
        <is>
          <t>Business objectives and expected outcomes</t>
        </is>
      </c>
    </row>
    <row r="9">
      <c r="A9" s="39" t="inlineStr">
        <is>
          <t>BUS-008</t>
        </is>
      </c>
      <c r="B9" s="39" t="inlineStr">
        <is>
          <t>Business Requirements</t>
        </is>
      </c>
      <c r="C9" s="39" t="inlineStr">
        <is>
          <t>Success Criteria</t>
        </is>
      </c>
      <c r="D9" s="39" t="inlineStr">
        <is>
          <t>How will you measure AI workstation deployment success?</t>
        </is>
      </c>
      <c r="E9" s="39" t="inlineStr">
        <is>
          <t>Define KPIs: training time reduction, cost savings vs cloud, model accuracy improvements, developer productivity</t>
        </is>
      </c>
      <c r="F9" s="40" t="n"/>
      <c r="G9" s="39" t="inlineStr">
        <is>
          <t>Success metrics for project evaluation</t>
        </is>
      </c>
    </row>
    <row r="10">
      <c r="A10" s="41" t="inlineStr">
        <is>
          <t>BUS-009</t>
        </is>
      </c>
      <c r="B10" s="41" t="inlineStr">
        <is>
          <t>Business Requirements</t>
        </is>
      </c>
      <c r="C10" s="41" t="inlineStr">
        <is>
          <t>Timeline</t>
        </is>
      </c>
      <c r="D10" s="41" t="inlineStr">
        <is>
          <t>What is your expected timeline for AI workstation deployment?</t>
        </is>
      </c>
      <c r="E10" s="41" t="inlineStr">
        <is>
          <t>Typical ranges: 0-4 weeks, 1-3 months, 3-6 months, 6+ months</t>
        </is>
      </c>
      <c r="F10" s="40" t="n"/>
      <c r="G10" s="41" t="inlineStr">
        <is>
          <t>Project timeline expectations and procurement constraints</t>
        </is>
      </c>
    </row>
    <row r="11">
      <c r="A11" s="39" t="inlineStr">
        <is>
          <t>BUS-010</t>
        </is>
      </c>
      <c r="B11" s="39" t="inlineStr">
        <is>
          <t>Business Requirements</t>
        </is>
      </c>
      <c r="C11" s="39" t="inlineStr">
        <is>
          <t>Budget</t>
        </is>
      </c>
      <c r="D11" s="39" t="inlineStr">
        <is>
          <t>What is your approved budget range for AI infrastructure?</t>
        </is>
      </c>
      <c r="E11" s="39" t="inlineStr">
        <is>
          <t>Common ranges: $50K-$250K, $250K-$500K, $500K-$1M, $1M+. Include both CapEx and OpEx</t>
        </is>
      </c>
      <c r="F11" s="40" t="n"/>
      <c r="G11" s="39" t="inlineStr">
        <is>
          <t>Budget constraints for solution sizing</t>
        </is>
      </c>
    </row>
    <row r="12">
      <c r="A12" s="41" t="inlineStr">
        <is>
          <t>BUS-011</t>
        </is>
      </c>
      <c r="B12" s="41" t="inlineStr">
        <is>
          <t>Business Requirements</t>
        </is>
      </c>
      <c r="C12" s="41" t="inlineStr">
        <is>
          <t>Future Vision</t>
        </is>
      </c>
      <c r="D12" s="41" t="inlineStr">
        <is>
          <t>What is your long-term vision for AI/ML infrastructure?</t>
        </is>
      </c>
      <c r="E12" s="41" t="inlineStr">
        <is>
          <t>Consider expansion to more users, GPU clusters, distributed training, MLOps platform</t>
        </is>
      </c>
      <c r="F12" s="40" t="n"/>
      <c r="G12" s="41" t="inlineStr">
        <is>
          <t>Future roadmap and scalability planning</t>
        </is>
      </c>
    </row>
    <row r="13">
      <c r="A13" s="39" t="inlineStr">
        <is>
          <t>BUS-012</t>
        </is>
      </c>
      <c r="B13" s="39" t="inlineStr">
        <is>
          <t>Business Requirements</t>
        </is>
      </c>
      <c r="C13" s="39" t="inlineStr">
        <is>
          <t>Growth Projections</t>
        </is>
      </c>
      <c r="D13" s="39" t="inlineStr">
        <is>
          <t>How do you expect AI team size and compute needs to change over 3 years?</t>
        </is>
      </c>
      <c r="E13" s="39" t="inlineStr">
        <is>
          <t>Provide current team size and projected annual growth rate</t>
        </is>
      </c>
      <c r="F13" s="40" t="n"/>
      <c r="G13" s="39" t="inlineStr">
        <is>
          <t>Scalability requirements and capacity planning</t>
        </is>
      </c>
    </row>
    <row r="14">
      <c r="A14" s="41" t="inlineStr">
        <is>
          <t>COST-001</t>
        </is>
      </c>
      <c r="B14" s="41" t="inlineStr">
        <is>
          <t>Business Requirements</t>
        </is>
      </c>
      <c r="C14" s="41" t="inlineStr">
        <is>
          <t>Cost Comparison</t>
        </is>
      </c>
      <c r="D14" s="41" t="inlineStr">
        <is>
          <t>What is your current monthly cloud GPU spend?</t>
        </is>
      </c>
      <c r="E14" s="41" t="inlineStr">
        <is>
          <t>Calculate: instance type × hours/day × days/month × $/hour. Example: p3.2xlarge (V100) × 8hrs × 22 days × $3.06 = $540/month</t>
        </is>
      </c>
      <c r="F14" s="40" t="n"/>
      <c r="G14" s="41" t="inlineStr">
        <is>
          <t>ROI baseline for cost comparison analysis</t>
        </is>
      </c>
    </row>
    <row r="15">
      <c r="A15" s="39" t="inlineStr">
        <is>
          <t>COST-002</t>
        </is>
      </c>
      <c r="B15" s="39" t="inlineStr">
        <is>
          <t>Business Requirements</t>
        </is>
      </c>
      <c r="C15" s="39" t="inlineStr">
        <is>
          <t>Cost Comparison</t>
        </is>
      </c>
      <c r="D15" s="39" t="inlineStr">
        <is>
          <t>What cloud GPU instance types are you currently using?</t>
        </is>
      </c>
      <c r="E15" s="39" t="inlineStr">
        <is>
          <t>Common AWS: p3 (V100), p4d (A100), g5 (A10G). Azure: NC-series, ND-series. GCP: A2 instances</t>
        </is>
      </c>
      <c r="F15" s="40" t="n"/>
      <c r="G15" s="39" t="inlineStr">
        <is>
          <t>Performance and cost comparison with on-prem</t>
        </is>
      </c>
    </row>
    <row r="16">
      <c r="A16" s="41" t="inlineStr">
        <is>
          <t>COST-003</t>
        </is>
      </c>
      <c r="B16" s="41" t="inlineStr">
        <is>
          <t>Business Requirements</t>
        </is>
      </c>
      <c r="C16" s="41" t="inlineStr">
        <is>
          <t>Cost Comparison</t>
        </is>
      </c>
      <c r="D16" s="41" t="inlineStr">
        <is>
          <t>What data transfer costs do you incur moving datasets to/from cloud?</t>
        </is>
      </c>
      <c r="E16" s="41" t="inlineStr">
        <is>
          <t>AWS S3 egress: $0.09/GB. Large datasets (multi-TB) incur significant costs</t>
        </is>
      </c>
      <c r="F16" s="40" t="n"/>
      <c r="G16" s="41" t="inlineStr">
        <is>
          <t>Hidden cloud costs that on-prem eliminates</t>
        </is>
      </c>
    </row>
    <row r="17">
      <c r="A17" s="39" t="inlineStr">
        <is>
          <t>COST-004</t>
        </is>
      </c>
      <c r="B17" s="39" t="inlineStr">
        <is>
          <t>Business Requirements</t>
        </is>
      </c>
      <c r="C17" s="39" t="inlineStr">
        <is>
          <t>Cost Comparison</t>
        </is>
      </c>
      <c r="D17" s="39" t="inlineStr">
        <is>
          <t>What ROI timeline and payback period are you targeting?</t>
        </is>
      </c>
      <c r="E17" s="39" t="inlineStr">
        <is>
          <t>On-prem AI workstations typically achieve ROI in 3-6 months vs cloud GPU costs</t>
        </is>
      </c>
      <c r="F17" s="40" t="n"/>
      <c r="G17" s="39" t="inlineStr">
        <is>
          <t>Financial justification and approval thresholds</t>
        </is>
      </c>
    </row>
    <row r="18">
      <c r="A18" s="41" t="inlineStr">
        <is>
          <t>COST-005</t>
        </is>
      </c>
      <c r="B18" s="41" t="inlineStr">
        <is>
          <t>Business Requirements</t>
        </is>
      </c>
      <c r="C18" s="41" t="inlineStr">
        <is>
          <t>Cost Comparison</t>
        </is>
      </c>
      <c r="D18" s="41" t="inlineStr">
        <is>
          <t>Do you have preferences or constraints around CapEx vs OpEx spending?</t>
        </is>
      </c>
      <c r="E18" s="41" t="inlineStr">
        <is>
          <t>Consider: Dell Financial Services leasing (converts CapEx to OpEx), budget approval processes</t>
        </is>
      </c>
      <c r="F18" s="40" t="n"/>
      <c r="G18" s="41" t="inlineStr">
        <is>
          <t>Financial structuring and procurement approach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TECH-001</t>
        </is>
      </c>
      <c r="B2" s="41" t="inlineStr">
        <is>
          <t>Technical Requirements</t>
        </is>
      </c>
      <c r="C2" s="41" t="inlineStr">
        <is>
          <t>ML Frameworks</t>
        </is>
      </c>
      <c r="D2" s="41" t="inlineStr">
        <is>
          <t>What ML frameworks and libraries do you currently use?</t>
        </is>
      </c>
      <c r="E2" s="41" t="inlineStr">
        <is>
          <t>Common frameworks: PyTorch, TensorFlow, JAX, scikit-learn, Hugging Face Transformers, XGBoost</t>
        </is>
      </c>
      <c r="F2" s="40" t="n"/>
      <c r="G2" s="41" t="inlineStr">
        <is>
          <t>Software configuration and compatibility requirements</t>
        </is>
      </c>
    </row>
    <row r="3">
      <c r="A3" s="39" t="inlineStr">
        <is>
          <t>TECH-002</t>
        </is>
      </c>
      <c r="B3" s="39" t="inlineStr">
        <is>
          <t>Technical Requirements</t>
        </is>
      </c>
      <c r="C3" s="39" t="inlineStr">
        <is>
          <t>ML Frameworks</t>
        </is>
      </c>
      <c r="D3" s="39" t="inlineStr">
        <is>
          <t>What specific ML framework versions are required?</t>
        </is>
      </c>
      <c r="E3" s="39" t="inlineStr">
        <is>
          <t>List versions if critical for model compatibility</t>
        </is>
      </c>
      <c r="F3" s="40" t="n"/>
      <c r="G3" s="39" t="inlineStr">
        <is>
          <t>Version-specific dependencies affect installation</t>
        </is>
      </c>
    </row>
    <row r="4">
      <c r="A4" s="41" t="inlineStr">
        <is>
          <t>TECH-003</t>
        </is>
      </c>
      <c r="B4" s="41" t="inlineStr">
        <is>
          <t>Technical Requirements</t>
        </is>
      </c>
      <c r="C4" s="41" t="inlineStr">
        <is>
          <t>GPU Requirements</t>
        </is>
      </c>
      <c r="D4" s="41" t="inlineStr">
        <is>
          <t>What GPU memory capacity is required for your largest models?</t>
        </is>
      </c>
      <c r="E4" s="41" t="inlineStr">
        <is>
          <t>Options: 24GB (RTX A5000), 48GB (RTX A6000), 80GB (A100 PCIe). Consider model size + batch size + gradient accumulation</t>
        </is>
      </c>
      <c r="F4" s="40" t="n"/>
      <c r="G4" s="41" t="inlineStr">
        <is>
          <t>GPU selection (A5000 vs A6000 vs A100)</t>
        </is>
      </c>
    </row>
    <row r="5">
      <c r="A5" s="39" t="inlineStr">
        <is>
          <t>TECH-004</t>
        </is>
      </c>
      <c r="B5" s="39" t="inlineStr">
        <is>
          <t>Technical Requirements</t>
        </is>
      </c>
      <c r="C5" s="39" t="inlineStr">
        <is>
          <t>GPU Requirements</t>
        </is>
      </c>
      <c r="D5" s="39" t="inlineStr">
        <is>
          <t>Do you need multi-GPU support for distributed training?</t>
        </is>
      </c>
      <c r="E5" s="39" t="inlineStr">
        <is>
          <t>Options: Single GPU adequate, 2-4 GPUs per workstation, GPU cluster needed</t>
        </is>
      </c>
      <c r="F5" s="40" t="n"/>
      <c r="G5" s="39" t="inlineStr">
        <is>
          <t>Multi-GPU configuration and NVLink requirements</t>
        </is>
      </c>
    </row>
    <row r="6">
      <c r="A6" s="41" t="inlineStr">
        <is>
          <t>TECH-005</t>
        </is>
      </c>
      <c r="B6" s="41" t="inlineStr">
        <is>
          <t>Technical Requirements</t>
        </is>
      </c>
      <c r="C6" s="41" t="inlineStr">
        <is>
          <t>Training Duration</t>
        </is>
      </c>
      <c r="D6" s="41" t="inlineStr">
        <is>
          <t>What is your typical model training duration with current infrastructure?</t>
        </is>
      </c>
      <c r="E6" s="41" t="inlineStr">
        <is>
          <t>Specify hours or days; helps validate GPU specs adequate</t>
        </is>
      </c>
      <c r="F6" s="40" t="n"/>
      <c r="G6" s="41" t="inlineStr">
        <is>
          <t>Performance baseline for improvement measurement</t>
        </is>
      </c>
    </row>
    <row r="7">
      <c r="A7" s="39" t="inlineStr">
        <is>
          <t>TECH-006</t>
        </is>
      </c>
      <c r="B7" s="39" t="inlineStr">
        <is>
          <t>Technical Requirements</t>
        </is>
      </c>
      <c r="C7" s="39" t="inlineStr">
        <is>
          <t>Training Duration</t>
        </is>
      </c>
      <c r="D7" s="39" t="inlineStr">
        <is>
          <t>What is your target/acceptable model training time?</t>
        </is>
      </c>
      <c r="E7" s="39" t="inlineStr">
        <is>
          <t>Target duration affects GPU quantity and performance tier</t>
        </is>
      </c>
      <c r="F7" s="40" t="n"/>
      <c r="G7" s="39" t="inlineStr">
        <is>
          <t>Performance requirements for solution sizing</t>
        </is>
      </c>
    </row>
    <row r="8">
      <c r="A8" s="41" t="inlineStr">
        <is>
          <t>TECH-007</t>
        </is>
      </c>
      <c r="B8" s="41" t="inlineStr">
        <is>
          <t>Technical Requirements</t>
        </is>
      </c>
      <c r="C8" s="41" t="inlineStr">
        <is>
          <t>Dataset Size</t>
        </is>
      </c>
      <c r="D8" s="41" t="inlineStr">
        <is>
          <t>What is your typical training dataset size per project?</t>
        </is>
      </c>
      <c r="E8" s="41" t="inlineStr">
        <is>
          <t>Ranges: &lt; 1TB, 1-5TB, 5-10TB, 10TB+</t>
        </is>
      </c>
      <c r="F8" s="40" t="n"/>
      <c r="G8" s="41" t="inlineStr">
        <is>
          <t>Determines local SSD capacity requirements</t>
        </is>
      </c>
    </row>
    <row r="9">
      <c r="A9" s="39" t="inlineStr">
        <is>
          <t>TECH-008</t>
        </is>
      </c>
      <c r="B9" s="39" t="inlineStr">
        <is>
          <t>Technical Requirements</t>
        </is>
      </c>
      <c r="C9" s="39" t="inlineStr">
        <is>
          <t>Dataset Storage</t>
        </is>
      </c>
      <c r="D9" s="39" t="inlineStr">
        <is>
          <t>Where are training datasets currently stored?</t>
        </is>
      </c>
      <c r="E9" s="39" t="inlineStr">
        <is>
          <t>Sources: AWS S3, Azure Blob, Google Cloud Storage, On-prem NAS, Local drives, SFTP server</t>
        </is>
      </c>
      <c r="F9" s="40" t="n"/>
      <c r="G9" s="39" t="inlineStr">
        <is>
          <t>Data migration and integration planning</t>
        </is>
      </c>
    </row>
    <row r="10">
      <c r="A10" s="41" t="inlineStr">
        <is>
          <t>TECH-009</t>
        </is>
      </c>
      <c r="B10" s="41" t="inlineStr">
        <is>
          <t>Technical Requirements</t>
        </is>
      </c>
      <c r="C10" s="41" t="inlineStr">
        <is>
          <t>Shared Storage</t>
        </is>
      </c>
      <c r="D10" s="41" t="inlineStr">
        <is>
          <t>Do you need shared dataset storage for team collaboration?</t>
        </is>
      </c>
      <c r="E10" s="41" t="inlineStr">
        <is>
          <t>Options: Yes (team dataset repository), No (individual local storage only)</t>
        </is>
      </c>
      <c r="F10" s="40" t="n"/>
      <c r="G10" s="41" t="inlineStr">
        <is>
          <t>PowerScale NAS for centralized dataset access</t>
        </is>
      </c>
    </row>
    <row r="11">
      <c r="A11" s="39" t="inlineStr">
        <is>
          <t>TECH-010</t>
        </is>
      </c>
      <c r="B11" s="39" t="inlineStr">
        <is>
          <t>Technical Requirements</t>
        </is>
      </c>
      <c r="C11" s="39" t="inlineStr">
        <is>
          <t>Storage Performance</t>
        </is>
      </c>
      <c r="D11" s="39" t="inlineStr">
        <is>
          <t>What dataset loading speed is required?</t>
        </is>
      </c>
      <c r="E11" s="39" t="inlineStr">
        <is>
          <t>Typical: 1-2GB/s adequate, 3-5GB/s better, 7GB/s+ optimal. Fast NVMe reduces I/O bottlenecks</t>
        </is>
      </c>
      <c r="F11" s="40" t="n"/>
      <c r="G11" s="39" t="inlineStr">
        <is>
          <t>Storage tier selection (SATA SSD vs NVMe)</t>
        </is>
      </c>
    </row>
    <row r="12">
      <c r="A12" s="41" t="inlineStr">
        <is>
          <t>TECH-011</t>
        </is>
      </c>
      <c r="B12" s="41" t="inlineStr">
        <is>
          <t>Technical Requirements</t>
        </is>
      </c>
      <c r="C12" s="41" t="inlineStr">
        <is>
          <t>Memory Requirements</t>
        </is>
      </c>
      <c r="D12" s="41" t="inlineStr">
        <is>
          <t>How much system RAM do your workloads typically require?</t>
        </is>
      </c>
      <c r="E12" s="41" t="inlineStr">
        <is>
          <t>Common: 128GB adequate, 256GB better, 512GB for large-scale preprocessing</t>
        </is>
      </c>
      <c r="F12" s="40" t="n"/>
      <c r="G12" s="41" t="inlineStr">
        <is>
          <t>RAM configuration (256GB vs 512GB)</t>
        </is>
      </c>
    </row>
    <row r="13">
      <c r="A13" s="39" t="inlineStr">
        <is>
          <t>TECH-012</t>
        </is>
      </c>
      <c r="B13" s="39" t="inlineStr">
        <is>
          <t>Technical Requirements</t>
        </is>
      </c>
      <c r="C13" s="39" t="inlineStr">
        <is>
          <t>CPU Requirements</t>
        </is>
      </c>
      <c r="D13" s="39" t="inlineStr">
        <is>
          <t>What CPU-intensive preprocessing or data tasks do you perform?</t>
        </is>
      </c>
      <c r="E13" s="39" t="inlineStr">
        <is>
          <t>Examples: Data augmentation, Feature engineering, Video decoding, Multi-threaded preprocessing</t>
        </is>
      </c>
      <c r="F13" s="40" t="n"/>
      <c r="G13" s="39" t="inlineStr">
        <is>
          <t>CPU core count and performance requirements</t>
        </is>
      </c>
    </row>
    <row r="14">
      <c r="A14" s="41" t="inlineStr">
        <is>
          <t>TECH-013</t>
        </is>
      </c>
      <c r="B14" s="41" t="inlineStr">
        <is>
          <t>Technical Requirements</t>
        </is>
      </c>
      <c r="C14" s="41" t="inlineStr">
        <is>
          <t>Operating System</t>
        </is>
      </c>
      <c r="D14" s="41" t="inlineStr">
        <is>
          <t>What operating system do you prefer for AI workstations?</t>
        </is>
      </c>
      <c r="E14" s="41" t="inlineStr">
        <is>
          <t>Options: Ubuntu 22.04 LTS, RHEL 8/9, Windows 11 Pro with WSL2, Dual-boot</t>
        </is>
      </c>
      <c r="F14" s="40" t="n"/>
      <c r="G14" s="41" t="inlineStr">
        <is>
          <t>OS installation and license requirements</t>
        </is>
      </c>
    </row>
    <row r="15">
      <c r="A15" s="39" t="inlineStr">
        <is>
          <t>TECH-014</t>
        </is>
      </c>
      <c r="B15" s="39" t="inlineStr">
        <is>
          <t>Technical Requirements</t>
        </is>
      </c>
      <c r="C15" s="39" t="inlineStr">
        <is>
          <t>CUDA Version</t>
        </is>
      </c>
      <c r="D15" s="39" t="inlineStr">
        <is>
          <t>What CUDA toolkit version do you require?</t>
        </is>
      </c>
      <c r="E15" s="39" t="inlineStr">
        <is>
          <t>Common: CUDA 11.8 (legacy), CUDA 12.x (current). Must match framework compatibility</t>
        </is>
      </c>
      <c r="F15" s="40" t="n"/>
      <c r="G15" s="39" t="inlineStr">
        <is>
          <t>CUDA installation and driver requirements</t>
        </is>
      </c>
    </row>
    <row r="16">
      <c r="A16" s="41" t="inlineStr">
        <is>
          <t>TECH-015</t>
        </is>
      </c>
      <c r="B16" s="41" t="inlineStr">
        <is>
          <t>Technical Requirements</t>
        </is>
      </c>
      <c r="C16" s="41" t="inlineStr">
        <is>
          <t>Development Tools</t>
        </is>
      </c>
      <c r="D16" s="41" t="inlineStr">
        <is>
          <t>What development environments and tools do you use?</t>
        </is>
      </c>
      <c r="E16" s="41" t="inlineStr">
        <is>
          <t>Common: Jupyter Lab, VS Code, PyCharm, TensorBoard, MLflow, Weights &amp; Biases</t>
        </is>
      </c>
      <c r="F16" s="40" t="n"/>
      <c r="G16" s="41" t="inlineStr">
        <is>
          <t>Software installation and configuration scope</t>
        </is>
      </c>
    </row>
    <row r="17">
      <c r="A17" s="39" t="inlineStr">
        <is>
          <t>TECH-016</t>
        </is>
      </c>
      <c r="B17" s="39" t="inlineStr">
        <is>
          <t>Technical Requirements</t>
        </is>
      </c>
      <c r="C17" s="39" t="inlineStr">
        <is>
          <t>Containerization</t>
        </is>
      </c>
      <c r="D17" s="39" t="inlineStr">
        <is>
          <t>Do you use Docker or container-based workflows?</t>
        </is>
      </c>
      <c r="E17" s="39" t="inlineStr">
        <is>
          <t>Options: Yes (Docker/Podman required), No (native Python environments)</t>
        </is>
      </c>
      <c r="F17" s="40" t="n"/>
      <c r="G17" s="39" t="inlineStr">
        <is>
          <t>Container runtime and NVIDIA Container Toolkit setup</t>
        </is>
      </c>
    </row>
    <row r="18">
      <c r="A18" s="41" t="inlineStr">
        <is>
          <t>TECH-017</t>
        </is>
      </c>
      <c r="B18" s="41" t="inlineStr">
        <is>
          <t>Technical Requirements</t>
        </is>
      </c>
      <c r="C18" s="41" t="inlineStr">
        <is>
          <t>Version Control</t>
        </is>
      </c>
      <c r="D18" s="41" t="inlineStr">
        <is>
          <t>What version control and collaboration tools do you use?</t>
        </is>
      </c>
      <c r="E18" s="41" t="inlineStr">
        <is>
          <t>Common: GitHub, GitLab, Bitbucket, DVC (Data Version Control)</t>
        </is>
      </c>
      <c r="F18" s="40" t="n"/>
      <c r="G18" s="41" t="inlineStr">
        <is>
          <t>Git client and credentials configuration</t>
        </is>
      </c>
    </row>
    <row r="19">
      <c r="A19" s="39" t="inlineStr">
        <is>
          <t>TECH-018</t>
        </is>
      </c>
      <c r="B19" s="39" t="inlineStr">
        <is>
          <t>Technical Requirements</t>
        </is>
      </c>
      <c r="C19" s="39" t="inlineStr">
        <is>
          <t>Remote Access</t>
        </is>
      </c>
      <c r="D19" s="39" t="inlineStr">
        <is>
          <t>Do users need remote access to AI workstations?</t>
        </is>
      </c>
      <c r="E19" s="39" t="inlineStr">
        <is>
          <t>Options: Local only, SSH/terminal access, Remote desktop (VNC/RDP), JupyterHub web interface</t>
        </is>
      </c>
      <c r="F19" s="40" t="n"/>
      <c r="G19" s="39" t="inlineStr">
        <is>
          <t>Remote access architecture and VPN requirements</t>
        </is>
      </c>
    </row>
    <row r="20">
      <c r="A20" s="41" t="inlineStr">
        <is>
          <t>TECH-019</t>
        </is>
      </c>
      <c r="B20" s="41" t="inlineStr">
        <is>
          <t>Technical Requirements</t>
        </is>
      </c>
      <c r="C20" s="41" t="inlineStr">
        <is>
          <t>Cluster Computing</t>
        </is>
      </c>
      <c r="D20" s="41" t="inlineStr">
        <is>
          <t>Do you need distributed training across multiple machines?</t>
        </is>
      </c>
      <c r="E20" s="41" t="inlineStr">
        <is>
          <t>Options: Single-node only, Multi-node with Horovod/DeepSpeed/PyTorch DDP</t>
        </is>
      </c>
      <c r="F20" s="40" t="n"/>
      <c r="G20" s="41" t="inlineStr">
        <is>
          <t>Network fabric and MPI configuration for clustering</t>
        </is>
      </c>
    </row>
    <row r="21">
      <c r="A21" s="39" t="inlineStr">
        <is>
          <t>TECH-020</t>
        </is>
      </c>
      <c r="B21" s="39" t="inlineStr">
        <is>
          <t>Technical Requirements</t>
        </is>
      </c>
      <c r="C21" s="39" t="inlineStr">
        <is>
          <t>Model Registry</t>
        </is>
      </c>
      <c r="D21" s="39" t="inlineStr">
        <is>
          <t>Do you need centralized model storage and versioning?</t>
        </is>
      </c>
      <c r="E21" s="39" t="inlineStr">
        <is>
          <t>Options: Local only, Shared NFS model registry, MLflow/DVC tracking server</t>
        </is>
      </c>
      <c r="F21" s="40" t="n"/>
      <c r="G21" s="39" t="inlineStr">
        <is>
          <t>Model artifact management infrastructure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SEC-001</t>
        </is>
      </c>
      <c r="B2" s="41" t="inlineStr">
        <is>
          <t>Security &amp; Compliance</t>
        </is>
      </c>
      <c r="C2" s="41" t="inlineStr">
        <is>
          <t>Data Classification</t>
        </is>
      </c>
      <c r="D2" s="41" t="inlineStr">
        <is>
          <t>What is the highest data classification level in your AI datasets?</t>
        </is>
      </c>
      <c r="E2" s="41" t="inlineStr">
        <is>
          <t>Levels: Public, Internal, Confidential, Restricted, PII/PHI</t>
        </is>
      </c>
      <c r="F2" s="40" t="n"/>
      <c r="G2" s="41" t="inlineStr">
        <is>
          <t>Determines encryption and access control requirements</t>
        </is>
      </c>
    </row>
    <row r="3">
      <c r="A3" s="39" t="inlineStr">
        <is>
          <t>SEC-002</t>
        </is>
      </c>
      <c r="B3" s="39" t="inlineStr">
        <is>
          <t>Security &amp; Compliance</t>
        </is>
      </c>
      <c r="C3" s="39" t="inlineStr">
        <is>
          <t>Sensitive Data</t>
        </is>
      </c>
      <c r="D3" s="39" t="inlineStr">
        <is>
          <t>What sensitive data types are present in your training datasets?</t>
        </is>
      </c>
      <c r="E3" s="39" t="inlineStr">
        <is>
          <t>Sensitive types: PII, PHI, Financial data, Proprietary algorithms, Customer data, Research IP</t>
        </is>
      </c>
      <c r="F3" s="40" t="n"/>
      <c r="G3" s="39" t="inlineStr">
        <is>
          <t>Data protection and encryption requirements</t>
        </is>
      </c>
    </row>
    <row r="4">
      <c r="A4" s="41" t="inlineStr">
        <is>
          <t>SEC-003</t>
        </is>
      </c>
      <c r="B4" s="41" t="inlineStr">
        <is>
          <t>Security &amp; Compliance</t>
        </is>
      </c>
      <c r="C4" s="41" t="inlineStr">
        <is>
          <t>Compliance Standards</t>
        </is>
      </c>
      <c r="D4" s="41" t="inlineStr">
        <is>
          <t>What compliance standards must the AI infrastructure meet?</t>
        </is>
      </c>
      <c r="E4" s="41" t="inlineStr">
        <is>
          <t>Common standards: SOC 2, ISO 27001, HIPAA, FedRAMP, GDPR, ITAR</t>
        </is>
      </c>
      <c r="F4" s="40" t="n"/>
      <c r="G4" s="41" t="inlineStr">
        <is>
          <t>Compliance controls and audit requirements</t>
        </is>
      </c>
    </row>
    <row r="5">
      <c r="A5" s="39" t="inlineStr">
        <is>
          <t>SEC-004</t>
        </is>
      </c>
      <c r="B5" s="39" t="inlineStr">
        <is>
          <t>Security &amp; Compliance</t>
        </is>
      </c>
      <c r="C5" s="39" t="inlineStr">
        <is>
          <t>Data Residency</t>
        </is>
      </c>
      <c r="D5" s="39" t="inlineStr">
        <is>
          <t>Do you have data residency or sovereignty requirements?</t>
        </is>
      </c>
      <c r="E5" s="39" t="inlineStr">
        <is>
          <t>On-premises data requirements affect cloud vs local storage decisions</t>
        </is>
      </c>
      <c r="F5" s="40" t="n"/>
      <c r="G5" s="39" t="inlineStr">
        <is>
          <t>Geographic data location constraints</t>
        </is>
      </c>
    </row>
    <row r="6">
      <c r="A6" s="41" t="inlineStr">
        <is>
          <t>SEC-005</t>
        </is>
      </c>
      <c r="B6" s="41" t="inlineStr">
        <is>
          <t>Security &amp; Compliance</t>
        </is>
      </c>
      <c r="C6" s="41" t="inlineStr">
        <is>
          <t>Encryption</t>
        </is>
      </c>
      <c r="D6" s="41" t="inlineStr">
        <is>
          <t>What encryption requirements apply to datasets and models?</t>
        </is>
      </c>
      <c r="E6" s="41" t="inlineStr">
        <is>
          <t>Requirements: Encryption at rest (LUKS/BitLocker), Encryption in transit (TLS), Key management</t>
        </is>
      </c>
      <c r="F6" s="40" t="n"/>
      <c r="G6" s="41" t="inlineStr">
        <is>
          <t>Security architecture and key management</t>
        </is>
      </c>
    </row>
    <row r="7">
      <c r="A7" s="39" t="inlineStr">
        <is>
          <t>SEC-006</t>
        </is>
      </c>
      <c r="B7" s="39" t="inlineStr">
        <is>
          <t>Security &amp; Compliance</t>
        </is>
      </c>
      <c r="C7" s="39" t="inlineStr">
        <is>
          <t>Access Control</t>
        </is>
      </c>
      <c r="D7" s="39" t="inlineStr">
        <is>
          <t>What authentication and authorization requirements apply?</t>
        </is>
      </c>
      <c r="E7" s="39" t="inlineStr">
        <is>
          <t>Options: Local user accounts, Active Directory/LDAP, SSO (SAML/OIDC), MFA required, Certificate-based</t>
        </is>
      </c>
      <c r="F7" s="40" t="n"/>
      <c r="G7" s="39" t="inlineStr">
        <is>
          <t>Identity and access management requirements</t>
        </is>
      </c>
    </row>
    <row r="8">
      <c r="A8" s="41" t="inlineStr">
        <is>
          <t>SEC-007</t>
        </is>
      </c>
      <c r="B8" s="41" t="inlineStr">
        <is>
          <t>Security &amp; Compliance</t>
        </is>
      </c>
      <c r="C8" s="41" t="inlineStr">
        <is>
          <t>Network Security</t>
        </is>
      </c>
      <c r="D8" s="41" t="inlineStr">
        <is>
          <t>What network segmentation or isolation is required?</t>
        </is>
      </c>
      <c r="E8" s="41" t="inlineStr">
        <is>
          <t>Options: Open network, VLAN isolation, Air-gapped environment, Firewall rules</t>
        </is>
      </c>
      <c r="F8" s="40" t="n"/>
      <c r="G8" s="41" t="inlineStr">
        <is>
          <t>Network architecture and security controls</t>
        </is>
      </c>
    </row>
    <row r="9">
      <c r="A9" s="39" t="inlineStr">
        <is>
          <t>SEC-008</t>
        </is>
      </c>
      <c r="B9" s="39" t="inlineStr">
        <is>
          <t>Security &amp; Compliance</t>
        </is>
      </c>
      <c r="C9" s="39" t="inlineStr">
        <is>
          <t>Audit Logging</t>
        </is>
      </c>
      <c r="D9" s="39" t="inlineStr">
        <is>
          <t>What audit and logging requirements do you have?</t>
        </is>
      </c>
      <c r="E9" s="39" t="inlineStr">
        <is>
          <t>Requirements: User access logs, Training job logs, Data access audit trail, GPU utilization tracking</t>
        </is>
      </c>
      <c r="F9" s="40" t="n"/>
      <c r="G9" s="39" t="inlineStr">
        <is>
          <t>Audit trail and compliance reporting needs</t>
        </is>
      </c>
    </row>
    <row r="10">
      <c r="A10" s="41" t="inlineStr">
        <is>
          <t>SEC-009</t>
        </is>
      </c>
      <c r="B10" s="41" t="inlineStr">
        <is>
          <t>Security &amp; Compliance</t>
        </is>
      </c>
      <c r="C10" s="41" t="inlineStr">
        <is>
          <t>Vulnerability Management</t>
        </is>
      </c>
      <c r="D10" s="41" t="inlineStr">
        <is>
          <t>What security patching and vulnerability management processes apply?</t>
        </is>
      </c>
      <c r="E10" s="41" t="inlineStr">
        <is>
          <t>Specify update frequency and approval procedures</t>
        </is>
      </c>
      <c r="F10" s="40" t="n"/>
      <c r="G10" s="41" t="inlineStr">
        <is>
          <t>Patch management and maintenance windows</t>
        </is>
      </c>
    </row>
    <row r="11">
      <c r="A11" s="39" t="inlineStr">
        <is>
          <t>SEC-010</t>
        </is>
      </c>
      <c r="B11" s="39" t="inlineStr">
        <is>
          <t>Security &amp; Compliance</t>
        </is>
      </c>
      <c r="C11" s="39" t="inlineStr">
        <is>
          <t>Code Review</t>
        </is>
      </c>
      <c r="D11" s="39" t="inlineStr">
        <is>
          <t>Do ML training scripts require security review or approval?</t>
        </is>
      </c>
      <c r="E11" s="39" t="inlineStr">
        <is>
          <t>Security scanning for data exfiltration or credential exposure</t>
        </is>
      </c>
      <c r="F11" s="40" t="n"/>
      <c r="G11" s="39" t="inlineStr">
        <is>
          <t>Code security and peer review processes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OPS-001</t>
        </is>
      </c>
      <c r="B2" s="41" t="inlineStr">
        <is>
          <t>Operations &amp; Support</t>
        </is>
      </c>
      <c r="C2" s="41" t="inlineStr">
        <is>
          <t>Physical Location</t>
        </is>
      </c>
      <c r="D2" s="41" t="inlineStr">
        <is>
          <t>Where will the AI workstations be physically located?</t>
        </is>
      </c>
      <c r="E2" s="41" t="inlineStr">
        <is>
          <t>Options: Data center, Office space, Lab environment, User desks</t>
        </is>
      </c>
      <c r="F2" s="40" t="n"/>
      <c r="G2" s="41" t="inlineStr">
        <is>
          <t>Physical space and power/cooling requirements</t>
        </is>
      </c>
    </row>
    <row r="3">
      <c r="A3" s="39" t="inlineStr">
        <is>
          <t>OPS-002</t>
        </is>
      </c>
      <c r="B3" s="39" t="inlineStr">
        <is>
          <t>Operations &amp; Support</t>
        </is>
      </c>
      <c r="C3" s="39" t="inlineStr">
        <is>
          <t>Power &amp; Cooling</t>
        </is>
      </c>
      <c r="D3" s="39" t="inlineStr">
        <is>
          <t>What power and cooling capacity is available?</t>
        </is>
      </c>
      <c r="E3" s="39" t="inlineStr">
        <is>
          <t>Precision 7960 + RTX A6000: ~500W per workstation. Ensure adequate circuit capacity and HVAC</t>
        </is>
      </c>
      <c r="F3" s="40" t="n"/>
      <c r="G3" s="39" t="inlineStr">
        <is>
          <t>Electrical infrastructure and thermal management</t>
        </is>
      </c>
    </row>
    <row r="4">
      <c r="A4" s="41" t="inlineStr">
        <is>
          <t>OPS-003</t>
        </is>
      </c>
      <c r="B4" s="41" t="inlineStr">
        <is>
          <t>Operations &amp; Support</t>
        </is>
      </c>
      <c r="C4" s="41" t="inlineStr">
        <is>
          <t>Network Connectivity</t>
        </is>
      </c>
      <c r="D4" s="41" t="inlineStr">
        <is>
          <t>What network connectivity is available at workstation location?</t>
        </is>
      </c>
      <c r="E4" s="41" t="inlineStr">
        <is>
          <t>Required: 10GbE for shared storage access. 1GbE minimum, 25GbE/40GbE optimal</t>
        </is>
      </c>
      <c r="F4" s="40" t="n"/>
      <c r="G4" s="41" t="inlineStr">
        <is>
          <t>Network infrastructure and cabling requirements</t>
        </is>
      </c>
    </row>
    <row r="5">
      <c r="A5" s="39" t="inlineStr">
        <is>
          <t>OPS-004</t>
        </is>
      </c>
      <c r="B5" s="39" t="inlineStr">
        <is>
          <t>Operations &amp; Support</t>
        </is>
      </c>
      <c r="C5" s="39" t="inlineStr">
        <is>
          <t>Rack vs Tower</t>
        </is>
      </c>
      <c r="D5" s="39" t="inlineStr">
        <is>
          <t>Do you prefer rack-mount or tower form factor?</t>
        </is>
      </c>
      <c r="E5" s="39" t="inlineStr">
        <is>
          <t>Precision 7960 available as tower or rackmount. Tower for desks, rack for data center</t>
        </is>
      </c>
      <c r="F5" s="40" t="n"/>
      <c r="G5" s="39" t="inlineStr">
        <is>
          <t>Physical configuration and mounting requirements</t>
        </is>
      </c>
    </row>
    <row r="6">
      <c r="A6" s="41" t="inlineStr">
        <is>
          <t>OPS-005</t>
        </is>
      </c>
      <c r="B6" s="41" t="inlineStr">
        <is>
          <t>Operations &amp; Support</t>
        </is>
      </c>
      <c r="C6" s="41" t="inlineStr">
        <is>
          <t>Availability</t>
        </is>
      </c>
      <c r="D6" s="41" t="inlineStr">
        <is>
          <t>What uptime requirements do you have for AI workstations?</t>
        </is>
      </c>
      <c r="E6" s="41" t="inlineStr">
        <is>
          <t>Common: Best-effort (no SLA), Business hours (8x5), High availability (99%+)</t>
        </is>
      </c>
      <c r="F6" s="40" t="n"/>
      <c r="G6" s="41" t="inlineStr">
        <is>
          <t>Support level and redundancy requirements</t>
        </is>
      </c>
    </row>
    <row r="7">
      <c r="A7" s="39" t="inlineStr">
        <is>
          <t>OPS-006</t>
        </is>
      </c>
      <c r="B7" s="39" t="inlineStr">
        <is>
          <t>Operations &amp; Support</t>
        </is>
      </c>
      <c r="C7" s="39" t="inlineStr">
        <is>
          <t>Backup</t>
        </is>
      </c>
      <c r="D7" s="39" t="inlineStr">
        <is>
          <t>Do you need backup of training checkpoints and models?</t>
        </is>
      </c>
      <c r="E7" s="39" t="inlineStr">
        <is>
          <t>Options: No backup (re-train acceptable), Local snapshots, Shared storage backup, Cloud sync</t>
        </is>
      </c>
      <c r="F7" s="40" t="n"/>
      <c r="G7" s="39" t="inlineStr">
        <is>
          <t>Backup strategy and data protection</t>
        </is>
      </c>
    </row>
    <row r="8">
      <c r="A8" s="41" t="inlineStr">
        <is>
          <t>OPS-007</t>
        </is>
      </c>
      <c r="B8" s="41" t="inlineStr">
        <is>
          <t>Operations &amp; Support</t>
        </is>
      </c>
      <c r="C8" s="41" t="inlineStr">
        <is>
          <t>Support Coverage</t>
        </is>
      </c>
      <c r="D8" s="41" t="inlineStr">
        <is>
          <t>What support coverage do you require from Dell?</t>
        </is>
      </c>
      <c r="E8" s="41" t="inlineStr">
        <is>
          <t>Options: Next business day, 4-hour response (ProSupport Plus), 24x7 mission critical</t>
        </is>
      </c>
      <c r="F8" s="40" t="n"/>
      <c r="G8" s="41" t="inlineStr">
        <is>
          <t>Dell support contract level selection</t>
        </is>
      </c>
    </row>
    <row r="9">
      <c r="A9" s="39" t="inlineStr">
        <is>
          <t>OPS-008</t>
        </is>
      </c>
      <c r="B9" s="39" t="inlineStr">
        <is>
          <t>Operations &amp; Support</t>
        </is>
      </c>
      <c r="C9" s="39" t="inlineStr">
        <is>
          <t>Monitoring</t>
        </is>
      </c>
      <c r="D9" s="39" t="inlineStr">
        <is>
          <t>What monitoring and alerting is required for GPU infrastructure?</t>
        </is>
      </c>
      <c r="E9" s="39" t="inlineStr">
        <is>
          <t>Requirements: GPU utilization metrics / Temperature monitoring / Job queue visibility / Resource allocation tracking</t>
        </is>
      </c>
      <c r="F9" s="40" t="n"/>
      <c r="G9" s="39" t="inlineStr">
        <is>
          <t>Monitoring infrastructure (Prometheus/Grafana or NVIDIA DCGM)</t>
        </is>
      </c>
    </row>
    <row r="10">
      <c r="A10" s="41" t="inlineStr">
        <is>
          <t>OPS-009</t>
        </is>
      </c>
      <c r="B10" s="41" t="inlineStr">
        <is>
          <t>Operations &amp; Support</t>
        </is>
      </c>
      <c r="C10" s="41" t="inlineStr">
        <is>
          <t>Provisioning</t>
        </is>
      </c>
      <c r="D10" s="41" t="inlineStr">
        <is>
          <t>How will you provision and configure new workstations?</t>
        </is>
      </c>
      <c r="E10" s="41" t="inlineStr">
        <is>
          <t>Options: Manual setup, Ansible/Puppet automation, PXE boot with Kickstart, Golden image cloning</t>
        </is>
      </c>
      <c r="F10" s="40" t="n"/>
      <c r="G10" s="41" t="inlineStr">
        <is>
          <t>Provisioning automation and scalability</t>
        </is>
      </c>
    </row>
    <row r="11">
      <c r="A11" s="39" t="inlineStr">
        <is>
          <t>OPS-010</t>
        </is>
      </c>
      <c r="B11" s="39" t="inlineStr">
        <is>
          <t>Operations &amp; Support</t>
        </is>
      </c>
      <c r="C11" s="39" t="inlineStr">
        <is>
          <t>Maintenance Windows</t>
        </is>
      </c>
      <c r="D11" s="39" t="inlineStr">
        <is>
          <t>What maintenance windows are acceptable for updates and patches?</t>
        </is>
      </c>
      <c r="E11" s="39" t="inlineStr">
        <is>
          <t>Specify days/times for system maintenance and reboots</t>
        </is>
      </c>
      <c r="F11" s="40" t="n"/>
      <c r="G11" s="39" t="inlineStr">
        <is>
          <t>Change management and downtime coordination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IMPL-001</t>
        </is>
      </c>
      <c r="B2" s="41" t="inlineStr">
        <is>
          <t>Implementation Planning</t>
        </is>
      </c>
      <c r="C2" s="41" t="inlineStr">
        <is>
          <t>Resources</t>
        </is>
      </c>
      <c r="D2" s="41" t="inlineStr">
        <is>
          <t>Who will be the technical lead for this AI workstation project?</t>
        </is>
      </c>
      <c r="E2" s="41" t="inlineStr">
        <is>
          <t>Name, role, contact information</t>
        </is>
      </c>
      <c r="F2" s="40" t="n"/>
      <c r="G2" s="41" t="inlineStr">
        <is>
          <t>Technical ownership and project management</t>
        </is>
      </c>
    </row>
    <row r="3">
      <c r="A3" s="39" t="inlineStr">
        <is>
          <t>IMPL-002</t>
        </is>
      </c>
      <c r="B3" s="39" t="inlineStr">
        <is>
          <t>Implementation Planning</t>
        </is>
      </c>
      <c r="C3" s="39" t="inlineStr">
        <is>
          <t>Team Availability</t>
        </is>
      </c>
      <c r="D3" s="39" t="inlineStr">
        <is>
          <t>What internal resources are available for deployment and configuration?</t>
        </is>
      </c>
      <c r="E3" s="39" t="inlineStr">
        <is>
          <t>List team members, roles, and time commitment (hours per week)</t>
        </is>
      </c>
      <c r="F3" s="40" t="n"/>
      <c r="G3" s="39" t="inlineStr">
        <is>
          <t>Resource planning and project timeline feasibility</t>
        </is>
      </c>
    </row>
    <row r="4">
      <c r="A4" s="41" t="inlineStr">
        <is>
          <t>IMPL-003</t>
        </is>
      </c>
      <c r="B4" s="41" t="inlineStr">
        <is>
          <t>Implementation Planning</t>
        </is>
      </c>
      <c r="C4" s="41" t="inlineStr">
        <is>
          <t>Linux Experience</t>
        </is>
      </c>
      <c r="D4" s="41" t="inlineStr">
        <is>
          <t>What is your team's experience with Linux administration?</t>
        </is>
      </c>
      <c r="E4" s="41" t="inlineStr">
        <is>
          <t>Experience levels: No experience, Basic, Intermediate, Advanced, Expert</t>
        </is>
      </c>
      <c r="F4" s="40" t="n"/>
      <c r="G4" s="41" t="inlineStr">
        <is>
          <t>Training needs assessment for Ubuntu/RHEL administration</t>
        </is>
      </c>
    </row>
    <row r="5">
      <c r="A5" s="39" t="inlineStr">
        <is>
          <t>IMPL-004</t>
        </is>
      </c>
      <c r="B5" s="39" t="inlineStr">
        <is>
          <t>Implementation Planning</t>
        </is>
      </c>
      <c r="C5" s="39" t="inlineStr">
        <is>
          <t>CUDA Experience</t>
        </is>
      </c>
      <c r="D5" s="39" t="inlineStr">
        <is>
          <t>What is your team's experience with NVIDIA GPU drivers and CUDA?</t>
        </is>
      </c>
      <c r="E5" s="39" t="inlineStr">
        <is>
          <t>Experience levels: No experience, Basic, Intermediate (troubleshoot drivers), Advanced (optimize kernels)</t>
        </is>
      </c>
      <c r="F5" s="40" t="n"/>
      <c r="G5" s="39" t="inlineStr">
        <is>
          <t>CUDA configuration and troubleshooting support needs</t>
        </is>
      </c>
    </row>
    <row r="6">
      <c r="A6" s="41" t="inlineStr">
        <is>
          <t>IMPL-005</t>
        </is>
      </c>
      <c r="B6" s="41" t="inlineStr">
        <is>
          <t>Implementation Planning</t>
        </is>
      </c>
      <c r="C6" s="41" t="inlineStr">
        <is>
          <t>Deployment Approach</t>
        </is>
      </c>
      <c r="D6" s="41" t="inlineStr">
        <is>
          <t>What is your preferred deployment approach?</t>
        </is>
      </c>
      <c r="E6" s="41" t="inlineStr">
        <is>
          <t>Options: Pilot (1-2 workstations first), Phased (rollout by team), Full deployment (all at once)</t>
        </is>
      </c>
      <c r="F6" s="40" t="n"/>
      <c r="G6" s="41" t="inlineStr">
        <is>
          <t>Implementation strategy and risk mitigation</t>
        </is>
      </c>
    </row>
    <row r="7">
      <c r="A7" s="39" t="inlineStr">
        <is>
          <t>IMPL-006</t>
        </is>
      </c>
      <c r="B7" s="39" t="inlineStr">
        <is>
          <t>Implementation Planning</t>
        </is>
      </c>
      <c r="C7" s="39" t="inlineStr">
        <is>
          <t>Data Migration</t>
        </is>
      </c>
      <c r="D7" s="39" t="inlineStr">
        <is>
          <t>How will you migrate existing datasets to new infrastructure?</t>
        </is>
      </c>
      <c r="E7" s="39" t="inlineStr">
        <is>
          <t>Consider data transfer time, bandwidth, and validation procedures</t>
        </is>
      </c>
      <c r="F7" s="40" t="n"/>
      <c r="G7" s="39" t="inlineStr">
        <is>
          <t>Data migration planning and timeline impact</t>
        </is>
      </c>
    </row>
    <row r="8">
      <c r="A8" s="41" t="inlineStr">
        <is>
          <t>IMPL-007</t>
        </is>
      </c>
      <c r="B8" s="41" t="inlineStr">
        <is>
          <t>Implementation Planning</t>
        </is>
      </c>
      <c r="C8" s="41" t="inlineStr">
        <is>
          <t>Training Needs</t>
        </is>
      </c>
      <c r="D8" s="41" t="inlineStr">
        <is>
          <t>What training will be needed for users and administrators?</t>
        </is>
      </c>
      <c r="E8" s="41" t="inlineStr">
        <is>
          <t>Types: Admin training (Linux/CUDA), User training (tools/workflows), Best practices (GPU optimization)</t>
        </is>
      </c>
      <c r="F8" s="40" t="n"/>
      <c r="G8" s="41" t="inlineStr">
        <is>
          <t>Knowledge transfer scope and timeline</t>
        </is>
      </c>
    </row>
    <row r="9">
      <c r="A9" s="39" t="inlineStr">
        <is>
          <t>IMPL-008</t>
        </is>
      </c>
      <c r="B9" s="39" t="inlineStr">
        <is>
          <t>Implementation Planning</t>
        </is>
      </c>
      <c r="C9" s="39" t="inlineStr">
        <is>
          <t>Existing Workflows</t>
        </is>
      </c>
      <c r="D9" s="39" t="inlineStr">
        <is>
          <t>What existing ML workflows or scripts need to be validated?</t>
        </is>
      </c>
      <c r="E9" s="39" t="inlineStr">
        <is>
          <t>List critical training pipelines and dependencies to test</t>
        </is>
      </c>
      <c r="F9" s="40" t="n"/>
      <c r="G9" s="39" t="inlineStr">
        <is>
          <t>Validation and compatibility testing requirements</t>
        </is>
      </c>
    </row>
    <row r="10">
      <c r="A10" s="41" t="inlineStr">
        <is>
          <t>IMPL-009</t>
        </is>
      </c>
      <c r="B10" s="41" t="inlineStr">
        <is>
          <t>Implementation Planning</t>
        </is>
      </c>
      <c r="C10" s="41" t="inlineStr">
        <is>
          <t>Installation Assistance</t>
        </is>
      </c>
      <c r="D10" s="41" t="inlineStr">
        <is>
          <t>Do you need on-site installation or remote configuration is acceptable?</t>
        </is>
      </c>
      <c r="E10" s="41" t="inlineStr">
        <is>
          <t>Dell ProDeploy available for rack installation and basic setup</t>
        </is>
      </c>
      <c r="F10" s="40" t="n"/>
      <c r="G10" s="41" t="inlineStr">
        <is>
          <t>Dell ProDeploy services and on-site support needs</t>
        </is>
      </c>
    </row>
    <row r="11">
      <c r="A11" s="39" t="inlineStr">
        <is>
          <t>IMPL-010</t>
        </is>
      </c>
      <c r="B11" s="39" t="inlineStr">
        <is>
          <t>Implementation Planning</t>
        </is>
      </c>
      <c r="C11" s="39" t="inlineStr">
        <is>
          <t>Go-Live Criteria</t>
        </is>
      </c>
      <c r="D11" s="39" t="inlineStr">
        <is>
          <t>What criteria must be met before workstations are production-ready?</t>
        </is>
      </c>
      <c r="E11" s="39" t="inlineStr">
        <is>
          <t>Examples: Benchmark performance validated, User training complete, Monitoring operational, First model trained successfully</t>
        </is>
      </c>
      <c r="F11" s="40" t="n"/>
      <c r="G11" s="39" t="inlineStr">
        <is>
          <t>Acceptance criteria and project closure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RISK-001</t>
        </is>
      </c>
      <c r="B2" s="41" t="inlineStr">
        <is>
          <t>Risk &amp; Constraints</t>
        </is>
      </c>
      <c r="C2" s="41" t="inlineStr">
        <is>
          <t>Cloud Migration</t>
        </is>
      </c>
      <c r="D2" s="41" t="inlineStr">
        <is>
          <t>What are your concerns about migrating from cloud to on-premises?</t>
        </is>
      </c>
      <c r="E2" s="41" t="inlineStr">
        <is>
          <t>Consider: upfront cost, hardware lifecycle, scalability, maintenance burden</t>
        </is>
      </c>
      <c r="F2" s="40" t="n"/>
      <c r="G2" s="41" t="inlineStr">
        <is>
          <t>Primary implementation concerns and risk factors</t>
        </is>
      </c>
    </row>
    <row r="3">
      <c r="A3" s="39" t="inlineStr">
        <is>
          <t>RISK-002</t>
        </is>
      </c>
      <c r="B3" s="39" t="inlineStr">
        <is>
          <t>Risk &amp; Constraints</t>
        </is>
      </c>
      <c r="C3" s="39" t="inlineStr">
        <is>
          <t>Hardware Obsolescence</t>
        </is>
      </c>
      <c r="D3" s="39" t="inlineStr">
        <is>
          <t>How do you plan to handle GPU hardware refresh cycles?</t>
        </is>
      </c>
      <c r="E3" s="39" t="inlineStr">
        <is>
          <t>GPUs evolve rapidly (18-24 month cycles). Consider 3-year depreciation and upgrade path</t>
        </is>
      </c>
      <c r="F3" s="40" t="n"/>
      <c r="G3" s="39" t="inlineStr">
        <is>
          <t>Hardware lifecycle and technology refresh planning</t>
        </is>
      </c>
    </row>
    <row r="4">
      <c r="A4" s="41" t="inlineStr">
        <is>
          <t>RISK-003</t>
        </is>
      </c>
      <c r="B4" s="41" t="inlineStr">
        <is>
          <t>Risk &amp; Constraints</t>
        </is>
      </c>
      <c r="C4" s="41" t="inlineStr">
        <is>
          <t>Capacity Planning</t>
        </is>
      </c>
      <c r="D4" s="41" t="inlineStr">
        <is>
          <t>What happens if you need more compute capacity than initially deployed?</t>
        </is>
      </c>
      <c r="E4" s="41" t="inlineStr">
        <is>
          <t>Options: Add more workstations, Cloud burst for peak demand, Wait for next budget cycle</t>
        </is>
      </c>
      <c r="F4" s="40" t="n"/>
      <c r="G4" s="41" t="inlineStr">
        <is>
          <t>Scalability constraints and hybrid cloud strategy</t>
        </is>
      </c>
    </row>
    <row r="5">
      <c r="A5" s="39" t="inlineStr">
        <is>
          <t>RISK-004</t>
        </is>
      </c>
      <c r="B5" s="39" t="inlineStr">
        <is>
          <t>Risk &amp; Constraints</t>
        </is>
      </c>
      <c r="C5" s="39" t="inlineStr">
        <is>
          <t>Single Point of Failure</t>
        </is>
      </c>
      <c r="D5" s="39" t="inlineStr">
        <is>
          <t>What is your tolerance for workstation hardware failures?</t>
        </is>
      </c>
      <c r="E5" s="39" t="inlineStr">
        <is>
          <t>Failed workstation affects one user. Shared storage failure affects team. Assess risk appetite</t>
        </is>
      </c>
      <c r="F5" s="40" t="n"/>
      <c r="G5" s="39" t="inlineStr">
        <is>
          <t>Failure mode analysis and mitigation strategies</t>
        </is>
      </c>
    </row>
    <row r="6">
      <c r="A6" s="41" t="inlineStr">
        <is>
          <t>RISK-005</t>
        </is>
      </c>
      <c r="B6" s="41" t="inlineStr">
        <is>
          <t>Risk &amp; Constraints</t>
        </is>
      </c>
      <c r="C6" s="41" t="inlineStr">
        <is>
          <t>Vendor Lock-in</t>
        </is>
      </c>
      <c r="D6" s="41" t="inlineStr">
        <is>
          <t>What concerns do you have about Dell hardware dependency?</t>
        </is>
      </c>
      <c r="E6" s="41" t="inlineStr">
        <is>
          <t>Hardware-agnostic software (PyTorch/TensorFlow portable). CUDA ties to NVIDIA GPUs</t>
        </is>
      </c>
      <c r="F6" s="40" t="n"/>
      <c r="G6" s="41" t="inlineStr">
        <is>
          <t>Technology risk and vendor diversification</t>
        </is>
      </c>
    </row>
    <row r="7">
      <c r="A7" s="39" t="inlineStr">
        <is>
          <t>RISK-006</t>
        </is>
      </c>
      <c r="B7" s="39" t="inlineStr">
        <is>
          <t>Risk &amp; Constraints</t>
        </is>
      </c>
      <c r="C7" s="39" t="inlineStr">
        <is>
          <t>Power Outages</t>
        </is>
      </c>
      <c r="D7" s="39" t="inlineStr">
        <is>
          <t>How will power outages affect training jobs in progress?</t>
        </is>
      </c>
      <c r="E7" s="39" t="inlineStr">
        <is>
          <t>Consider UPS for graceful shutdown, checkpoint frequency for recovery</t>
        </is>
      </c>
      <c r="F7" s="40" t="n"/>
      <c r="G7" s="39" t="inlineStr">
        <is>
          <t>Power protection and job recovery procedures</t>
        </is>
      </c>
    </row>
    <row r="8">
      <c r="A8" s="41" t="inlineStr">
        <is>
          <t>RISK-007</t>
        </is>
      </c>
      <c r="B8" s="41" t="inlineStr">
        <is>
          <t>Risk &amp; Constraints</t>
        </is>
      </c>
      <c r="C8" s="41" t="inlineStr">
        <is>
          <t>Technical Skills Gap</t>
        </is>
      </c>
      <c r="D8" s="41" t="inlineStr">
        <is>
          <t>What is your biggest concern about managing on-prem AI infrastructure?</t>
        </is>
      </c>
      <c r="E8" s="41" t="inlineStr">
        <is>
          <t>Common: Linux administration, GPU driver troubleshooting, Storage management, Network configuration</t>
        </is>
      </c>
      <c r="F8" s="40" t="n"/>
      <c r="G8" s="41" t="inlineStr">
        <is>
          <t>Skill development and external support requirements</t>
        </is>
      </c>
    </row>
    <row r="9">
      <c r="A9" s="39" t="inlineStr">
        <is>
          <t>RISK-008</t>
        </is>
      </c>
      <c r="B9" s="39" t="inlineStr">
        <is>
          <t>Risk &amp; Constraints</t>
        </is>
      </c>
      <c r="C9" s="39" t="inlineStr">
        <is>
          <t>Budget Constraints</t>
        </is>
      </c>
      <c r="D9" s="39" t="inlineStr">
        <is>
          <t>What constraints must the solution work within?</t>
        </is>
      </c>
      <c r="E9" s="39" t="inlineStr">
        <is>
          <t>Consider: CapEx limits, OpEx annual budget, Approval processes, Procurement timelines</t>
        </is>
      </c>
      <c r="F9" s="40" t="n"/>
      <c r="G9" s="39" t="inlineStr">
        <is>
          <t>Solution design boundaries and financial constraints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2025-11-22T18:40:13Z</dcterms:modified>
  <cp:lastModifiedBy>Kishan Siram</cp:lastModifiedBy>
</cp:coreProperties>
</file>