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izing Guidelines" sheetId="2" state="visible" r:id="rId2"/>
    <sheet xmlns:r="http://schemas.openxmlformats.org/officeDocument/2006/relationships" name="Infrastructure Costs" sheetId="3" state="visible" r:id="rId3"/>
    <sheet xmlns:r="http://schemas.openxmlformats.org/officeDocument/2006/relationships" name="Credits" sheetId="4" state="visible" r:id="rId4"/>
    <sheet xmlns:r="http://schemas.openxmlformats.org/officeDocument/2006/relationships" name="3-Year Summary" sheetId="5" state="visible" r:id="rId5"/>
  </sheets>
  <definedNames>
    <definedName name="_xlnm._FilterDatabase" localSheetId="1" hidden="1">'Sizing Guidelines'!$A$2:$F$8</definedName>
    <definedName name="_xlnm._FilterDatabase" localSheetId="2" hidden="1">'Infrastructure Costs'!$A$2:$K$16</definedName>
    <definedName name="_xlnm._FilterDatabase" localSheetId="3" hidden="1">'Credits'!$A$2:$D$5</definedName>
    <definedName name="_xlnm._FilterDatabase" localSheetId="4" hidden="1">'3-Year Summary'!$A$2:$G$8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$#,##0.00"/>
  </numFmts>
  <fonts count="20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3" borderId="5" applyAlignment="1" pivotButton="0" quotePrefix="0" xfId="0">
      <alignment horizontal="center" vertical="center" wrapText="1"/>
    </xf>
    <xf numFmtId="0" fontId="15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5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8" fillId="4" borderId="5" applyAlignment="1" pivotButton="0" quotePrefix="0" xfId="0">
      <alignment horizontal="left" vertical="center" wrapText="1" indent="1"/>
    </xf>
    <xf numFmtId="0" fontId="17" fillId="4" borderId="5" applyAlignment="1" pivotButton="0" quotePrefix="0" xfId="0">
      <alignment horizontal="left" vertical="center" wrapText="1" indent="1"/>
    </xf>
    <xf numFmtId="3" fontId="17" fillId="4" borderId="5" applyAlignment="1" pivotButton="0" quotePrefix="0" xfId="0">
      <alignment horizontal="right" vertical="center" wrapText="1"/>
    </xf>
    <xf numFmtId="165" fontId="17" fillId="4" borderId="5" applyAlignment="1" pivotButton="0" quotePrefix="0" xfId="0">
      <alignment horizontal="right" vertical="center" wrapText="1"/>
    </xf>
    <xf numFmtId="0" fontId="18" fillId="10" borderId="5" applyAlignment="1" pivotButton="0" quotePrefix="0" xfId="0">
      <alignment horizontal="left" vertical="center" wrapText="1" indent="1"/>
    </xf>
    <xf numFmtId="0" fontId="17" fillId="10" borderId="5" applyAlignment="1" pivotButton="0" quotePrefix="0" xfId="0">
      <alignment horizontal="left" vertical="center" wrapText="1" indent="1"/>
    </xf>
    <xf numFmtId="3" fontId="17" fillId="10" borderId="5" applyAlignment="1" pivotButton="0" quotePrefix="0" xfId="0">
      <alignment horizontal="right" vertical="center" wrapText="1"/>
    </xf>
    <xf numFmtId="165" fontId="17" fillId="10" borderId="5" applyAlignment="1" pivotButton="0" quotePrefix="0" xfId="0">
      <alignment horizontal="right" vertical="center" wrapText="1"/>
    </xf>
    <xf numFmtId="0" fontId="19" fillId="5" borderId="5" applyAlignment="1" pivotButton="0" quotePrefix="0" xfId="0">
      <alignment horizontal="left" vertical="center"/>
    </xf>
    <xf numFmtId="0" fontId="19" fillId="5" borderId="5" applyAlignment="1" pivotButton="0" quotePrefix="0" xfId="0">
      <alignment horizontal="center" vertical="center"/>
    </xf>
    <xf numFmtId="165" fontId="19" fillId="5" borderId="5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Infrastructure Costs</t>
        </is>
      </c>
    </row>
    <row r="5" ht="30" customHeight="1">
      <c r="B5" t="inlineStr">
        <is>
          <t>Presales Document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November 24, 2025</t>
        </is>
      </c>
    </row>
    <row r="8" ht="18" customHeight="1">
      <c r="B8" s="2" t="inlineStr">
        <is>
          <t>Customer:</t>
        </is>
      </c>
      <c r="C8" s="3" t="inlineStr">
        <is>
          <t>Poweredge Ci Infrastructure</t>
        </is>
      </c>
    </row>
    <row r="9" ht="18" customHeight="1">
      <c r="B9" s="2" t="inlineStr">
        <is>
          <t>Version:</t>
        </is>
      </c>
      <c r="C9" s="3" t="inlineStr">
        <is>
          <t>[Customer Name]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8" customWidth="1" min="3" max="3"/>
    <col width="28" customWidth="1" min="4" max="4"/>
    <col width="28" customWidth="1" min="5" max="5"/>
    <col width="51" customWidth="1" min="6" max="6"/>
  </cols>
  <sheetData>
    <row r="1" ht="32" customHeight="1">
      <c r="A1" s="35" t="inlineStr">
        <is>
          <t>Sizing Guidelines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Small (20 devs)</t>
        </is>
      </c>
      <c r="D2" s="36" t="inlineStr">
        <is>
          <t>Medium (50 devs)</t>
        </is>
      </c>
      <c r="E2" s="36" t="inlineStr">
        <is>
          <t>Large (100 devs)</t>
        </is>
      </c>
      <c r="F2" s="36" t="inlineStr">
        <is>
          <t>Notes</t>
        </is>
      </c>
    </row>
    <row r="3" ht="26" customHeight="1">
      <c r="A3" s="37" t="inlineStr">
        <is>
          <t>Build Agents</t>
        </is>
      </c>
      <c r="B3" s="38" t="inlineStr">
        <is>
          <t>PowerEdge R650 Servers</t>
        </is>
      </c>
      <c r="C3" s="39" t="inlineStr">
        <is>
          <t>4 servers</t>
        </is>
      </c>
      <c r="D3" s="39" t="inlineStr">
        <is>
          <t>8 servers</t>
        </is>
      </c>
      <c r="E3" s="39" t="inlineStr">
        <is>
          <t>16 servers</t>
        </is>
      </c>
      <c r="F3" s="38" t="inlineStr">
        <is>
          <t>64 cores 512GB RAM per server</t>
        </is>
      </c>
    </row>
    <row r="4" ht="26" customHeight="1">
      <c r="A4" s="40" t="inlineStr">
        <is>
          <t>Concurrent Builds</t>
        </is>
      </c>
      <c r="B4" s="41" t="inlineStr">
        <is>
          <t>Build Agent Capacity</t>
        </is>
      </c>
      <c r="C4" s="42" t="inlineStr">
        <is>
          <t>32 concurrent</t>
        </is>
      </c>
      <c r="D4" s="42" t="inlineStr">
        <is>
          <t>64 concurrent</t>
        </is>
      </c>
      <c r="E4" s="42" t="inlineStr">
        <is>
          <t>128 concurrent</t>
        </is>
      </c>
      <c r="F4" s="41" t="inlineStr">
        <is>
          <t>8 agents per server average</t>
        </is>
      </c>
    </row>
    <row r="5" ht="26" customHeight="1">
      <c r="A5" s="37" t="inlineStr">
        <is>
          <t>Daily Build Volume</t>
        </is>
      </c>
      <c r="B5" s="38" t="inlineStr">
        <is>
          <t>Estimated Daily Builds</t>
        </is>
      </c>
      <c r="C5" s="39" t="inlineStr">
        <is>
          <t>2000 builds/day</t>
        </is>
      </c>
      <c r="D5" s="39" t="inlineStr">
        <is>
          <t>5000 builds/day</t>
        </is>
      </c>
      <c r="E5" s="39" t="inlineStr">
        <is>
          <t>10000 builds/day</t>
        </is>
      </c>
      <c r="F5" s="38" t="inlineStr">
        <is>
          <t>Based on developer activity patterns</t>
        </is>
      </c>
    </row>
    <row r="6" ht="26" customHeight="1">
      <c r="A6" s="40" t="inlineStr">
        <is>
          <t>Artifact Storage</t>
        </is>
      </c>
      <c r="B6" s="41" t="inlineStr">
        <is>
          <t>Dell Unity XT Storage</t>
        </is>
      </c>
      <c r="C6" s="42" t="inlineStr">
        <is>
          <t>20TB SSD</t>
        </is>
      </c>
      <c r="D6" s="42" t="inlineStr">
        <is>
          <t>50TB SSD</t>
        </is>
      </c>
      <c r="E6" s="42" t="inlineStr">
        <is>
          <t>100TB SSD</t>
        </is>
      </c>
      <c r="F6" s="41" t="inlineStr">
        <is>
          <t>Build artifacts and container images</t>
        </is>
      </c>
    </row>
    <row r="7" ht="26" customHeight="1">
      <c r="A7" s="37" t="inlineStr">
        <is>
          <t>Network Infrastructure</t>
        </is>
      </c>
      <c r="B7" s="38" t="inlineStr">
        <is>
          <t>PowerSwitch 10GbE</t>
        </is>
      </c>
      <c r="C7" s="39" t="inlineStr">
        <is>
          <t>1x 48-port</t>
        </is>
      </c>
      <c r="D7" s="39" t="inlineStr">
        <is>
          <t>2x 48-port</t>
        </is>
      </c>
      <c r="E7" s="39" t="inlineStr">
        <is>
          <t>4x 48-port</t>
        </is>
      </c>
      <c r="F7" s="38" t="inlineStr">
        <is>
          <t>High-speed artifact transfer</t>
        </is>
      </c>
    </row>
    <row r="8" ht="26" customHeight="1">
      <c r="A8" s="40" t="inlineStr">
        <is>
          <t>CI/CD Platform</t>
        </is>
      </c>
      <c r="B8" s="41" t="inlineStr">
        <is>
          <t>Jenkins or GitLab CI</t>
        </is>
      </c>
      <c r="C8" s="42" t="inlineStr">
        <is>
          <t>Self-hosted</t>
        </is>
      </c>
      <c r="D8" s="42" t="inlineStr">
        <is>
          <t>Self-hosted</t>
        </is>
      </c>
      <c r="E8" s="42" t="inlineStr">
        <is>
          <t>Self-hosted</t>
        </is>
      </c>
      <c r="F8" s="41" t="inlineStr">
        <is>
          <t>Open-source or enterprise edition</t>
        </is>
      </c>
    </row>
  </sheetData>
  <autoFilter ref="A2:F8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  <col width="50" customWidth="1" min="3" max="3"/>
    <col width="12" customWidth="1" min="4" max="4"/>
    <col width="16" customWidth="1" min="5" max="5"/>
    <col width="12" customWidth="1" min="6" max="6"/>
    <col width="15" customWidth="1" min="7" max="7"/>
    <col width="12" customWidth="1" min="8" max="8"/>
    <col width="12" customWidth="1" min="9" max="9"/>
    <col width="15" customWidth="1" min="10" max="10"/>
    <col width="30" customWidth="1" min="11" max="11"/>
  </cols>
  <sheetData>
    <row r="1" ht="32" customHeight="1">
      <c r="A1" s="35" t="inlineStr">
        <is>
          <t>Infrastructure Costs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Description</t>
        </is>
      </c>
      <c r="D2" s="36" t="inlineStr">
        <is>
          <t>Quantity</t>
        </is>
      </c>
      <c r="E2" s="36" t="inlineStr">
        <is>
          <t>Unit</t>
        </is>
      </c>
      <c r="F2" s="36" t="inlineStr">
        <is>
          <t>Unit Price</t>
        </is>
      </c>
      <c r="G2" s="36" t="inlineStr">
        <is>
          <t>Annual Cost</t>
        </is>
      </c>
      <c r="H2" s="36" t="inlineStr">
        <is>
          <t>Year 2</t>
        </is>
      </c>
      <c r="I2" s="36" t="inlineStr">
        <is>
          <t>Year 3</t>
        </is>
      </c>
      <c r="J2" s="36" t="inlineStr">
        <is>
          <t>3-Year Total</t>
        </is>
      </c>
      <c r="K2" s="36" t="inlineStr">
        <is>
          <t>Notes</t>
        </is>
      </c>
    </row>
    <row r="3" ht="26" customHeight="1">
      <c r="A3" s="43" t="inlineStr">
        <is>
          <t>Hardware</t>
        </is>
      </c>
      <c r="B3" s="44" t="inlineStr">
        <is>
          <t>Dell PowerEdge R650</t>
        </is>
      </c>
      <c r="C3" s="44" t="inlineStr">
        <is>
          <t>2U server with 2x Xeon Gold 6338 64 cores 512GB RAM 2TB SSD</t>
        </is>
      </c>
      <c r="D3" s="45" t="n">
        <v>8</v>
      </c>
      <c r="E3" s="44" t="inlineStr">
        <is>
          <t>Servers</t>
        </is>
      </c>
      <c r="F3" s="46" t="n">
        <v>15000</v>
      </c>
      <c r="G3" s="46" t="n">
        <v>120000</v>
      </c>
      <c r="H3" s="46" t="n">
        <v>0</v>
      </c>
      <c r="I3" s="46" t="n">
        <v>0</v>
      </c>
      <c r="J3" s="46" t="n">
        <v>120000</v>
      </c>
      <c r="K3" s="44" t="inlineStr">
        <is>
          <t>Build agent farm</t>
        </is>
      </c>
    </row>
    <row r="4" ht="26" customHeight="1">
      <c r="A4" s="47" t="inlineStr">
        <is>
          <t>Hardware</t>
        </is>
      </c>
      <c r="B4" s="48" t="inlineStr">
        <is>
          <t>Dell Unity XT 380</t>
        </is>
      </c>
      <c r="C4" s="48" t="inlineStr">
        <is>
          <t>50TB all-flash SSD storage for artifacts and container images</t>
        </is>
      </c>
      <c r="D4" s="49" t="n">
        <v>1</v>
      </c>
      <c r="E4" s="48" t="inlineStr">
        <is>
          <t>System</t>
        </is>
      </c>
      <c r="F4" s="50" t="n">
        <v>45000</v>
      </c>
      <c r="G4" s="50" t="n">
        <v>45000</v>
      </c>
      <c r="H4" s="50" t="n">
        <v>0</v>
      </c>
      <c r="I4" s="50" t="n">
        <v>0</v>
      </c>
      <c r="J4" s="50" t="n">
        <v>45000</v>
      </c>
      <c r="K4" s="48" t="inlineStr">
        <is>
          <t>Artifact repository storage</t>
        </is>
      </c>
    </row>
    <row r="5" ht="26" customHeight="1">
      <c r="A5" s="43" t="inlineStr">
        <is>
          <t>Hardware</t>
        </is>
      </c>
      <c r="B5" s="44" t="inlineStr">
        <is>
          <t>Dell PowerSwitch S4148T</t>
        </is>
      </c>
      <c r="C5" s="44" t="inlineStr">
        <is>
          <t>48-port 10GbE switch for build farm connectivity</t>
        </is>
      </c>
      <c r="D5" s="45" t="n">
        <v>2</v>
      </c>
      <c r="E5" s="44" t="inlineStr">
        <is>
          <t>Switches</t>
        </is>
      </c>
      <c r="F5" s="46" t="n">
        <v>6500</v>
      </c>
      <c r="G5" s="46" t="n">
        <v>13000</v>
      </c>
      <c r="H5" s="46" t="n">
        <v>0</v>
      </c>
      <c r="I5" s="46" t="n">
        <v>0</v>
      </c>
      <c r="J5" s="46" t="n">
        <v>13000</v>
      </c>
      <c r="K5" s="44" t="inlineStr">
        <is>
          <t>Redundant network fabric</t>
        </is>
      </c>
    </row>
    <row r="6" ht="26" customHeight="1">
      <c r="A6" s="47" t="inlineStr">
        <is>
          <t>Hardware</t>
        </is>
      </c>
      <c r="B6" s="48" t="inlineStr">
        <is>
          <t>10GbE SFP+ Transceivers</t>
        </is>
      </c>
      <c r="C6" s="48" t="inlineStr">
        <is>
          <t>Fiber optic transceivers for server connectivity</t>
        </is>
      </c>
      <c r="D6" s="49" t="n">
        <v>32</v>
      </c>
      <c r="E6" s="48" t="inlineStr">
        <is>
          <t>Transceivers</t>
        </is>
      </c>
      <c r="F6" s="50" t="n">
        <v>350</v>
      </c>
      <c r="G6" s="50" t="n">
        <v>11200</v>
      </c>
      <c r="H6" s="50" t="n">
        <v>0</v>
      </c>
      <c r="I6" s="50" t="n">
        <v>0</v>
      </c>
      <c r="J6" s="50" t="n">
        <v>11200</v>
      </c>
      <c r="K6" s="48" t="inlineStr">
        <is>
          <t>Network connectivity</t>
        </is>
      </c>
    </row>
    <row r="7" ht="26" customHeight="1">
      <c r="A7" s="43" t="inlineStr">
        <is>
          <t>Hardware</t>
        </is>
      </c>
      <c r="B7" s="44" t="inlineStr">
        <is>
          <t>OM3 Fiber Cables</t>
        </is>
      </c>
      <c r="C7" s="44" t="inlineStr">
        <is>
          <t>Multimode fiber patch cables for 10GbE</t>
        </is>
      </c>
      <c r="D7" s="45" t="n">
        <v>32</v>
      </c>
      <c r="E7" s="44" t="inlineStr">
        <is>
          <t>Cables</t>
        </is>
      </c>
      <c r="F7" s="46" t="n">
        <v>35</v>
      </c>
      <c r="G7" s="46" t="n">
        <v>1120</v>
      </c>
      <c r="H7" s="46" t="n">
        <v>0</v>
      </c>
      <c r="I7" s="46" t="n">
        <v>0</v>
      </c>
      <c r="J7" s="46" t="n">
        <v>1120</v>
      </c>
      <c r="K7" s="44" t="inlineStr">
        <is>
          <t>Data center cabling</t>
        </is>
      </c>
    </row>
    <row r="8" ht="26" customHeight="1">
      <c r="A8" s="47" t="inlineStr">
        <is>
          <t>Software Licenses</t>
        </is>
      </c>
      <c r="B8" s="48" t="inlineStr">
        <is>
          <t>Red Hat Enterprise Linux</t>
        </is>
      </c>
      <c r="C8" s="48" t="inlineStr">
        <is>
          <t>Enterprise Linux for build agents (8 servers)</t>
        </is>
      </c>
      <c r="D8" s="49" t="n">
        <v>8</v>
      </c>
      <c r="E8" s="48" t="inlineStr">
        <is>
          <t>Servers/Annual</t>
        </is>
      </c>
      <c r="F8" s="50" t="n">
        <v>1200</v>
      </c>
      <c r="G8" s="50" t="n">
        <v>9600</v>
      </c>
      <c r="H8" s="50" t="n">
        <v>9600</v>
      </c>
      <c r="I8" s="50" t="n">
        <v>9600</v>
      </c>
      <c r="J8" s="50" t="n">
        <v>28800</v>
      </c>
      <c r="K8" s="48" t="inlineStr">
        <is>
          <t>OS licensing and support</t>
        </is>
      </c>
    </row>
    <row r="9" ht="26" customHeight="1">
      <c r="A9" s="43" t="inlineStr">
        <is>
          <t>Software Licenses</t>
        </is>
      </c>
      <c r="B9" s="44" t="inlineStr">
        <is>
          <t>GitLab Premium Self-Hosted</t>
        </is>
      </c>
      <c r="C9" s="44" t="inlineStr">
        <is>
          <t>Self-hosted CI/CD platform for 50 users</t>
        </is>
      </c>
      <c r="D9" s="45" t="n">
        <v>50</v>
      </c>
      <c r="E9" s="44" t="inlineStr">
        <is>
          <t>Users/Annual</t>
        </is>
      </c>
      <c r="F9" s="46" t="n">
        <v>228</v>
      </c>
      <c r="G9" s="46" t="n">
        <v>11400</v>
      </c>
      <c r="H9" s="46" t="n">
        <v>11400</v>
      </c>
      <c r="I9" s="46" t="n">
        <v>11400</v>
      </c>
      <c r="J9" s="46" t="n">
        <v>34200</v>
      </c>
      <c r="K9" s="44" t="inlineStr">
        <is>
          <t>CI/CD platform licensing</t>
        </is>
      </c>
    </row>
    <row r="10" ht="26" customHeight="1">
      <c r="A10" s="47" t="inlineStr">
        <is>
          <t>Software Licenses</t>
        </is>
      </c>
      <c r="B10" s="48" t="inlineStr">
        <is>
          <t>JFrog Artifactory Pro</t>
        </is>
      </c>
      <c r="C10" s="48" t="inlineStr">
        <is>
          <t>Artifact repository for Maven npm Docker images</t>
        </is>
      </c>
      <c r="D10" s="49" t="n">
        <v>50</v>
      </c>
      <c r="E10" s="48" t="inlineStr">
        <is>
          <t>Users/Annual</t>
        </is>
      </c>
      <c r="F10" s="50" t="n">
        <v>180</v>
      </c>
      <c r="G10" s="50" t="n">
        <v>9000</v>
      </c>
      <c r="H10" s="50" t="n">
        <v>9000</v>
      </c>
      <c r="I10" s="50" t="n">
        <v>9000</v>
      </c>
      <c r="J10" s="50" t="n">
        <v>27000</v>
      </c>
      <c r="K10" s="48" t="inlineStr">
        <is>
          <t>Package and container registry</t>
        </is>
      </c>
    </row>
    <row r="11" ht="26" customHeight="1">
      <c r="A11" s="43" t="inlineStr">
        <is>
          <t>Software Licenses</t>
        </is>
      </c>
      <c r="B11" s="44" t="inlineStr">
        <is>
          <t>Docker Enterprise</t>
        </is>
      </c>
      <c r="C11" s="44" t="inlineStr">
        <is>
          <t>Container runtime for build agents</t>
        </is>
      </c>
      <c r="D11" s="45" t="n">
        <v>8</v>
      </c>
      <c r="E11" s="44" t="inlineStr">
        <is>
          <t>Servers/Annual</t>
        </is>
      </c>
      <c r="F11" s="46" t="n">
        <v>750</v>
      </c>
      <c r="G11" s="46" t="n">
        <v>6000</v>
      </c>
      <c r="H11" s="46" t="n">
        <v>6000</v>
      </c>
      <c r="I11" s="46" t="n">
        <v>6000</v>
      </c>
      <c r="J11" s="46" t="n">
        <v>18000</v>
      </c>
      <c r="K11" s="44" t="inlineStr">
        <is>
          <t>Enterprise container platform</t>
        </is>
      </c>
    </row>
    <row r="12" ht="26" customHeight="1">
      <c r="A12" s="47" t="inlineStr">
        <is>
          <t>Software Licenses</t>
        </is>
      </c>
      <c r="B12" s="48" t="inlineStr">
        <is>
          <t>HashiCorp Vault</t>
        </is>
      </c>
      <c r="C12" s="48" t="inlineStr">
        <is>
          <t>Secrets management for CI/CD pipelines</t>
        </is>
      </c>
      <c r="D12" s="49" t="n">
        <v>1</v>
      </c>
      <c r="E12" s="48" t="inlineStr">
        <is>
          <t>Cluster/Annual</t>
        </is>
      </c>
      <c r="F12" s="50" t="n">
        <v>5000</v>
      </c>
      <c r="G12" s="50" t="n">
        <v>5000</v>
      </c>
      <c r="H12" s="50" t="n">
        <v>5000</v>
      </c>
      <c r="I12" s="50" t="n">
        <v>5000</v>
      </c>
      <c r="J12" s="50" t="n">
        <v>15000</v>
      </c>
      <c r="K12" s="48" t="inlineStr">
        <is>
          <t>Secrets and credential management</t>
        </is>
      </c>
    </row>
    <row r="13" ht="26" customHeight="1">
      <c r="A13" s="43" t="inlineStr">
        <is>
          <t>Software Licenses</t>
        </is>
      </c>
      <c r="B13" s="44" t="inlineStr">
        <is>
          <t>SonarQube Data Center</t>
        </is>
      </c>
      <c r="C13" s="44" t="inlineStr">
        <is>
          <t>Code quality and security scanning</t>
        </is>
      </c>
      <c r="D13" s="45" t="n">
        <v>50</v>
      </c>
      <c r="E13" s="44" t="inlineStr">
        <is>
          <t>Users/Annual</t>
        </is>
      </c>
      <c r="F13" s="46" t="n">
        <v>150</v>
      </c>
      <c r="G13" s="46" t="n">
        <v>7500</v>
      </c>
      <c r="H13" s="46" t="n">
        <v>7500</v>
      </c>
      <c r="I13" s="46" t="n">
        <v>7500</v>
      </c>
      <c r="J13" s="46" t="n">
        <v>22500</v>
      </c>
      <c r="K13" s="44" t="inlineStr">
        <is>
          <t>Static code analysis</t>
        </is>
      </c>
    </row>
    <row r="14" ht="26" customHeight="1">
      <c r="A14" s="47" t="inlineStr">
        <is>
          <t>Support &amp; Maintenance</t>
        </is>
      </c>
      <c r="B14" s="48" t="inlineStr">
        <is>
          <t>Dell ProSupport Plus 24x7</t>
        </is>
      </c>
      <c r="C14" s="48" t="inlineStr">
        <is>
          <t>Hardware support for PowerEdge and Unity</t>
        </is>
      </c>
      <c r="D14" s="49" t="n">
        <v>9</v>
      </c>
      <c r="E14" s="48" t="inlineStr">
        <is>
          <t>Units/Annual</t>
        </is>
      </c>
      <c r="F14" s="50" t="n">
        <v>1200</v>
      </c>
      <c r="G14" s="50" t="n">
        <v>10800</v>
      </c>
      <c r="H14" s="50" t="n">
        <v>10800</v>
      </c>
      <c r="I14" s="50" t="n">
        <v>10800</v>
      </c>
      <c r="J14" s="50" t="n">
        <v>32400</v>
      </c>
      <c r="K14" s="48" t="inlineStr">
        <is>
          <t>24x7 hardware support</t>
        </is>
      </c>
    </row>
    <row r="15" ht="26" customHeight="1">
      <c r="A15" s="43" t="inlineStr">
        <is>
          <t>Support &amp; Maintenance</t>
        </is>
      </c>
      <c r="B15" s="44" t="inlineStr">
        <is>
          <t>Network Equipment Support</t>
        </is>
      </c>
      <c r="C15" s="44" t="inlineStr">
        <is>
          <t>ProSupport for PowerSwitch networking</t>
        </is>
      </c>
      <c r="D15" s="45" t="n">
        <v>2</v>
      </c>
      <c r="E15" s="44" t="inlineStr">
        <is>
          <t>Switches/Annual</t>
        </is>
      </c>
      <c r="F15" s="46" t="n">
        <v>850</v>
      </c>
      <c r="G15" s="46" t="n">
        <v>1700</v>
      </c>
      <c r="H15" s="46" t="n">
        <v>1700</v>
      </c>
      <c r="I15" s="46" t="n">
        <v>1700</v>
      </c>
      <c r="J15" s="46" t="n">
        <v>5100</v>
      </c>
      <c r="K15" s="44" t="inlineStr">
        <is>
          <t>Switch support contracts</t>
        </is>
      </c>
    </row>
    <row r="16" ht="26" customHeight="1">
      <c r="A16" s="51" t="inlineStr">
        <is>
          <t>TOTAL</t>
        </is>
      </c>
      <c r="B16" s="52" t="n"/>
      <c r="C16" s="52" t="n"/>
      <c r="D16" s="52" t="n"/>
      <c r="E16" s="52" t="n"/>
      <c r="F16" s="52" t="n"/>
      <c r="G16" s="53">
        <f>SUM(G3:G15)</f>
        <v/>
      </c>
      <c r="H16" s="53">
        <f>SUM(H3:H15)</f>
        <v/>
      </c>
      <c r="I16" s="53">
        <f>SUM(I3:I15)</f>
        <v/>
      </c>
      <c r="J16" s="53">
        <f>SUM(J3:J15)</f>
        <v/>
      </c>
      <c r="K16" s="52" t="n"/>
    </row>
  </sheetData>
  <autoFilter ref="A2:K16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50" customWidth="1" min="4" max="4"/>
  </cols>
  <sheetData>
    <row r="1" ht="32" customHeight="1">
      <c r="A1" s="35" t="inlineStr">
        <is>
          <t>Credits</t>
        </is>
      </c>
    </row>
    <row r="2" ht="32" customHeight="1">
      <c r="A2" s="36" t="inlineStr">
        <is>
          <t>Category</t>
        </is>
      </c>
      <c r="B2" s="36" t="inlineStr">
        <is>
          <t>Credit Type</t>
        </is>
      </c>
      <c r="C2" s="36" t="inlineStr">
        <is>
          <t>Credit Amount</t>
        </is>
      </c>
      <c r="D2" s="36" t="inlineStr">
        <is>
          <t>Credit Comments</t>
        </is>
      </c>
    </row>
    <row r="3" ht="26" customHeight="1">
      <c r="A3" s="43" t="inlineStr">
        <is>
          <t>Cloud Cost Avoidance</t>
        </is>
      </c>
      <c r="B3" s="44" t="inlineStr">
        <is>
          <t>GitHub Actions Baseline</t>
        </is>
      </c>
      <c r="C3" s="46" t="n">
        <v>-113400</v>
      </c>
      <c r="D3" s="44" t="inlineStr">
        <is>
          <t>Annual savings vs GitHub Actions at $21/user/month for 50 users ($12600/year) + runner compute ($100800/year estimated for 5000 builds/day)</t>
        </is>
      </c>
    </row>
    <row r="4" ht="26" customHeight="1">
      <c r="A4" s="47" t="inlineStr">
        <is>
          <t>Cloud Cost Avoidance</t>
        </is>
      </c>
      <c r="B4" s="48" t="inlineStr">
        <is>
          <t>Artifact Egress Fees</t>
        </is>
      </c>
      <c r="C4" s="50" t="n">
        <v>-36000</v>
      </c>
      <c r="D4" s="48" t="inlineStr">
        <is>
          <t>Annual savings on artifact download egress at $0.09/GB (assume 400GB/day downloads from cloud artifact storage)</t>
        </is>
      </c>
    </row>
    <row r="5" ht="26" customHeight="1">
      <c r="A5" s="43" t="inlineStr">
        <is>
          <t>Operational Efficiency</t>
        </is>
      </c>
      <c r="B5" s="44" t="inlineStr">
        <is>
          <t>Developer Productivity Gain</t>
        </is>
      </c>
      <c r="C5" s="46" t="n">
        <v>-50000</v>
      </c>
      <c r="D5" s="44" t="inlineStr">
        <is>
          <t>Faster build times (on-prem &lt; 5min queue vs 10-15min cloud) save 30min/developer/week = $50K annual value</t>
        </is>
      </c>
    </row>
  </sheetData>
  <autoFilter ref="A2:D5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2" customWidth="1" min="5" max="5"/>
    <col width="12" customWidth="1" min="6" max="6"/>
    <col width="15" customWidth="1" min="7" max="7"/>
  </cols>
  <sheetData>
    <row r="1" ht="32" customHeight="1">
      <c r="A1" s="35" t="inlineStr">
        <is>
          <t>3-Year Summary</t>
        </is>
      </c>
    </row>
    <row r="2" ht="32" customHeight="1">
      <c r="A2" s="36" t="inlineStr">
        <is>
          <t>Category</t>
        </is>
      </c>
      <c r="B2" s="36" t="inlineStr">
        <is>
          <t>Year 1 List</t>
        </is>
      </c>
      <c r="C2" s="36" t="inlineStr">
        <is>
          <t>Year 1 Credits</t>
        </is>
      </c>
      <c r="D2" s="36" t="inlineStr">
        <is>
          <t>Year 1 Net</t>
        </is>
      </c>
      <c r="E2" s="36" t="inlineStr">
        <is>
          <t>Year 2</t>
        </is>
      </c>
      <c r="F2" s="36" t="inlineStr">
        <is>
          <t>Year 3</t>
        </is>
      </c>
      <c r="G2" s="36" t="inlineStr">
        <is>
          <t>3-Year Total</t>
        </is>
      </c>
    </row>
    <row r="3" ht="26" customHeight="1">
      <c r="A3" s="43" t="inlineStr">
        <is>
          <t>Software Licenses</t>
        </is>
      </c>
      <c r="B3" s="46">
        <f>SUMIF('Infrastructure Costs'!$A:$A,A3,'Infrastructure Costs'!$G:$G)</f>
        <v/>
      </c>
      <c r="C3" s="46">
        <f>SUMIF(Credits!$A:$A,A3,Credits!$C:$C)</f>
        <v/>
      </c>
      <c r="D3" s="46">
        <f>B3+C3</f>
        <v/>
      </c>
      <c r="E3" s="46">
        <f>SUMIF('Infrastructure Costs'!$A:$A,A3,'Infrastructure Costs'!$H:$H)</f>
        <v/>
      </c>
      <c r="F3" s="46">
        <f>SUMIF('Infrastructure Costs'!$A:$A,A3,'Infrastructure Costs'!$I:$I)</f>
        <v/>
      </c>
      <c r="G3" s="46">
        <f>D3+E3+F3</f>
        <v/>
      </c>
    </row>
    <row r="4" ht="26" customHeight="1">
      <c r="A4" s="47" t="inlineStr">
        <is>
          <t>Hardware</t>
        </is>
      </c>
      <c r="B4" s="50">
        <f>SUMIF('Infrastructure Costs'!$A:$A,A4,'Infrastructure Costs'!$G:$G)</f>
        <v/>
      </c>
      <c r="C4" s="50">
        <f>SUMIF(Credits!$A:$A,A4,Credits!$C:$C)</f>
        <v/>
      </c>
      <c r="D4" s="50">
        <f>B4+C4</f>
        <v/>
      </c>
      <c r="E4" s="50">
        <f>SUMIF('Infrastructure Costs'!$A:$A,A4,'Infrastructure Costs'!$H:$H)</f>
        <v/>
      </c>
      <c r="F4" s="50">
        <f>SUMIF('Infrastructure Costs'!$A:$A,A4,'Infrastructure Costs'!$I:$I)</f>
        <v/>
      </c>
      <c r="G4" s="50">
        <f>D4+E4+F4</f>
        <v/>
      </c>
    </row>
    <row r="5" ht="26" customHeight="1">
      <c r="A5" s="43" t="inlineStr">
        <is>
          <t>Support &amp; Maintenance</t>
        </is>
      </c>
      <c r="B5" s="46">
        <f>SUMIF('Infrastructure Costs'!$A:$A,A5,'Infrastructure Costs'!$G:$G)</f>
        <v/>
      </c>
      <c r="C5" s="46">
        <f>SUMIF(Credits!$A:$A,A5,Credits!$C:$C)</f>
        <v/>
      </c>
      <c r="D5" s="46">
        <f>B5+C5</f>
        <v/>
      </c>
      <c r="E5" s="46">
        <f>SUMIF('Infrastructure Costs'!$A:$A,A5,'Infrastructure Costs'!$H:$H)</f>
        <v/>
      </c>
      <c r="F5" s="46">
        <f>SUMIF('Infrastructure Costs'!$A:$A,A5,'Infrastructure Costs'!$I:$I)</f>
        <v/>
      </c>
      <c r="G5" s="46">
        <f>D5+E5+F5</f>
        <v/>
      </c>
    </row>
    <row r="6" ht="26" customHeight="1">
      <c r="A6" s="51" t="inlineStr">
        <is>
          <t>Operational Efficiency</t>
        </is>
      </c>
      <c r="B6" s="53">
        <f>SUMIF('Infrastructure Costs'!$A:$A,A6,'Infrastructure Costs'!$G:$G)</f>
        <v/>
      </c>
      <c r="C6" s="53">
        <f>SUMIF(Credits!$A:$A,A6,Credits!$C:$C)</f>
        <v/>
      </c>
      <c r="D6" s="53">
        <f>B6+C6</f>
        <v/>
      </c>
      <c r="E6" s="53">
        <f>SUMIF('Infrastructure Costs'!$A:$A,A6,'Infrastructure Costs'!$H:$H)</f>
        <v/>
      </c>
      <c r="F6" s="53">
        <f>SUMIF('Infrastructure Costs'!$A:$A,A6,'Infrastructure Costs'!$I:$I)</f>
        <v/>
      </c>
      <c r="G6" s="53">
        <f>D6+E6+F6</f>
        <v/>
      </c>
    </row>
    <row r="7" ht="26" customHeight="1">
      <c r="A7" s="43" t="inlineStr">
        <is>
          <t>Cloud Cost Avoidance</t>
        </is>
      </c>
      <c r="B7" s="46">
        <f>SUMIF('Infrastructure Costs'!$A:$A,A7,'Infrastructure Costs'!$G:$G)</f>
        <v/>
      </c>
      <c r="C7" s="46">
        <f>SUMIF(Credits!$A:$A,A7,Credits!$C:$C)</f>
        <v/>
      </c>
      <c r="D7" s="46">
        <f>B7+C7</f>
        <v/>
      </c>
      <c r="E7" s="46">
        <f>SUMIF('Infrastructure Costs'!$A:$A,A7,'Infrastructure Costs'!$H:$H)</f>
        <v/>
      </c>
      <c r="F7" s="46">
        <f>SUMIF('Infrastructure Costs'!$A:$A,A7,'Infrastructure Costs'!$I:$I)</f>
        <v/>
      </c>
      <c r="G7" s="46">
        <f>D7+E7+F7</f>
        <v/>
      </c>
    </row>
    <row r="8" ht="26" customHeight="1">
      <c r="A8" s="47" t="inlineStr">
        <is>
          <t>TOTAL</t>
        </is>
      </c>
      <c r="B8" s="50">
        <f>SUM(B3:B7)</f>
        <v/>
      </c>
      <c r="C8" s="50">
        <f>SUM(C3:C7)</f>
        <v/>
      </c>
      <c r="D8" s="50">
        <f>SUM(D3:D7)</f>
        <v/>
      </c>
      <c r="E8" s="50">
        <f>SUM(E3:E7)</f>
        <v/>
      </c>
      <c r="F8" s="50">
        <f>SUM(F3:F7)</f>
        <v/>
      </c>
      <c r="G8" s="50">
        <f>SUM(G3:G7)</f>
        <v/>
      </c>
    </row>
    <row r="9"/>
  </sheetData>
  <autoFilter ref="A2:G8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2025-11-26T16:03:59Z</dcterms:modified>
  <cp:lastModifiedBy>Kishan Siram</cp:lastModifiedBy>
</cp:coreProperties>
</file>