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Costs'!$A$2:$K$16</definedName>
    <definedName name="_xlnm._FilterDatabase" localSheetId="3" hidden="1">'Credits'!$A$2:$D$5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Poweredge Ci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(20 devs)</t>
        </is>
      </c>
      <c r="D2" s="36" t="inlineStr">
        <is>
          <t>Medium (50 devs)</t>
        </is>
      </c>
      <c r="E2" s="36" t="inlineStr">
        <is>
          <t>Large (100 devs)</t>
        </is>
      </c>
      <c r="F2" s="36" t="inlineStr">
        <is>
          <t>Notes</t>
        </is>
      </c>
    </row>
    <row r="3" ht="26" customHeight="1">
      <c r="A3" s="37" t="inlineStr">
        <is>
          <t>Build Agents</t>
        </is>
      </c>
      <c r="B3" s="38" t="inlineStr">
        <is>
          <t>PowerEdge R650 Servers</t>
        </is>
      </c>
      <c r="C3" s="39" t="inlineStr">
        <is>
          <t>4 servers</t>
        </is>
      </c>
      <c r="D3" s="39" t="inlineStr">
        <is>
          <t>8 servers</t>
        </is>
      </c>
      <c r="E3" s="39" t="inlineStr">
        <is>
          <t>16 servers</t>
        </is>
      </c>
      <c r="F3" s="38" t="inlineStr">
        <is>
          <t>64 cores 512GB RAM per server</t>
        </is>
      </c>
    </row>
    <row r="4" ht="26" customHeight="1">
      <c r="A4" s="40" t="inlineStr">
        <is>
          <t>Concurrent Builds</t>
        </is>
      </c>
      <c r="B4" s="41" t="inlineStr">
        <is>
          <t>Build Agent Capacity</t>
        </is>
      </c>
      <c r="C4" s="42" t="inlineStr">
        <is>
          <t>32 concurrent</t>
        </is>
      </c>
      <c r="D4" s="42" t="inlineStr">
        <is>
          <t>64 concurrent</t>
        </is>
      </c>
      <c r="E4" s="42" t="inlineStr">
        <is>
          <t>128 concurrent</t>
        </is>
      </c>
      <c r="F4" s="41" t="inlineStr">
        <is>
          <t>8 agents per server average</t>
        </is>
      </c>
    </row>
    <row r="5" ht="26" customHeight="1">
      <c r="A5" s="37" t="inlineStr">
        <is>
          <t>Daily Build Volume</t>
        </is>
      </c>
      <c r="B5" s="38" t="inlineStr">
        <is>
          <t>Estimated Daily Builds</t>
        </is>
      </c>
      <c r="C5" s="39" t="inlineStr">
        <is>
          <t>2000 builds/day</t>
        </is>
      </c>
      <c r="D5" s="39" t="inlineStr">
        <is>
          <t>5000 builds/day</t>
        </is>
      </c>
      <c r="E5" s="39" t="inlineStr">
        <is>
          <t>10000 builds/day</t>
        </is>
      </c>
      <c r="F5" s="38" t="inlineStr">
        <is>
          <t>Based on developer activity patterns</t>
        </is>
      </c>
    </row>
    <row r="6" ht="26" customHeight="1">
      <c r="A6" s="40" t="inlineStr">
        <is>
          <t>Artifact Storage</t>
        </is>
      </c>
      <c r="B6" s="41" t="inlineStr">
        <is>
          <t>Dell Unity XT Storage</t>
        </is>
      </c>
      <c r="C6" s="42" t="inlineStr">
        <is>
          <t>20TB SSD</t>
        </is>
      </c>
      <c r="D6" s="42" t="inlineStr">
        <is>
          <t>50TB SSD</t>
        </is>
      </c>
      <c r="E6" s="42" t="inlineStr">
        <is>
          <t>100TB SSD</t>
        </is>
      </c>
      <c r="F6" s="41" t="inlineStr">
        <is>
          <t>Build artifacts and container images</t>
        </is>
      </c>
    </row>
    <row r="7" ht="26" customHeight="1">
      <c r="A7" s="37" t="inlineStr">
        <is>
          <t>Network Infrastructure</t>
        </is>
      </c>
      <c r="B7" s="38" t="inlineStr">
        <is>
          <t>PowerSwitch 10GbE</t>
        </is>
      </c>
      <c r="C7" s="39" t="inlineStr">
        <is>
          <t>1x 48-port</t>
        </is>
      </c>
      <c r="D7" s="39" t="inlineStr">
        <is>
          <t>2x 48-port</t>
        </is>
      </c>
      <c r="E7" s="39" t="inlineStr">
        <is>
          <t>4x 48-port</t>
        </is>
      </c>
      <c r="F7" s="38" t="inlineStr">
        <is>
          <t>High-speed artifact transfer</t>
        </is>
      </c>
    </row>
    <row r="8" ht="26" customHeight="1">
      <c r="A8" s="40" t="inlineStr">
        <is>
          <t>CI/CD Platform</t>
        </is>
      </c>
      <c r="B8" s="41" t="inlineStr">
        <is>
          <t>Jenkins or GitLab CI</t>
        </is>
      </c>
      <c r="C8" s="42" t="inlineStr">
        <is>
          <t>Self-hosted</t>
        </is>
      </c>
      <c r="D8" s="42" t="inlineStr">
        <is>
          <t>Self-hosted</t>
        </is>
      </c>
      <c r="E8" s="42" t="inlineStr">
        <is>
          <t>Self-hosted</t>
        </is>
      </c>
      <c r="F8" s="41" t="inlineStr">
        <is>
          <t>Open-source or enterprise edition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PowerEdge R650</t>
        </is>
      </c>
      <c r="C3" s="44" t="inlineStr">
        <is>
          <t>2U server with 2x Xeon Gold 6338 64 cores 512GB RAM 2TB SSD</t>
        </is>
      </c>
      <c r="D3" s="45" t="n">
        <v>8</v>
      </c>
      <c r="E3" s="44" t="inlineStr">
        <is>
          <t>Servers</t>
        </is>
      </c>
      <c r="F3" s="46" t="n">
        <v>15000</v>
      </c>
      <c r="G3" s="46" t="n">
        <v>120000</v>
      </c>
      <c r="H3" s="46" t="n">
        <v>0</v>
      </c>
      <c r="I3" s="46" t="n">
        <v>0</v>
      </c>
      <c r="J3" s="46" t="n">
        <v>120000</v>
      </c>
      <c r="K3" s="44" t="inlineStr">
        <is>
          <t>Build agent farm</t>
        </is>
      </c>
    </row>
    <row r="4" ht="26" customHeight="1">
      <c r="A4" s="47" t="inlineStr">
        <is>
          <t>Hardware</t>
        </is>
      </c>
      <c r="B4" s="48" t="inlineStr">
        <is>
          <t>Dell Unity XT 380</t>
        </is>
      </c>
      <c r="C4" s="48" t="inlineStr">
        <is>
          <t>50TB all-flash SSD storage for artifacts and container images</t>
        </is>
      </c>
      <c r="D4" s="49" t="n">
        <v>1</v>
      </c>
      <c r="E4" s="48" t="inlineStr">
        <is>
          <t>System</t>
        </is>
      </c>
      <c r="F4" s="50" t="n">
        <v>45000</v>
      </c>
      <c r="G4" s="50" t="n">
        <v>45000</v>
      </c>
      <c r="H4" s="50" t="n">
        <v>0</v>
      </c>
      <c r="I4" s="50" t="n">
        <v>0</v>
      </c>
      <c r="J4" s="50" t="n">
        <v>45000</v>
      </c>
      <c r="K4" s="48" t="inlineStr">
        <is>
          <t>Artifact repository storage</t>
        </is>
      </c>
    </row>
    <row r="5" ht="26" customHeight="1">
      <c r="A5" s="43" t="inlineStr">
        <is>
          <t>Hardware</t>
        </is>
      </c>
      <c r="B5" s="44" t="inlineStr">
        <is>
          <t>Dell PowerSwitch S4148T</t>
        </is>
      </c>
      <c r="C5" s="44" t="inlineStr">
        <is>
          <t>48-port 10GbE switch for build farm connectivity</t>
        </is>
      </c>
      <c r="D5" s="45" t="n">
        <v>2</v>
      </c>
      <c r="E5" s="44" t="inlineStr">
        <is>
          <t>Switches</t>
        </is>
      </c>
      <c r="F5" s="46" t="n">
        <v>6500</v>
      </c>
      <c r="G5" s="46" t="n">
        <v>13000</v>
      </c>
      <c r="H5" s="46" t="n">
        <v>0</v>
      </c>
      <c r="I5" s="46" t="n">
        <v>0</v>
      </c>
      <c r="J5" s="46" t="n">
        <v>13000</v>
      </c>
      <c r="K5" s="44" t="inlineStr">
        <is>
          <t>Redundant network fabric</t>
        </is>
      </c>
    </row>
    <row r="6" ht="26" customHeight="1">
      <c r="A6" s="47" t="inlineStr">
        <is>
          <t>Hardware</t>
        </is>
      </c>
      <c r="B6" s="48" t="inlineStr">
        <is>
          <t>10GbE SFP+ Transceivers</t>
        </is>
      </c>
      <c r="C6" s="48" t="inlineStr">
        <is>
          <t>Fiber optic transceivers for server connectivity</t>
        </is>
      </c>
      <c r="D6" s="49" t="n">
        <v>32</v>
      </c>
      <c r="E6" s="48" t="inlineStr">
        <is>
          <t>Transceivers</t>
        </is>
      </c>
      <c r="F6" s="50" t="n">
        <v>350</v>
      </c>
      <c r="G6" s="50" t="n">
        <v>11200</v>
      </c>
      <c r="H6" s="50" t="n">
        <v>0</v>
      </c>
      <c r="I6" s="50" t="n">
        <v>0</v>
      </c>
      <c r="J6" s="50" t="n">
        <v>11200</v>
      </c>
      <c r="K6" s="48" t="inlineStr">
        <is>
          <t>Network connectivity</t>
        </is>
      </c>
    </row>
    <row r="7" ht="26" customHeight="1">
      <c r="A7" s="43" t="inlineStr">
        <is>
          <t>Hardware</t>
        </is>
      </c>
      <c r="B7" s="44" t="inlineStr">
        <is>
          <t>OM3 Fiber Cables</t>
        </is>
      </c>
      <c r="C7" s="44" t="inlineStr">
        <is>
          <t>Multimode fiber patch cables for 10GbE</t>
        </is>
      </c>
      <c r="D7" s="45" t="n">
        <v>32</v>
      </c>
      <c r="E7" s="44" t="inlineStr">
        <is>
          <t>Cables</t>
        </is>
      </c>
      <c r="F7" s="46" t="n">
        <v>35</v>
      </c>
      <c r="G7" s="46" t="n">
        <v>1120</v>
      </c>
      <c r="H7" s="46" t="n">
        <v>0</v>
      </c>
      <c r="I7" s="46" t="n">
        <v>0</v>
      </c>
      <c r="J7" s="46" t="n">
        <v>1120</v>
      </c>
      <c r="K7" s="44" t="inlineStr">
        <is>
          <t>Data center cabling</t>
        </is>
      </c>
    </row>
    <row r="8" ht="26" customHeight="1">
      <c r="A8" s="47" t="inlineStr">
        <is>
          <t>Software Licenses</t>
        </is>
      </c>
      <c r="B8" s="48" t="inlineStr">
        <is>
          <t>Red Hat Enterprise Linux</t>
        </is>
      </c>
      <c r="C8" s="48" t="inlineStr">
        <is>
          <t>Enterprise Linux for build agents (8 servers)</t>
        </is>
      </c>
      <c r="D8" s="49" t="n">
        <v>8</v>
      </c>
      <c r="E8" s="48" t="inlineStr">
        <is>
          <t>Servers/Annual</t>
        </is>
      </c>
      <c r="F8" s="50" t="n">
        <v>1200</v>
      </c>
      <c r="G8" s="50" t="n">
        <v>9600</v>
      </c>
      <c r="H8" s="50" t="n">
        <v>9600</v>
      </c>
      <c r="I8" s="50" t="n">
        <v>9600</v>
      </c>
      <c r="J8" s="50" t="n">
        <v>28800</v>
      </c>
      <c r="K8" s="48" t="inlineStr">
        <is>
          <t>OS licensing and support</t>
        </is>
      </c>
    </row>
    <row r="9" ht="26" customHeight="1">
      <c r="A9" s="43" t="inlineStr">
        <is>
          <t>Software Licenses</t>
        </is>
      </c>
      <c r="B9" s="44" t="inlineStr">
        <is>
          <t>GitLab Premium Self-Hosted</t>
        </is>
      </c>
      <c r="C9" s="44" t="inlineStr">
        <is>
          <t>Self-hosted CI/CD platform for 50 users</t>
        </is>
      </c>
      <c r="D9" s="45" t="n">
        <v>50</v>
      </c>
      <c r="E9" s="44" t="inlineStr">
        <is>
          <t>Users/Annual</t>
        </is>
      </c>
      <c r="F9" s="46" t="n">
        <v>228</v>
      </c>
      <c r="G9" s="46" t="n">
        <v>11400</v>
      </c>
      <c r="H9" s="46" t="n">
        <v>11400</v>
      </c>
      <c r="I9" s="46" t="n">
        <v>11400</v>
      </c>
      <c r="J9" s="46" t="n">
        <v>34200</v>
      </c>
      <c r="K9" s="44" t="inlineStr">
        <is>
          <t>CI/CD platform licensing</t>
        </is>
      </c>
    </row>
    <row r="10" ht="26" customHeight="1">
      <c r="A10" s="47" t="inlineStr">
        <is>
          <t>Software Licenses</t>
        </is>
      </c>
      <c r="B10" s="48" t="inlineStr">
        <is>
          <t>JFrog Artifactory Pro</t>
        </is>
      </c>
      <c r="C10" s="48" t="inlineStr">
        <is>
          <t>Artifact repository for Maven npm Docker images</t>
        </is>
      </c>
      <c r="D10" s="49" t="n">
        <v>50</v>
      </c>
      <c r="E10" s="48" t="inlineStr">
        <is>
          <t>Users/Annual</t>
        </is>
      </c>
      <c r="F10" s="50" t="n">
        <v>180</v>
      </c>
      <c r="G10" s="50" t="n">
        <v>9000</v>
      </c>
      <c r="H10" s="50" t="n">
        <v>9000</v>
      </c>
      <c r="I10" s="50" t="n">
        <v>9000</v>
      </c>
      <c r="J10" s="50" t="n">
        <v>27000</v>
      </c>
      <c r="K10" s="48" t="inlineStr">
        <is>
          <t>Package and container registry</t>
        </is>
      </c>
    </row>
    <row r="11" ht="26" customHeight="1">
      <c r="A11" s="43" t="inlineStr">
        <is>
          <t>Software Licenses</t>
        </is>
      </c>
      <c r="B11" s="44" t="inlineStr">
        <is>
          <t>Docker Enterprise</t>
        </is>
      </c>
      <c r="C11" s="44" t="inlineStr">
        <is>
          <t>Container runtime for build agents</t>
        </is>
      </c>
      <c r="D11" s="45" t="n">
        <v>8</v>
      </c>
      <c r="E11" s="44" t="inlineStr">
        <is>
          <t>Servers/Annual</t>
        </is>
      </c>
      <c r="F11" s="46" t="n">
        <v>750</v>
      </c>
      <c r="G11" s="46" t="n">
        <v>6000</v>
      </c>
      <c r="H11" s="46" t="n">
        <v>6000</v>
      </c>
      <c r="I11" s="46" t="n">
        <v>6000</v>
      </c>
      <c r="J11" s="46" t="n">
        <v>18000</v>
      </c>
      <c r="K11" s="44" t="inlineStr">
        <is>
          <t>Enterprise container platform</t>
        </is>
      </c>
    </row>
    <row r="12" ht="26" customHeight="1">
      <c r="A12" s="47" t="inlineStr">
        <is>
          <t>Software Licenses</t>
        </is>
      </c>
      <c r="B12" s="48" t="inlineStr">
        <is>
          <t>HashiCorp Vault</t>
        </is>
      </c>
      <c r="C12" s="48" t="inlineStr">
        <is>
          <t>Secrets management for CI/CD pipelines</t>
        </is>
      </c>
      <c r="D12" s="49" t="n">
        <v>1</v>
      </c>
      <c r="E12" s="48" t="inlineStr">
        <is>
          <t>Cluster/Annual</t>
        </is>
      </c>
      <c r="F12" s="50" t="n">
        <v>5000</v>
      </c>
      <c r="G12" s="50" t="n">
        <v>5000</v>
      </c>
      <c r="H12" s="50" t="n">
        <v>5000</v>
      </c>
      <c r="I12" s="50" t="n">
        <v>5000</v>
      </c>
      <c r="J12" s="50" t="n">
        <v>15000</v>
      </c>
      <c r="K12" s="48" t="inlineStr">
        <is>
          <t>Secrets and credential management</t>
        </is>
      </c>
    </row>
    <row r="13" ht="26" customHeight="1">
      <c r="A13" s="43" t="inlineStr">
        <is>
          <t>Software Licenses</t>
        </is>
      </c>
      <c r="B13" s="44" t="inlineStr">
        <is>
          <t>SonarQube Data Center</t>
        </is>
      </c>
      <c r="C13" s="44" t="inlineStr">
        <is>
          <t>Code quality and security scanning</t>
        </is>
      </c>
      <c r="D13" s="45" t="n">
        <v>50</v>
      </c>
      <c r="E13" s="44" t="inlineStr">
        <is>
          <t>Users/Annual</t>
        </is>
      </c>
      <c r="F13" s="46" t="n">
        <v>150</v>
      </c>
      <c r="G13" s="46" t="n">
        <v>7500</v>
      </c>
      <c r="H13" s="46" t="n">
        <v>7500</v>
      </c>
      <c r="I13" s="46" t="n">
        <v>7500</v>
      </c>
      <c r="J13" s="46" t="n">
        <v>22500</v>
      </c>
      <c r="K13" s="44" t="inlineStr">
        <is>
          <t>Static code analysis</t>
        </is>
      </c>
    </row>
    <row r="14" ht="26" customHeight="1">
      <c r="A14" s="47" t="inlineStr">
        <is>
          <t>Support &amp; Maintenance</t>
        </is>
      </c>
      <c r="B14" s="48" t="inlineStr">
        <is>
          <t>Dell ProSupport Plus 24x7</t>
        </is>
      </c>
      <c r="C14" s="48" t="inlineStr">
        <is>
          <t>Hardware support for PowerEdge and Unity</t>
        </is>
      </c>
      <c r="D14" s="49" t="n">
        <v>9</v>
      </c>
      <c r="E14" s="48" t="inlineStr">
        <is>
          <t>Units/Annual</t>
        </is>
      </c>
      <c r="F14" s="50" t="n">
        <v>1200</v>
      </c>
      <c r="G14" s="50" t="n">
        <v>10800</v>
      </c>
      <c r="H14" s="50" t="n">
        <v>10800</v>
      </c>
      <c r="I14" s="50" t="n">
        <v>10800</v>
      </c>
      <c r="J14" s="50" t="n">
        <v>32400</v>
      </c>
      <c r="K14" s="48" t="inlineStr">
        <is>
          <t>24x7 hardware support</t>
        </is>
      </c>
    </row>
    <row r="15" ht="26" customHeight="1">
      <c r="A15" s="43" t="inlineStr">
        <is>
          <t>Support &amp; Maintenance</t>
        </is>
      </c>
      <c r="B15" s="44" t="inlineStr">
        <is>
          <t>Network Equipment Support</t>
        </is>
      </c>
      <c r="C15" s="44" t="inlineStr">
        <is>
          <t>ProSupport for PowerSwitch networking</t>
        </is>
      </c>
      <c r="D15" s="45" t="n">
        <v>2</v>
      </c>
      <c r="E15" s="44" t="inlineStr">
        <is>
          <t>Switches/Annual</t>
        </is>
      </c>
      <c r="F15" s="46" t="n">
        <v>850</v>
      </c>
      <c r="G15" s="46" t="n">
        <v>1700</v>
      </c>
      <c r="H15" s="46" t="n">
        <v>1700</v>
      </c>
      <c r="I15" s="46" t="n">
        <v>1700</v>
      </c>
      <c r="J15" s="46" t="n">
        <v>5100</v>
      </c>
      <c r="K15" s="44" t="inlineStr">
        <is>
          <t>Switch support contracts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Cost Avoidance</t>
        </is>
      </c>
      <c r="B3" s="44" t="inlineStr">
        <is>
          <t>GitHub Actions Baseline</t>
        </is>
      </c>
      <c r="C3" s="46" t="n">
        <v>-113400</v>
      </c>
      <c r="D3" s="44" t="inlineStr">
        <is>
          <t>Annual savings vs GitHub Actions at $21/user/month for 50 users ($12600/year) + runner compute ($100800/year estimated for 5000 builds/day)</t>
        </is>
      </c>
    </row>
    <row r="4" ht="26" customHeight="1">
      <c r="A4" s="47" t="inlineStr">
        <is>
          <t>Cloud Cost Avoidance</t>
        </is>
      </c>
      <c r="B4" s="48" t="inlineStr">
        <is>
          <t>Artifact Egress Fees</t>
        </is>
      </c>
      <c r="C4" s="50" t="n">
        <v>-36000</v>
      </c>
      <c r="D4" s="48" t="inlineStr">
        <is>
          <t>Annual savings on artifact download egress at $0.09/GB (assume 400GB/day downloads from cloud artifact storage)</t>
        </is>
      </c>
    </row>
    <row r="5" ht="26" customHeight="1">
      <c r="A5" s="43" t="inlineStr">
        <is>
          <t>Operational Efficiency</t>
        </is>
      </c>
      <c r="B5" s="44" t="inlineStr">
        <is>
          <t>Developer Productivity Gain</t>
        </is>
      </c>
      <c r="C5" s="46" t="n">
        <v>-50000</v>
      </c>
      <c r="D5" s="44" t="inlineStr">
        <is>
          <t>Faster build times (on-prem &lt; 5min queue vs 10-15min cloud) save 30min/developer/week = $50K annual value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  <row r="7" ht="26" customHeight="1">
      <c r="A7" s="43" t="inlineStr">
        <is>
          <t>Cloud Cost Avoidance (Annual)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47" t="inlineStr">
        <is>
          <t>Net Investment After Savings</t>
        </is>
      </c>
      <c r="B8" s="50">
        <f>SUMIF('Infrastructure Costs'!$A:$A,A8,'Infrastructure Costs'!$G:$G)</f>
        <v/>
      </c>
      <c r="C8" s="50">
        <f>SUMIF(Credits!$A:$A,A8,Credits!$C:$C)</f>
        <v/>
      </c>
      <c r="D8" s="50">
        <f>B8+C8</f>
        <v/>
      </c>
      <c r="E8" s="50">
        <f>SUMIF('Infrastructure Costs'!$A:$A,A8,'Infrastructure Costs'!$H:$H)</f>
        <v/>
      </c>
      <c r="F8" s="50">
        <f>SUMIF('Infrastructure Costs'!$A:$A,A8,'Infrastructure Costs'!$I:$I)</f>
        <v/>
      </c>
      <c r="G8" s="50">
        <f>D8+E8+F8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2025-11-25T04:29:44Z</dcterms:modified>
  <cp:lastModifiedBy>Kishan Siram</cp:lastModifiedBy>
</cp:coreProperties>
</file>