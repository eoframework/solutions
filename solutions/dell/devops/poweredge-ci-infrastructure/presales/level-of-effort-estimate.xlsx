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Devops - Poweredge Ci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Developers</t>
        </is>
      </c>
      <c r="C3" s="39" t="inlineStr">
        <is>
          <t>50 developers with CI/CD access</t>
        </is>
      </c>
      <c r="D3" s="38" t="inlineStr">
        <is>
          <t>10-25 developers</t>
        </is>
      </c>
      <c r="E3" s="38" t="inlineStr">
        <is>
          <t>50 developers</t>
        </is>
      </c>
      <c r="F3" s="38" t="inlineStr">
        <is>
          <t>100+ developers</t>
        </is>
      </c>
      <c r="G3" s="38" t="inlineStr">
        <is>
          <t>Development team size and build volume</t>
        </is>
      </c>
    </row>
    <row r="4" ht="26" customHeight="1">
      <c r="A4" s="40" t="inlineStr">
        <is>
          <t>Solution Scope</t>
        </is>
      </c>
      <c r="B4" s="41" t="inlineStr">
        <is>
          <t>Build Agents</t>
        </is>
      </c>
      <c r="C4" s="39" t="inlineStr">
        <is>
          <t>8 Dell PowerEdge R650 build servers</t>
        </is>
      </c>
      <c r="D4" s="41" t="inlineStr">
        <is>
          <t>3 build agents</t>
        </is>
      </c>
      <c r="E4" s="41" t="inlineStr">
        <is>
          <t>8 build agents</t>
        </is>
      </c>
      <c r="F4" s="41" t="inlineStr">
        <is>
          <t>16+ build agents</t>
        </is>
      </c>
      <c r="G4" s="41" t="inlineStr">
        <is>
          <t>Build farm capacity and parallelism</t>
        </is>
      </c>
    </row>
    <row r="5" ht="26" customHeight="1">
      <c r="A5" s="37" t="inlineStr">
        <is>
          <t>Integration</t>
        </is>
      </c>
      <c r="B5" s="38" t="inlineStr">
        <is>
          <t>CI/CD Platform</t>
        </is>
      </c>
      <c r="C5" s="39" t="inlineStr">
        <is>
          <t>GitLab Premium self-hosted</t>
        </is>
      </c>
      <c r="D5" s="38" t="inlineStr">
        <is>
          <t>GitLab Community</t>
        </is>
      </c>
      <c r="E5" s="38" t="inlineStr">
        <is>
          <t>GitLab Premium</t>
        </is>
      </c>
      <c r="F5" s="38" t="inlineStr">
        <is>
          <t>GitLab Ultimate</t>
        </is>
      </c>
      <c r="G5" s="38" t="inlineStr">
        <is>
          <t>Feature requirements and licensing</t>
        </is>
      </c>
    </row>
    <row r="6" ht="26" customHeight="1">
      <c r="A6" s="40" t="inlineStr">
        <is>
          <t>Integration</t>
        </is>
      </c>
      <c r="B6" s="41" t="inlineStr">
        <is>
          <t>Artifact Repository</t>
        </is>
      </c>
      <c r="C6" s="39" t="inlineStr">
        <is>
          <t>JFrog Artifactory Pro</t>
        </is>
      </c>
      <c r="D6" s="41" t="inlineStr">
        <is>
          <t>No artifact mgmt</t>
        </is>
      </c>
      <c r="E6" s="41" t="inlineStr">
        <is>
          <t>Artifactory Pro</t>
        </is>
      </c>
      <c r="F6" s="41" t="inlineStr">
        <is>
          <t>Artifactory Enterprise</t>
        </is>
      </c>
      <c r="G6" s="41" t="inlineStr">
        <is>
          <t>Artifact management and storage</t>
        </is>
      </c>
    </row>
    <row r="7" ht="26" customHeight="1">
      <c r="A7" s="37" t="inlineStr">
        <is>
          <t>User Base</t>
        </is>
      </c>
      <c r="B7" s="38" t="inlineStr">
        <is>
          <t>Build Volume</t>
        </is>
      </c>
      <c r="C7" s="39" t="inlineStr">
        <is>
          <t>5000 builds per day</t>
        </is>
      </c>
      <c r="D7" s="38" t="inlineStr">
        <is>
          <t>500-2000 builds/day</t>
        </is>
      </c>
      <c r="E7" s="38" t="inlineStr">
        <is>
          <t>5000 builds/day</t>
        </is>
      </c>
      <c r="F7" s="38" t="inlineStr">
        <is>
          <t>10000+ builds/day</t>
        </is>
      </c>
      <c r="G7" s="38" t="inlineStr">
        <is>
          <t>Daily build execution volume</t>
        </is>
      </c>
    </row>
    <row r="8" ht="26" customHeight="1">
      <c r="A8" s="40" t="inlineStr">
        <is>
          <t>User Base</t>
        </is>
      </c>
      <c r="B8" s="41" t="inlineStr">
        <is>
          <t>Pipeline Complexity</t>
        </is>
      </c>
      <c r="C8" s="39" t="inlineStr">
        <is>
          <t>Multi-stage pipelines with tests</t>
        </is>
      </c>
      <c r="D8" s="41" t="inlineStr">
        <is>
          <t>Simple build only</t>
        </is>
      </c>
      <c r="E8" s="41" t="inlineStr">
        <is>
          <t>Build test deploy</t>
        </is>
      </c>
      <c r="F8" s="41" t="inlineStr">
        <is>
          <t>Advanced (canary blue-green)</t>
        </is>
      </c>
      <c r="G8" s="41" t="inlineStr">
        <is>
          <t>Pipeline orchestration complexity</t>
        </is>
      </c>
    </row>
    <row r="9" ht="26" customHeight="1">
      <c r="A9" s="37" t="inlineStr">
        <is>
          <t>Data Volume</t>
        </is>
      </c>
      <c r="B9" s="38" t="inlineStr">
        <is>
          <t>Artifact Storage</t>
        </is>
      </c>
      <c r="C9" s="39" t="inlineStr">
        <is>
          <t>20TB artifact capacity</t>
        </is>
      </c>
      <c r="D9" s="38" t="inlineStr">
        <is>
          <t>5TB artifacts</t>
        </is>
      </c>
      <c r="E9" s="38" t="inlineStr">
        <is>
          <t>20TB artifacts</t>
        </is>
      </c>
      <c r="F9" s="38" t="inlineStr">
        <is>
          <t>50TB+ artifacts</t>
        </is>
      </c>
      <c r="G9" s="38" t="inlineStr">
        <is>
          <t>Artifact repository storage requirements</t>
        </is>
      </c>
    </row>
    <row r="10" ht="26" customHeight="1">
      <c r="A10" s="40" t="inlineStr">
        <is>
          <t>Data Volume</t>
        </is>
      </c>
      <c r="B10" s="41" t="inlineStr">
        <is>
          <t>Build Artifacts</t>
        </is>
      </c>
      <c r="C10" s="39" t="inlineStr">
        <is>
          <t>Maven npm Docker images</t>
        </is>
      </c>
      <c r="D10" s="41" t="inlineStr">
        <is>
          <t>Single format</t>
        </is>
      </c>
      <c r="E10" s="41" t="inlineStr">
        <is>
          <t>Multi-format</t>
        </is>
      </c>
      <c r="F10" s="41" t="inlineStr">
        <is>
          <t>All formats + binary</t>
        </is>
      </c>
      <c r="G10" s="41" t="inlineStr">
        <is>
          <t>Artifact type diversity and management</t>
        </is>
      </c>
    </row>
    <row r="11" ht="26" customHeight="1">
      <c r="A11" s="37" t="inlineStr">
        <is>
          <t>Technical Environment</t>
        </is>
      </c>
      <c r="B11" s="38" t="inlineStr">
        <is>
          <t>Build Agent OS</t>
        </is>
      </c>
      <c r="C11" s="39" t="inlineStr">
        <is>
          <t>Ubuntu 22.04 LTS with Docker</t>
        </is>
      </c>
      <c r="D11" s="38" t="inlineStr">
        <is>
          <t>Linux only</t>
        </is>
      </c>
      <c r="E11" s="38" t="inlineStr">
        <is>
          <t>Linux + Windows</t>
        </is>
      </c>
      <c r="F11" s="38" t="inlineStr">
        <is>
          <t>Linux Windows macOS</t>
        </is>
      </c>
      <c r="G11" s="38" t="inlineStr">
        <is>
          <t>OS diversity and licensing</t>
        </is>
      </c>
    </row>
    <row r="12" ht="26" customHeight="1">
      <c r="A12" s="40" t="inlineStr">
        <is>
          <t>Technical Environment</t>
        </is>
      </c>
      <c r="B12" s="41" t="inlineStr">
        <is>
          <t>Current CI/CD</t>
        </is>
      </c>
      <c r="C12" s="39" t="inlineStr">
        <is>
          <t>GitHub Actions cloud runners</t>
        </is>
      </c>
      <c r="D12" s="41" t="inlineStr">
        <is>
          <t>Jenkins on-prem</t>
        </is>
      </c>
      <c r="E12" s="41" t="inlineStr">
        <is>
          <t>GitHub Actions</t>
        </is>
      </c>
      <c r="F12" s="41" t="inlineStr">
        <is>
          <t>CircleCI cloud</t>
        </is>
      </c>
      <c r="G12" s="41" t="inlineStr">
        <is>
          <t>Migration complexity and platform</t>
        </is>
      </c>
    </row>
    <row r="13" ht="26" customHeight="1">
      <c r="A13" s="37" t="inlineStr">
        <is>
          <t>Technical Environment</t>
        </is>
      </c>
      <c r="B13" s="38" t="inlineStr">
        <is>
          <t>Container Platform</t>
        </is>
      </c>
      <c r="C13" s="39" t="inlineStr">
        <is>
          <t>Docker Enterprise with registry</t>
        </is>
      </c>
      <c r="D13" s="38" t="inlineStr">
        <is>
          <t>No containers</t>
        </is>
      </c>
      <c r="E13" s="38" t="inlineStr">
        <is>
          <t>Docker</t>
        </is>
      </c>
      <c r="F13" s="38" t="inlineStr">
        <is>
          <t>Kubernetes + registry</t>
        </is>
      </c>
      <c r="G13" s="38" t="inlineStr">
        <is>
          <t>Container build requirements</t>
        </is>
      </c>
    </row>
    <row r="14" ht="26" customHeight="1">
      <c r="A14" s="40" t="inlineStr">
        <is>
          <t>Security &amp; Compliance</t>
        </is>
      </c>
      <c r="B14" s="41" t="inlineStr">
        <is>
          <t>Code Sensitivity</t>
        </is>
      </c>
      <c r="C14" s="39" t="inlineStr">
        <is>
          <t>Proprietary source code</t>
        </is>
      </c>
      <c r="D14" s="41" t="inlineStr">
        <is>
          <t>Public repos</t>
        </is>
      </c>
      <c r="E14" s="41" t="inlineStr">
        <is>
          <t>Private repos</t>
        </is>
      </c>
      <c r="F14" s="41" t="inlineStr">
        <is>
          <t>Confidential regulated</t>
        </is>
      </c>
      <c r="G14" s="41" t="inlineStr">
        <is>
          <t>Data classification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Authentication</t>
        </is>
      </c>
      <c r="C15" s="39" t="inlineStr">
        <is>
          <t>SSO with SAML integration</t>
        </is>
      </c>
      <c r="D15" s="38" t="inlineStr">
        <is>
          <t>Local accounts only</t>
        </is>
      </c>
      <c r="E15" s="38" t="inlineStr">
        <is>
          <t>LDAP or SAML SSO</t>
        </is>
      </c>
      <c r="F15" s="38" t="inlineStr">
        <is>
          <t>MFA required</t>
        </is>
      </c>
      <c r="G15" s="38" t="inlineStr">
        <is>
          <t>Authentication and access control</t>
        </is>
      </c>
    </row>
    <row r="16" ht="26" customHeight="1">
      <c r="A16" s="40" t="inlineStr">
        <is>
          <t>Performance</t>
        </is>
      </c>
      <c r="B16" s="41" t="inlineStr">
        <is>
          <t>Build Queue Time</t>
        </is>
      </c>
      <c r="C16" s="39" t="inlineStr">
        <is>
          <t>&lt;5 minute average queue time</t>
        </is>
      </c>
      <c r="D16" s="41" t="inlineStr">
        <is>
          <t>&lt;15 min acceptable</t>
        </is>
      </c>
      <c r="E16" s="41" t="inlineStr">
        <is>
          <t>&lt;5 min target</t>
        </is>
      </c>
      <c r="F16" s="41" t="inlineStr">
        <is>
          <t>&lt;2 min required</t>
        </is>
      </c>
      <c r="G16" s="41" t="inlineStr">
        <is>
          <t>Developer productivity and SLA</t>
        </is>
      </c>
    </row>
    <row r="17" ht="26" customHeight="1">
      <c r="A17" s="37" t="inlineStr">
        <is>
          <t>Performance</t>
        </is>
      </c>
      <c r="B17" s="38" t="inlineStr">
        <is>
          <t>Build Duration</t>
        </is>
      </c>
      <c r="C17" s="39" t="inlineStr">
        <is>
          <t>15 minute average build time</t>
        </is>
      </c>
      <c r="D17" s="38" t="inlineStr">
        <is>
          <t>5-10 min builds</t>
        </is>
      </c>
      <c r="E17" s="38" t="inlineStr">
        <is>
          <t>15 min builds</t>
        </is>
      </c>
      <c r="F17" s="38" t="inlineStr">
        <is>
          <t>30+ min builds</t>
        </is>
      </c>
      <c r="G17" s="38" t="inlineStr">
        <is>
          <t>Compute capacity requirements</t>
        </is>
      </c>
    </row>
    <row r="18" ht="26" customHeight="1">
      <c r="A18" s="40" t="inlineStr">
        <is>
          <t>Environment</t>
        </is>
      </c>
      <c r="B18" s="41" t="inlineStr">
        <is>
          <t>Deployment Strategy</t>
        </is>
      </c>
      <c r="C18" s="39" t="inlineStr">
        <is>
          <t>Phased migration by team</t>
        </is>
      </c>
      <c r="D18" s="41" t="inlineStr">
        <is>
          <t>Pilot only</t>
        </is>
      </c>
      <c r="E18" s="41" t="inlineStr">
        <is>
          <t>Phased rollout</t>
        </is>
      </c>
      <c r="F18" s="41" t="inlineStr">
        <is>
          <t>Full parallel run</t>
        </is>
      </c>
      <c r="G18" s="41" t="inlineStr">
        <is>
          <t>Migration risk and complexity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(Build Analysis Cloud Cost Pipeline Inventory)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(Platform Design Build Agent Sizing Artifact Architecture)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(PowerEdge Deployment GitLab Setup Pipeline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Build Queue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(Team Rollout Cloud Decommission)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(Developer Training DevOps Training)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Pipeline Templates)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Build Volume Analysis</t>
        </is>
      </c>
      <c r="C3" s="46" t="inlineStr">
        <is>
          <t>Analyze build frequency duration and resource consumption</t>
        </is>
      </c>
      <c r="D3" s="46" t="inlineStr">
        <is>
          <t>EO Engineer</t>
        </is>
      </c>
      <c r="E3" s="47" t="n">
        <v>32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build agent sizing and capacity planning</t>
        </is>
      </c>
    </row>
    <row r="4" ht="26" customHeight="1">
      <c r="A4" s="51" t="inlineStr">
        <is>
          <t>Discovery</t>
        </is>
      </c>
      <c r="B4" s="52" t="inlineStr">
        <is>
          <t>Cloud Cost Analysis</t>
        </is>
      </c>
      <c r="C4" s="52" t="inlineStr">
        <is>
          <t>Calculate cloud CI/CD spend and ROI baseline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175</v>
      </c>
      <c r="I4" s="55">
        <f>TEXT($G4*$H4,"$#,##0")</f>
        <v/>
      </c>
      <c r="J4" s="52" t="inlineStr"/>
      <c r="K4" s="52" t="inlineStr">
        <is>
          <t>Customer must provide cloud invoices and usage data</t>
        </is>
      </c>
    </row>
    <row r="5" ht="26" customHeight="1">
      <c r="A5" s="45" t="inlineStr">
        <is>
          <t>Discovery</t>
        </is>
      </c>
      <c r="B5" s="46" t="inlineStr">
        <is>
          <t>Pipeline Inventory</t>
        </is>
      </c>
      <c r="C5" s="46" t="inlineStr">
        <is>
          <t>Inventory CI/CD pipelines and integration points</t>
        </is>
      </c>
      <c r="D5" s="46" t="inlineStr">
        <is>
          <t>EO Engineer</t>
        </is>
      </c>
      <c r="E5" s="47" t="n">
        <v>32</v>
      </c>
      <c r="F5" s="57">
        <f>'Estimate Settings'!$C$3</f>
        <v/>
      </c>
      <c r="G5" s="49">
        <f>$E5*$F5</f>
        <v/>
      </c>
      <c r="H5" s="50" t="n">
        <v>150</v>
      </c>
      <c r="I5" s="49">
        <f>TEXT($G5*$H5,"$#,##0")</f>
        <v/>
      </c>
      <c r="J5" s="46" t="inlineStr"/>
      <c r="K5" s="46" t="inlineStr">
        <is>
          <t>Identifies pipeline migration scope and complexity</t>
        </is>
      </c>
    </row>
    <row r="6" ht="26" customHeight="1">
      <c r="A6" s="51" t="inlineStr">
        <is>
          <t>Discovery</t>
        </is>
      </c>
      <c r="B6" s="52" t="inlineStr">
        <is>
          <t>Infrastructure Assessment</t>
        </is>
      </c>
      <c r="C6" s="52" t="inlineStr">
        <is>
          <t>Survey data center resources and network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150</v>
      </c>
      <c r="I6" s="55">
        <f>TEXT($G6*$H6,"$#,##0")</f>
        <v/>
      </c>
      <c r="J6" s="52" t="inlineStr"/>
      <c r="K6" s="52" t="inlineStr">
        <is>
          <t>Validates rack space power and network for build farm</t>
        </is>
      </c>
    </row>
    <row r="7" ht="26" customHeight="1">
      <c r="A7" s="45" t="inlineStr">
        <is>
          <t>Planning</t>
        </is>
      </c>
      <c r="B7" s="46" t="inlineStr">
        <is>
          <t>CI/CD Platform Design</t>
        </is>
      </c>
      <c r="C7" s="46" t="inlineStr">
        <is>
          <t>Design GitLab architecture and HA configuration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Build Volume Analysis</t>
        </is>
      </c>
      <c r="K7" s="46" t="inlineStr">
        <is>
          <t>Deliverable: GitLab architecture with runner configuration</t>
        </is>
      </c>
    </row>
    <row r="8" ht="26" customHeight="1">
      <c r="A8" s="51" t="inlineStr">
        <is>
          <t>Planning</t>
        </is>
      </c>
      <c r="B8" s="52" t="inlineStr">
        <is>
          <t>Build Agent Sizing</t>
        </is>
      </c>
      <c r="C8" s="52" t="inlineStr">
        <is>
          <t>Size PowerEdge build agents for concurrent builds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175</v>
      </c>
      <c r="I8" s="55">
        <f>TEXT($G8*$H8,"$#,##0")</f>
        <v/>
      </c>
      <c r="J8" s="52" t="inlineStr">
        <is>
          <t>Build Volume Analysis</t>
        </is>
      </c>
      <c r="K8" s="52" t="inlineStr">
        <is>
          <t>Deliverable: Server specs CPU RAM disk for build capacity</t>
        </is>
      </c>
    </row>
    <row r="9" ht="26" customHeight="1">
      <c r="A9" s="45" t="inlineStr">
        <is>
          <t>Planning</t>
        </is>
      </c>
      <c r="B9" s="46" t="inlineStr">
        <is>
          <t>Artifact Repository Design</t>
        </is>
      </c>
      <c r="C9" s="46" t="inlineStr">
        <is>
          <t>Design Artifactory architecture and storage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Pipeline Inventory</t>
        </is>
      </c>
      <c r="K9" s="46" t="inlineStr">
        <is>
          <t>Artifact storage capacity and retention policy design</t>
        </is>
      </c>
    </row>
    <row r="10" ht="26" customHeight="1">
      <c r="A10" s="51" t="inlineStr">
        <is>
          <t>Planning</t>
        </is>
      </c>
      <c r="B10" s="52" t="inlineStr">
        <is>
          <t>Pipeline Migration Plan</t>
        </is>
      </c>
      <c r="C10" s="52" t="inlineStr">
        <is>
          <t>Develop pipeline conversion and rollout strategy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175</v>
      </c>
      <c r="I10" s="55">
        <f>TEXT($G10*$H10,"$#,##0")</f>
        <v/>
      </c>
      <c r="J10" s="52" t="inlineStr">
        <is>
          <t>Pipeline Inventory</t>
        </is>
      </c>
      <c r="K10" s="52" t="inlineStr">
        <is>
          <t>Deliverable: Migration timeline and pilot project selection</t>
        </is>
      </c>
    </row>
    <row r="11" ht="26" customHeight="1">
      <c r="A11" s="45" t="inlineStr">
        <is>
          <t>Development</t>
        </is>
      </c>
      <c r="B11" s="46" t="inlineStr">
        <is>
          <t>PowerEdge Procurement</t>
        </is>
      </c>
      <c r="C11" s="46" t="inlineStr">
        <is>
          <t>Order Dell PowerEdge R650 build agent servers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Build Agent Sizing</t>
        </is>
      </c>
      <c r="K11" s="46" t="inlineStr">
        <is>
          <t>Coordinate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Build Agent Deployment</t>
        </is>
      </c>
      <c r="C12" s="52" t="inlineStr">
        <is>
          <t>Install PowerEdge servers and configure RHEL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PowerEdge Procurement</t>
        </is>
      </c>
      <c r="K12" s="52" t="inlineStr">
        <is>
          <t>Rack installation OS setup and network configuration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Unity XT storage for artifacts</t>
        </is>
      </c>
      <c r="D13" s="46" t="inlineStr">
        <is>
          <t>EO Engineer</t>
        </is>
      </c>
      <c r="E13" s="47" t="n">
        <v>32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Artifact Repository Design</t>
        </is>
      </c>
      <c r="K13" s="46" t="inlineStr">
        <is>
          <t>Unity configuration with NFS shares for artifacts</t>
        </is>
      </c>
    </row>
    <row r="14" ht="26" customHeight="1">
      <c r="A14" s="51" t="inlineStr">
        <is>
          <t>Development</t>
        </is>
      </c>
      <c r="B14" s="52" t="inlineStr">
        <is>
          <t>GitLab Installation</t>
        </is>
      </c>
      <c r="C14" s="52" t="inlineStr">
        <is>
          <t>Install and configure GitLab Premium self-hosted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Build Agent Deployment</t>
        </is>
      </c>
      <c r="K14" s="52" t="inlineStr">
        <is>
          <t>GitLab server setup SSO configuration runner registration</t>
        </is>
      </c>
    </row>
    <row r="15" ht="26" customHeight="1">
      <c r="A15" s="45" t="inlineStr">
        <is>
          <t>Development</t>
        </is>
      </c>
      <c r="B15" s="46" t="inlineStr">
        <is>
          <t>Artifactory Deployment</t>
        </is>
      </c>
      <c r="C15" s="46" t="inlineStr">
        <is>
          <t>Deploy JFrog Artifactory Pro for artifact management</t>
        </is>
      </c>
      <c r="D15" s="46" t="inlineStr">
        <is>
          <t>EO Engineer</t>
        </is>
      </c>
      <c r="E15" s="47" t="n">
        <v>32</v>
      </c>
      <c r="F15" s="57">
        <f>'Estimate Settings'!$C$5</f>
        <v/>
      </c>
      <c r="G15" s="49">
        <f>$E15*$F15</f>
        <v/>
      </c>
      <c r="H15" s="50" t="n">
        <v>175</v>
      </c>
      <c r="I15" s="49">
        <f>TEXT($G15*$H15,"$#,##0")</f>
        <v/>
      </c>
      <c r="J15" s="46" t="inlineStr">
        <is>
          <t>Storage Deployment</t>
        </is>
      </c>
      <c r="K15" s="46" t="inlineStr">
        <is>
          <t>Artifactory installation repository setup proxy configuration</t>
        </is>
      </c>
    </row>
    <row r="16" ht="26" customHeight="1">
      <c r="A16" s="51" t="inlineStr">
        <is>
          <t>Development</t>
        </is>
      </c>
      <c r="B16" s="52" t="inlineStr">
        <is>
          <t>Docker Configuration</t>
        </is>
      </c>
      <c r="C16" s="52" t="inlineStr">
        <is>
          <t>Configure Docker Enterprise and container registry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160</v>
      </c>
      <c r="I16" s="55">
        <f>TEXT($G16*$H16,"$#,##0")</f>
        <v/>
      </c>
      <c r="J16" s="52" t="inlineStr">
        <is>
          <t>Build Agent Deployment</t>
        </is>
      </c>
      <c r="K16" s="52" t="inlineStr">
        <is>
          <t>Docker daemon registry authentication image caching</t>
        </is>
      </c>
    </row>
    <row r="17" ht="26" customHeight="1">
      <c r="A17" s="45" t="inlineStr">
        <is>
          <t>Development</t>
        </is>
      </c>
      <c r="B17" s="46" t="inlineStr">
        <is>
          <t>Secrets Management</t>
        </is>
      </c>
      <c r="C17" s="46" t="inlineStr">
        <is>
          <t>Deploy HashiCorp Vault for pipeline secrets</t>
        </is>
      </c>
      <c r="D17" s="46" t="inlineStr">
        <is>
          <t>EO Engineer</t>
        </is>
      </c>
      <c r="E17" s="47" t="n">
        <v>32</v>
      </c>
      <c r="F17" s="57">
        <f>'Estimate Settings'!$C$5</f>
        <v/>
      </c>
      <c r="G17" s="49">
        <f>$E17*$F17</f>
        <v/>
      </c>
      <c r="H17" s="50" t="n">
        <v>175</v>
      </c>
      <c r="I17" s="49">
        <f>TEXT($G17*$H17,"$#,##0")</f>
        <v/>
      </c>
      <c r="J17" s="46" t="inlineStr">
        <is>
          <t>GitLab Installation</t>
        </is>
      </c>
      <c r="K17" s="46" t="inlineStr">
        <is>
          <t>Vault installation GitLab integration credential injection</t>
        </is>
      </c>
    </row>
    <row r="18" ht="26" customHeight="1">
      <c r="A18" s="51" t="inlineStr">
        <is>
          <t>Development</t>
        </is>
      </c>
      <c r="B18" s="52" t="inlineStr">
        <is>
          <t>Pipeline Templates</t>
        </is>
      </c>
      <c r="C18" s="52" t="inlineStr">
        <is>
          <t>Create GitLab CI pipeline templates for common stacks</t>
        </is>
      </c>
      <c r="D18" s="52" t="inlineStr">
        <is>
          <t>EO Engineer</t>
        </is>
      </c>
      <c r="E18" s="53" t="n">
        <v>40</v>
      </c>
      <c r="F18" s="54">
        <f>'Estimate Settings'!$C$5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GitLab Installation</t>
        </is>
      </c>
      <c r="K18" s="52" t="inlineStr">
        <is>
          <t>Templates for Node.js Java Python Docker builds</t>
        </is>
      </c>
    </row>
    <row r="19" ht="26" customHeight="1">
      <c r="A19" s="45" t="inlineStr">
        <is>
          <t>Testing</t>
        </is>
      </c>
      <c r="B19" s="46" t="inlineStr">
        <is>
          <t>Performance Testing</t>
        </is>
      </c>
      <c r="C19" s="46" t="inlineStr">
        <is>
          <t>Benchmark build queue time and throughput</t>
        </is>
      </c>
      <c r="D19" s="46" t="inlineStr">
        <is>
          <t>EO Engineer</t>
        </is>
      </c>
      <c r="E19" s="47" t="n">
        <v>24</v>
      </c>
      <c r="F19" s="57">
        <f>'Estimate Settings'!$C$6</f>
        <v/>
      </c>
      <c r="G19" s="49">
        <f>$E19*$F19</f>
        <v/>
      </c>
      <c r="H19" s="50" t="n">
        <v>160</v>
      </c>
      <c r="I19" s="49">
        <f>TEXT($G19*$H19,"$#,##0")</f>
        <v/>
      </c>
      <c r="J19" s="46" t="inlineStr">
        <is>
          <t>Pipeline Templates</t>
        </is>
      </c>
      <c r="K19" s="46" t="inlineStr">
        <is>
          <t>Validate &lt;5 min queue time and concurrent build capacity</t>
        </is>
      </c>
    </row>
    <row r="20" ht="26" customHeight="1">
      <c r="A20" s="51" t="inlineStr">
        <is>
          <t>Testing</t>
        </is>
      </c>
      <c r="B20" s="52" t="inlineStr">
        <is>
          <t>Artifact Performance</t>
        </is>
      </c>
      <c r="C20" s="52" t="inlineStr">
        <is>
          <t>Test artifact download speed and caching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150</v>
      </c>
      <c r="I20" s="55">
        <f>TEXT($G20*$H20,"$#,##0")</f>
        <v/>
      </c>
      <c r="J20" s="52" t="inlineStr">
        <is>
          <t>Artifactory Deployment</t>
        </is>
      </c>
      <c r="K20" s="52" t="inlineStr">
        <is>
          <t>Measure artifact download throughput and proxy cache</t>
        </is>
      </c>
    </row>
    <row r="21" ht="26" customHeight="1">
      <c r="A21" s="45" t="inlineStr">
        <is>
          <t>Testing</t>
        </is>
      </c>
      <c r="B21" s="46" t="inlineStr">
        <is>
          <t>Pipeline Validation</t>
        </is>
      </c>
      <c r="C21" s="46" t="inlineStr">
        <is>
          <t>Validate pipeline templates with pilot projects</t>
        </is>
      </c>
      <c r="D21" s="46" t="inlineStr">
        <is>
          <t>EO Engineer</t>
        </is>
      </c>
      <c r="E21" s="47" t="n">
        <v>24</v>
      </c>
      <c r="F21" s="57">
        <f>'Estimate Settings'!$C$6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Customer must provide pilot projects for testing</t>
        </is>
      </c>
    </row>
    <row r="22" ht="26" customHeight="1">
      <c r="A22" s="51" t="inlineStr">
        <is>
          <t>Testing</t>
        </is>
      </c>
      <c r="B22" s="52" t="inlineStr">
        <is>
          <t>Integration Testing</t>
        </is>
      </c>
      <c r="C22" s="52" t="inlineStr">
        <is>
          <t>Test deployment integrations and webhooks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150</v>
      </c>
      <c r="I22" s="55">
        <f>TEXT($G22*$H22,"$#,##0")</f>
        <v/>
      </c>
      <c r="J22" s="52" t="inlineStr">
        <is>
          <t>Pipeline Validation</t>
        </is>
      </c>
      <c r="K22" s="52" t="inlineStr">
        <is>
          <t>Validate Slack Jira and deployment target integrations</t>
        </is>
      </c>
    </row>
    <row r="23" ht="26" customHeight="1">
      <c r="A23" s="45" t="inlineStr">
        <is>
          <t>Deployment</t>
        </is>
      </c>
      <c r="B23" s="46" t="inlineStr">
        <is>
          <t>Pilot Migration</t>
        </is>
      </c>
      <c r="C23" s="46" t="inlineStr">
        <is>
          <t>Migrate 5-10 pilot projects to on-prem GitLab</t>
        </is>
      </c>
      <c r="D23" s="46" t="inlineStr">
        <is>
          <t>EO Engineer</t>
        </is>
      </c>
      <c r="E23" s="47" t="n">
        <v>48</v>
      </c>
      <c r="F23" s="57">
        <f>'Estimate Settings'!$C$7</f>
        <v/>
      </c>
      <c r="G23" s="49">
        <f>$E23*$F23</f>
        <v/>
      </c>
      <c r="H23" s="50" t="n">
        <v>175</v>
      </c>
      <c r="I23" s="49">
        <f>TEXT($G23*$H23,"$#,##0")</f>
        <v/>
      </c>
      <c r="J23" s="46" t="inlineStr">
        <is>
          <t>Pipeline Validation</t>
        </is>
      </c>
      <c r="K23" s="46" t="inlineStr">
        <is>
          <t>Convert pipelines validate builds collect feedback</t>
        </is>
      </c>
    </row>
    <row r="24" ht="26" customHeight="1">
      <c r="A24" s="51" t="inlineStr">
        <is>
          <t>Deployment</t>
        </is>
      </c>
      <c r="B24" s="52" t="inlineStr">
        <is>
          <t>Team Rollout</t>
        </is>
      </c>
      <c r="C24" s="52" t="inlineStr">
        <is>
          <t>Phased rollout to development teams</t>
        </is>
      </c>
      <c r="D24" s="52" t="inlineStr">
        <is>
          <t>EO Engineer</t>
        </is>
      </c>
      <c r="E24" s="53" t="n">
        <v>64</v>
      </c>
      <c r="F24" s="54">
        <f>'Estimate Settings'!$C$7</f>
        <v/>
      </c>
      <c r="G24" s="55">
        <f>$E24*$F24</f>
        <v/>
      </c>
      <c r="H24" s="56" t="n">
        <v>175</v>
      </c>
      <c r="I24" s="55">
        <f>TEXT($G24*$H24,"$#,##0")</f>
        <v/>
      </c>
      <c r="J24" s="52" t="inlineStr">
        <is>
          <t>Pilot Migration</t>
        </is>
      </c>
      <c r="K24" s="52" t="inlineStr">
        <is>
          <t>10 developers every 2 weeks migration schedule</t>
        </is>
      </c>
    </row>
    <row r="25" ht="26" customHeight="1">
      <c r="A25" s="45" t="inlineStr">
        <is>
          <t>Deployment</t>
        </is>
      </c>
      <c r="B25" s="46" t="inlineStr">
        <is>
          <t>Cloud Decommission</t>
        </is>
      </c>
      <c r="C25" s="46" t="inlineStr">
        <is>
          <t>Decommission cloud CI/CD platform</t>
        </is>
      </c>
      <c r="D25" s="46" t="inlineStr">
        <is>
          <t>EO Engineer</t>
        </is>
      </c>
      <c r="E25" s="47" t="n">
        <v>16</v>
      </c>
      <c r="F25" s="57">
        <f>'Estimate Settings'!$C$7</f>
        <v/>
      </c>
      <c r="G25" s="49">
        <f>$E25*$F25</f>
        <v/>
      </c>
      <c r="H25" s="50" t="n">
        <v>150</v>
      </c>
      <c r="I25" s="49">
        <f>TEXT($G25*$H25,"$#,##0")</f>
        <v/>
      </c>
      <c r="J25" s="46" t="inlineStr">
        <is>
          <t>Team Rollout</t>
        </is>
      </c>
      <c r="K25" s="46" t="inlineStr">
        <is>
          <t>Cancel GitHub Actions or CircleCI subscriptions</t>
        </is>
      </c>
    </row>
    <row r="26" ht="26" customHeight="1">
      <c r="A26" s="51" t="inlineStr">
        <is>
          <t>Deployment</t>
        </is>
      </c>
      <c r="B26" s="52" t="inlineStr">
        <is>
          <t>Production Support</t>
        </is>
      </c>
      <c r="C26" s="52" t="inlineStr">
        <is>
          <t>Provide hypercare support during migration</t>
        </is>
      </c>
      <c r="D26" s="52" t="inlineStr">
        <is>
          <t>EO Engineer</t>
        </is>
      </c>
      <c r="E26" s="53" t="n">
        <v>40</v>
      </c>
      <c r="F26" s="54">
        <f>'Estimate Settings'!$C$7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Team Rollout</t>
        </is>
      </c>
      <c r="K26" s="52" t="inlineStr">
        <is>
          <t>Daily monitoring and rapid pipeline issue response</t>
        </is>
      </c>
    </row>
    <row r="27" ht="26" customHeight="1">
      <c r="A27" s="45" t="inlineStr">
        <is>
          <t>Training</t>
        </is>
      </c>
      <c r="B27" s="46" t="inlineStr">
        <is>
          <t>Developer Training</t>
        </is>
      </c>
      <c r="C27" s="46" t="inlineStr">
        <is>
          <t>Train developers on GitLab CI/CD and pipelines</t>
        </is>
      </c>
      <c r="D27" s="46" t="inlineStr">
        <is>
          <t>EO Engineer</t>
        </is>
      </c>
      <c r="E27" s="47" t="n">
        <v>24</v>
      </c>
      <c r="F27" s="57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Production Support</t>
        </is>
      </c>
      <c r="K27" s="46" t="inlineStr">
        <is>
          <t>GitLab CI syntax pipeline debugging Artifactory usage</t>
        </is>
      </c>
    </row>
    <row r="28" ht="26" customHeight="1">
      <c r="A28" s="51" t="inlineStr">
        <is>
          <t>Training</t>
        </is>
      </c>
      <c r="B28" s="52" t="inlineStr">
        <is>
          <t>DevOps Training</t>
        </is>
      </c>
      <c r="C28" s="52" t="inlineStr">
        <is>
          <t>Train DevOps team on platform administration</t>
        </is>
      </c>
      <c r="D28" s="52" t="inlineStr">
        <is>
          <t>EO Engineer</t>
        </is>
      </c>
      <c r="E28" s="53" t="n">
        <v>24</v>
      </c>
      <c r="F28" s="54">
        <f>'Estimate Settings'!$C$8</f>
        <v/>
      </c>
      <c r="G28" s="55">
        <f>$E28*$F28</f>
        <v/>
      </c>
      <c r="H28" s="56" t="n">
        <v>175</v>
      </c>
      <c r="I28" s="55">
        <f>TEXT($G28*$H28,"$#,##0")</f>
        <v/>
      </c>
      <c r="J28" s="52" t="inlineStr">
        <is>
          <t>Developer Training</t>
        </is>
      </c>
      <c r="K28" s="52" t="inlineStr">
        <is>
          <t>GitLab admin runner management Artifactory administration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pipeline templates and runbooks</t>
        </is>
      </c>
      <c r="D29" s="46" t="inlineStr">
        <is>
          <t>EO Engineer</t>
        </is>
      </c>
      <c r="E29" s="47" t="n">
        <v>24</v>
      </c>
      <c r="F29" s="57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DevOps Training</t>
        </is>
      </c>
      <c r="K29" s="46" t="inlineStr">
        <is>
          <t>Deliverable: Pipeline templates troubleshooting guides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CI/CD platform ownership to DevOps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175</v>
      </c>
      <c r="I30" s="55">
        <f>TEXT($G30*$H30,"$#,##0")</f>
        <v/>
      </c>
      <c r="J30" s="52" t="inlineStr">
        <is>
          <t>Documentation</t>
        </is>
      </c>
      <c r="K30" s="52" t="inlineStr">
        <is>
          <t>Comprehensive handover including architecture and procedures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build performance and queue time baselines</t>
        </is>
      </c>
      <c r="D31" s="46" t="inlineStr">
        <is>
          <t>EO Engineer</t>
        </is>
      </c>
      <c r="E31" s="47" t="n">
        <v>8</v>
      </c>
      <c r="F31" s="57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Baseline queue time build success rate metrics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Quarterback technical oversight and architecture review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200</v>
      </c>
      <c r="I32" s="55">
        <f>TEXT($G32*$H32,"$#,##0")</f>
        <v/>
      </c>
      <c r="J32" s="52" t="inlineStr"/>
      <c r="K32" s="52" t="inlineStr">
        <is>
          <t>GitLab architecture review and pipeline optimization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planning and vendor management</t>
        </is>
      </c>
      <c r="D33" s="46" t="inlineStr">
        <is>
          <t>EO Project Manager</t>
        </is>
      </c>
      <c r="E33" s="49">
        <f>ROUND(SUM($G$3:$G$31)*0.10,0)</f>
        <v/>
      </c>
      <c r="F33" s="57">
        <f>'Estimate Settings'!$C$10</f>
        <v/>
      </c>
      <c r="G33" s="49">
        <f>$E33*$F33</f>
        <v/>
      </c>
      <c r="H33" s="50" t="n">
        <v>175</v>
      </c>
      <c r="I33" s="49">
        <f>TEXT($G33*$H33,"$#,##0")</f>
        <v/>
      </c>
      <c r="J33" s="46" t="inlineStr"/>
      <c r="K33" s="46" t="inlineStr">
        <is>
          <t>Includes Dell coordination migration planning risk management</t>
        </is>
      </c>
    </row>
    <row r="34" ht="26" customHeight="1">
      <c r="A34" s="58" t="inlineStr"/>
      <c r="B34" s="58" t="inlineStr"/>
      <c r="C34" s="58" t="inlineStr"/>
      <c r="D34" s="58" t="inlineStr"/>
      <c r="E34" s="58" t="inlineStr"/>
      <c r="F34" s="59" t="inlineStr">
        <is>
          <t>TOTAL HOURS</t>
        </is>
      </c>
      <c r="G34" s="59">
        <f>SUM($G$3:$G$33)</f>
        <v/>
      </c>
      <c r="H34" s="59" t="inlineStr">
        <is>
          <t>TOTAL COST</t>
        </is>
      </c>
      <c r="I34" s="59">
        <f>TEXT(SUMPRODUCT($G$3:$G$33,$H$3:$H$33),"$#,##0")</f>
        <v/>
      </c>
      <c r="J34" s="58" t="inlineStr"/>
      <c r="K34" s="58" t="inlineStr">
        <is>
          <t>EO Sales Engineer: Update phase multipliers based on developer count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PowerEdge and Unity hardware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SUMPRODUCT($G$3:$G$33,$H$3:$H$33)-15000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2025-11-25T04:29:44Z</dcterms:modified>
  <cp:lastModifiedBy>Kishan Siram</cp:lastModifiedBy>
</cp:coreProperties>
</file>