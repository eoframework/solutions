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2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izing Guidelines" sheetId="2" state="visible" r:id="rId2"/>
    <sheet xmlns:r="http://schemas.openxmlformats.org/officeDocument/2006/relationships" name="Infrastructure Costs" sheetId="3" state="visible" r:id="rId3"/>
    <sheet xmlns:r="http://schemas.openxmlformats.org/officeDocument/2006/relationships" name="Credits" sheetId="4" state="visible" r:id="rId4"/>
    <sheet xmlns:r="http://schemas.openxmlformats.org/officeDocument/2006/relationships" name="3-Year Summary" sheetId="5" state="visible" r:id="rId5"/>
  </sheets>
  <definedNames>
    <definedName name="_xlnm._FilterDatabase" localSheetId="1" hidden="1">'Sizing Guidelines'!$A$2:$F$8</definedName>
    <definedName name="_xlnm._FilterDatabase" localSheetId="2" hidden="1">'Infrastructure Costs'!$A$2:$K$12</definedName>
    <definedName name="_xlnm._FilterDatabase" localSheetId="3" hidden="1">'Credits'!$A$2:$D$5</definedName>
    <definedName name="_xlnm._FilterDatabase" localSheetId="4" hidden="1">'3-Year Summary'!$A$2:$G$9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$#,##0.00"/>
  </numFmts>
  <fonts count="20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color rgb="FF5D6D7E"/>
      <sz val="11"/>
      <u val="single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5D6D7E"/>
      <sz val="14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b val="1"/>
      <color rgb="FF2C3E50"/>
      <sz val="12"/>
    </font>
    <font>
      <name val="Calibri"/>
      <b val="1"/>
      <color rgb="FFFFFFFF"/>
      <sz val="12"/>
    </font>
    <font>
      <name val="Calibri"/>
      <color rgb="FF2C3E50"/>
      <sz val="11"/>
    </font>
    <font>
      <name val="Calibri"/>
      <b val="1"/>
      <color rgb="FF2C3E50"/>
      <sz val="11"/>
    </font>
    <font>
      <name val="Calibri"/>
      <b val="1"/>
      <color rgb="FFCC0000"/>
      <sz val="11"/>
    </font>
  </fonts>
  <fills count="11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top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5" fillId="5" borderId="2" applyAlignment="1" pivotButton="0" quotePrefix="0" xfId="0">
      <alignment horizontal="right" vertical="center" wrapText="1" indent="1"/>
    </xf>
    <xf numFmtId="0" fontId="6" fillId="3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1" fillId="7" borderId="4" applyAlignment="1" pivotButton="0" quotePrefix="0" xfId="0">
      <alignment horizontal="center" vertical="center"/>
    </xf>
    <xf numFmtId="0" fontId="11" fillId="8" borderId="4" applyAlignment="1" pivotButton="0" quotePrefix="0" xfId="0">
      <alignment horizontal="center" vertical="center"/>
    </xf>
    <xf numFmtId="9" fontId="11" fillId="8" borderId="4" applyAlignment="1" pivotButton="0" quotePrefix="0" xfId="0">
      <alignment horizontal="center" vertical="center"/>
    </xf>
    <xf numFmtId="0" fontId="14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2" fillId="4" borderId="2" applyAlignment="1" pivotButton="0" quotePrefix="0" xfId="0">
      <alignment horizontal="right" wrapText="1"/>
    </xf>
    <xf numFmtId="164" fontId="12" fillId="0" borderId="2" applyAlignment="1" pivotButton="0" quotePrefix="0" xfId="0">
      <alignment horizontal="right" wrapText="1"/>
    </xf>
    <xf numFmtId="164" fontId="12" fillId="4" borderId="2" applyAlignment="1" pivotButton="0" quotePrefix="0" xfId="0">
      <alignment horizontal="right" wrapText="1" indent="1"/>
    </xf>
    <xf numFmtId="164" fontId="12" fillId="0" borderId="2" applyAlignment="1" pivotButton="0" quotePrefix="0" xfId="0">
      <alignment horizontal="right" wrapText="1" indent="1"/>
    </xf>
    <xf numFmtId="164" fontId="14" fillId="5" borderId="2" applyAlignment="1" pivotButton="0" quotePrefix="0" xfId="0">
      <alignment horizontal="right" wrapText="1" indent="1"/>
    </xf>
    <xf numFmtId="0" fontId="12" fillId="4" borderId="2" applyAlignment="1" pivotButton="0" quotePrefix="0" xfId="0">
      <alignment horizontal="right" vertical="center" wrapText="1"/>
    </xf>
    <xf numFmtId="0" fontId="12" fillId="0" borderId="2" applyAlignment="1" pivotButton="0" quotePrefix="0" xfId="0">
      <alignment horizontal="right" vertical="center" wrapText="1"/>
    </xf>
    <xf numFmtId="0" fontId="5" fillId="5" borderId="2" applyAlignment="1" pivotButton="0" quotePrefix="0" xfId="0">
      <alignment horizontal="center" vertical="center" wrapText="1"/>
    </xf>
    <xf numFmtId="0" fontId="10" fillId="6" borderId="4" applyAlignment="1" pivotButton="0" quotePrefix="0" xfId="0">
      <alignment horizontal="left" vertical="center" wrapText="1" indent="1"/>
    </xf>
    <xf numFmtId="0" fontId="12" fillId="4" borderId="2" applyAlignment="1" pivotButton="0" quotePrefix="0" xfId="0">
      <alignment horizontal="left" vertical="center" wrapText="1" indent="1"/>
    </xf>
    <xf numFmtId="0" fontId="12" fillId="0" borderId="2" applyAlignment="1" pivotButton="0" quotePrefix="0" xfId="0">
      <alignment horizontal="left" vertical="center" wrapText="1" indent="1"/>
    </xf>
    <xf numFmtId="0" fontId="13" fillId="6" borderId="4" applyAlignment="1" pivotButton="0" quotePrefix="0" xfId="0">
      <alignment horizontal="left" vertical="center" wrapText="1" indent="1"/>
    </xf>
    <xf numFmtId="0" fontId="7" fillId="9" borderId="3" applyAlignment="1" pivotButton="0" quotePrefix="0" xfId="0">
      <alignment horizontal="center" vertical="center"/>
    </xf>
    <xf numFmtId="0" fontId="15" fillId="5" borderId="0" applyAlignment="1" pivotButton="0" quotePrefix="0" xfId="0">
      <alignment horizontal="center" vertical="center"/>
    </xf>
    <xf numFmtId="0" fontId="16" fillId="3" borderId="5" applyAlignment="1" pivotButton="0" quotePrefix="0" xfId="0">
      <alignment horizontal="center" vertical="center" wrapText="1"/>
    </xf>
    <xf numFmtId="0" fontId="15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center" vertical="center" wrapText="1"/>
    </xf>
    <xf numFmtId="0" fontId="15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center" vertical="center" wrapText="1"/>
    </xf>
    <xf numFmtId="0" fontId="18" fillId="4" borderId="5" applyAlignment="1" pivotButton="0" quotePrefix="0" xfId="0">
      <alignment horizontal="left" vertical="center" wrapText="1" indent="1"/>
    </xf>
    <xf numFmtId="0" fontId="17" fillId="4" borderId="5" applyAlignment="1" pivotButton="0" quotePrefix="0" xfId="0">
      <alignment horizontal="left" vertical="center" wrapText="1" indent="1"/>
    </xf>
    <xf numFmtId="3" fontId="17" fillId="4" borderId="5" applyAlignment="1" pivotButton="0" quotePrefix="0" xfId="0">
      <alignment horizontal="right" vertical="center" wrapText="1"/>
    </xf>
    <xf numFmtId="165" fontId="17" fillId="4" borderId="5" applyAlignment="1" pivotButton="0" quotePrefix="0" xfId="0">
      <alignment horizontal="right" vertical="center" wrapText="1"/>
    </xf>
    <xf numFmtId="0" fontId="18" fillId="10" borderId="5" applyAlignment="1" pivotButton="0" quotePrefix="0" xfId="0">
      <alignment horizontal="left" vertical="center" wrapText="1" indent="1"/>
    </xf>
    <xf numFmtId="0" fontId="17" fillId="10" borderId="5" applyAlignment="1" pivotButton="0" quotePrefix="0" xfId="0">
      <alignment horizontal="left" vertical="center" wrapText="1" indent="1"/>
    </xf>
    <xf numFmtId="3" fontId="17" fillId="10" borderId="5" applyAlignment="1" pivotButton="0" quotePrefix="0" xfId="0">
      <alignment horizontal="right" vertical="center" wrapText="1"/>
    </xf>
    <xf numFmtId="165" fontId="17" fillId="10" borderId="5" applyAlignment="1" pivotButton="0" quotePrefix="0" xfId="0">
      <alignment horizontal="right" vertical="center" wrapText="1"/>
    </xf>
    <xf numFmtId="0" fontId="19" fillId="5" borderId="5" applyAlignment="1" pivotButton="0" quotePrefix="0" xfId="0">
      <alignment horizontal="left" vertical="center"/>
    </xf>
    <xf numFmtId="0" fontId="19" fillId="5" borderId="5" applyAlignment="1" pivotButton="0" quotePrefix="0" xfId="0">
      <alignment horizontal="center" vertical="center"/>
    </xf>
    <xf numFmtId="165" fontId="19" fillId="5" borderId="5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238250" cy="314325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workbookViewId="0">
      <selection activeCell="E24" sqref="E24"/>
    </sheetView>
  </sheetViews>
  <sheetFormatPr baseColWidth="8" defaultRowHeight="14.5"/>
  <cols>
    <col width="3" customWidth="1" min="1" max="1"/>
    <col width="25" customWidth="1" min="2" max="2"/>
    <col width="40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16" t="inlineStr">
        <is>
          <t>[DOCUMENT TITLE]</t>
        </is>
      </c>
    </row>
    <row r="4" ht="25" customHeight="1">
      <c r="B4" s="15" t="inlineStr">
        <is>
          <t>Infrastructure Costs</t>
        </is>
      </c>
    </row>
    <row r="5" ht="30" customHeight="1">
      <c r="B5" t="inlineStr">
        <is>
          <t>Presales Document</t>
        </is>
      </c>
    </row>
    <row r="6" ht="18" customHeight="1">
      <c r="B6" s="2" t="inlineStr">
        <is>
          <t>Generated:</t>
        </is>
      </c>
      <c r="C6" s="3" t="inlineStr">
        <is>
          <t>November 16, 2025</t>
        </is>
      </c>
    </row>
    <row r="7" ht="18" customHeight="1">
      <c r="B7" s="2" t="inlineStr">
        <is>
          <t>Solution:</t>
        </is>
      </c>
      <c r="C7" s="3" t="inlineStr">
        <is>
          <t>November 24, 2025</t>
        </is>
      </c>
    </row>
    <row r="8" ht="18" customHeight="1">
      <c r="B8" s="2" t="inlineStr">
        <is>
          <t>Customer:</t>
        </is>
      </c>
      <c r="C8" s="3" t="inlineStr">
        <is>
          <t>Safeid Authentication</t>
        </is>
      </c>
    </row>
    <row r="9" ht="18" customHeight="1">
      <c r="B9" s="2" t="inlineStr">
        <is>
          <t>Version:</t>
        </is>
      </c>
      <c r="C9" s="3" t="inlineStr">
        <is>
          <t>[Customer Name]</t>
        </is>
      </c>
    </row>
    <row r="10" ht="18" customHeight="1">
      <c r="B10" s="2" t="inlineStr">
        <is>
          <t>Status:</t>
        </is>
      </c>
      <c r="C10" s="4" t="inlineStr">
        <is>
          <t>Draft</t>
        </is>
      </c>
    </row>
    <row r="11" ht="40" customHeight="1"/>
    <row r="12" ht="30" customHeight="1">
      <c r="C12" s="5" t="inlineStr">
        <is>
          <t>eoframework.org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28" customWidth="1" min="3" max="3"/>
    <col width="28" customWidth="1" min="4" max="4"/>
    <col width="28" customWidth="1" min="5" max="5"/>
    <col width="51" customWidth="1" min="6" max="6"/>
  </cols>
  <sheetData>
    <row r="1" ht="32" customHeight="1">
      <c r="A1" s="35" t="inlineStr">
        <is>
          <t>Sizing Guidelines</t>
        </is>
      </c>
    </row>
    <row r="2" ht="32" customHeight="1">
      <c r="A2" s="36" t="inlineStr">
        <is>
          <t>Category</t>
        </is>
      </c>
      <c r="B2" s="36" t="inlineStr">
        <is>
          <t>Component</t>
        </is>
      </c>
      <c r="C2" s="36" t="inlineStr">
        <is>
          <t>Small (100 users)</t>
        </is>
      </c>
      <c r="D2" s="36" t="inlineStr">
        <is>
          <t>Medium (500 users)</t>
        </is>
      </c>
      <c r="E2" s="36" t="inlineStr">
        <is>
          <t>Large (1000 users)</t>
        </is>
      </c>
      <c r="F2" s="36" t="inlineStr">
        <is>
          <t>Notes</t>
        </is>
      </c>
    </row>
    <row r="3" ht="26" customHeight="1">
      <c r="A3" s="37" t="inlineStr">
        <is>
          <t>User Licenses</t>
        </is>
      </c>
      <c r="B3" s="38" t="inlineStr">
        <is>
          <t>Dell SafeID Enterprise</t>
        </is>
      </c>
      <c r="C3" s="39" t="inlineStr">
        <is>
          <t>100 users</t>
        </is>
      </c>
      <c r="D3" s="39" t="inlineStr">
        <is>
          <t>500 users</t>
        </is>
      </c>
      <c r="E3" s="39" t="inlineStr">
        <is>
          <t>1000 users</t>
        </is>
      </c>
      <c r="F3" s="38" t="inlineStr">
        <is>
          <t>Per-user annual subscription licensing</t>
        </is>
      </c>
    </row>
    <row r="4" ht="26" customHeight="1">
      <c r="A4" s="40" t="inlineStr">
        <is>
          <t>Hardware Tokens</t>
        </is>
      </c>
      <c r="B4" s="41" t="inlineStr">
        <is>
          <t>YubiKey 5 NFC</t>
        </is>
      </c>
      <c r="C4" s="42" t="inlineStr">
        <is>
          <t>100 tokens</t>
        </is>
      </c>
      <c r="D4" s="42" t="inlineStr">
        <is>
          <t>500 tokens</t>
        </is>
      </c>
      <c r="E4" s="42" t="inlineStr">
        <is>
          <t>1000 tokens</t>
        </is>
      </c>
      <c r="F4" s="41" t="inlineStr">
        <is>
          <t>USB-A and NFC hardware authenticator</t>
        </is>
      </c>
    </row>
    <row r="5" ht="26" customHeight="1">
      <c r="A5" s="37" t="inlineStr">
        <is>
          <t>Smart Card Readers</t>
        </is>
      </c>
      <c r="B5" s="38" t="inlineStr">
        <is>
          <t>USB Smart Card Readers</t>
        </is>
      </c>
      <c r="C5" s="39" t="inlineStr">
        <is>
          <t>100 readers</t>
        </is>
      </c>
      <c r="D5" s="39" t="inlineStr">
        <is>
          <t>500 readers</t>
        </is>
      </c>
      <c r="E5" s="39" t="inlineStr">
        <is>
          <t>1000 readers</t>
        </is>
      </c>
      <c r="F5" s="38" t="inlineStr">
        <is>
          <t>For CAC/PIV smart card authentication (optional)</t>
        </is>
      </c>
    </row>
    <row r="6" ht="26" customHeight="1">
      <c r="A6" s="40" t="inlineStr">
        <is>
          <t>MFA Servers</t>
        </is>
      </c>
      <c r="B6" s="41" t="inlineStr">
        <is>
          <t>Dell SafeID Authentication Servers</t>
        </is>
      </c>
      <c r="C6" s="42" t="inlineStr">
        <is>
          <t>2 servers (HA pair)</t>
        </is>
      </c>
      <c r="D6" s="42" t="inlineStr">
        <is>
          <t>2 servers (HA pair)</t>
        </is>
      </c>
      <c r="E6" s="42" t="inlineStr">
        <is>
          <t>4 servers (HA pair per site)</t>
        </is>
      </c>
      <c r="F6" s="41" t="inlineStr">
        <is>
          <t>Virtual or physical appliances for redundancy</t>
        </is>
      </c>
    </row>
    <row r="7" ht="26" customHeight="1">
      <c r="A7" s="37" t="inlineStr">
        <is>
          <t>Integration Connectors</t>
        </is>
      </c>
      <c r="B7" s="38" t="inlineStr">
        <is>
          <t>Active Directory Connector</t>
        </is>
      </c>
      <c r="C7" s="39" t="inlineStr">
        <is>
          <t>1 connector</t>
        </is>
      </c>
      <c r="D7" s="39" t="inlineStr">
        <is>
          <t>2 connectors</t>
        </is>
      </c>
      <c r="E7" s="39" t="inlineStr">
        <is>
          <t>4 connectors</t>
        </is>
      </c>
      <c r="F7" s="38" t="inlineStr">
        <is>
          <t>AD integration and LDAP authentication</t>
        </is>
      </c>
    </row>
    <row r="8" ht="26" customHeight="1">
      <c r="A8" s="40" t="inlineStr">
        <is>
          <t>Support Tier</t>
        </is>
      </c>
      <c r="B8" s="41" t="inlineStr">
        <is>
          <t>Enterprise Support 20% of licenses</t>
        </is>
      </c>
      <c r="C8" s="42" t="inlineStr">
        <is>
          <t>Included</t>
        </is>
      </c>
      <c r="D8" s="42" t="inlineStr">
        <is>
          <t>Included</t>
        </is>
      </c>
      <c r="E8" s="42" t="inlineStr">
        <is>
          <t>Included</t>
        </is>
      </c>
      <c r="F8" s="41" t="inlineStr">
        <is>
          <t>Annual support and software updates</t>
        </is>
      </c>
    </row>
  </sheetData>
  <autoFilter ref="A2:F8"/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" customWidth="1" min="1" max="1"/>
    <col width="30" customWidth="1" min="2" max="2"/>
    <col width="50" customWidth="1" min="3" max="3"/>
    <col width="12" customWidth="1" min="4" max="4"/>
    <col width="16" customWidth="1" min="5" max="5"/>
    <col width="12" customWidth="1" min="6" max="6"/>
    <col width="15" customWidth="1" min="7" max="7"/>
    <col width="12" customWidth="1" min="8" max="8"/>
    <col width="12" customWidth="1" min="9" max="9"/>
    <col width="15" customWidth="1" min="10" max="10"/>
    <col width="30" customWidth="1" min="11" max="11"/>
  </cols>
  <sheetData>
    <row r="1" ht="32" customHeight="1">
      <c r="A1" s="35" t="inlineStr">
        <is>
          <t>Infrastructure Costs</t>
        </is>
      </c>
    </row>
    <row r="2" ht="32" customHeight="1">
      <c r="A2" s="36" t="inlineStr">
        <is>
          <t>Category</t>
        </is>
      </c>
      <c r="B2" s="36" t="inlineStr">
        <is>
          <t>Component</t>
        </is>
      </c>
      <c r="C2" s="36" t="inlineStr">
        <is>
          <t>Description</t>
        </is>
      </c>
      <c r="D2" s="36" t="inlineStr">
        <is>
          <t>Quantity</t>
        </is>
      </c>
      <c r="E2" s="36" t="inlineStr">
        <is>
          <t>Unit</t>
        </is>
      </c>
      <c r="F2" s="36" t="inlineStr">
        <is>
          <t>Unit Price</t>
        </is>
      </c>
      <c r="G2" s="36" t="inlineStr">
        <is>
          <t>Annual Cost</t>
        </is>
      </c>
      <c r="H2" s="36" t="inlineStr">
        <is>
          <t>Year 2</t>
        </is>
      </c>
      <c r="I2" s="36" t="inlineStr">
        <is>
          <t>Year 3</t>
        </is>
      </c>
      <c r="J2" s="36" t="inlineStr">
        <is>
          <t>3-Year Total</t>
        </is>
      </c>
      <c r="K2" s="36" t="inlineStr">
        <is>
          <t>Notes</t>
        </is>
      </c>
    </row>
    <row r="3" ht="26" customHeight="1">
      <c r="A3" s="43" t="inlineStr">
        <is>
          <t>Software Licenses</t>
        </is>
      </c>
      <c r="B3" s="44" t="inlineStr">
        <is>
          <t>Dell SafeID Enterprise Licenses</t>
        </is>
      </c>
      <c r="C3" s="44" t="inlineStr">
        <is>
          <t>Per-user annual subscription for MFA authentication</t>
        </is>
      </c>
      <c r="D3" s="45" t="n">
        <v>500</v>
      </c>
      <c r="E3" s="44" t="inlineStr">
        <is>
          <t>Users/Annual</t>
        </is>
      </c>
      <c r="F3" s="46" t="n">
        <v>120</v>
      </c>
      <c r="G3" s="46" t="n">
        <v>60000</v>
      </c>
      <c r="H3" s="46" t="n">
        <v>60000</v>
      </c>
      <c r="I3" s="46" t="n">
        <v>60000</v>
      </c>
      <c r="J3" s="46" t="n">
        <v>180000</v>
      </c>
      <c r="K3" s="44" t="inlineStr">
        <is>
          <t>Annual recurring subscription</t>
        </is>
      </c>
    </row>
    <row r="4" ht="26" customHeight="1">
      <c r="A4" s="47" t="inlineStr">
        <is>
          <t>Hardware</t>
        </is>
      </c>
      <c r="B4" s="48" t="inlineStr">
        <is>
          <t>YubiKey 5 NFC Tokens</t>
        </is>
      </c>
      <c r="C4" s="48" t="inlineStr">
        <is>
          <t>FIDO2 and OTP hardware authenticator with USB-A and NFC</t>
        </is>
      </c>
      <c r="D4" s="49" t="n">
        <v>500</v>
      </c>
      <c r="E4" s="48" t="inlineStr">
        <is>
          <t>Tokens</t>
        </is>
      </c>
      <c r="F4" s="50" t="n">
        <v>50</v>
      </c>
      <c r="G4" s="50" t="n">
        <v>25000</v>
      </c>
      <c r="H4" s="50" t="n">
        <v>0</v>
      </c>
      <c r="I4" s="50" t="n">
        <v>0</v>
      </c>
      <c r="J4" s="50" t="n">
        <v>25000</v>
      </c>
      <c r="K4" s="48" t="inlineStr">
        <is>
          <t>One-time hardware purchase</t>
        </is>
      </c>
    </row>
    <row r="5" ht="26" customHeight="1">
      <c r="A5" s="43" t="inlineStr">
        <is>
          <t>Hardware</t>
        </is>
      </c>
      <c r="B5" s="44" t="inlineStr">
        <is>
          <t>USB Smart Card Readers</t>
        </is>
      </c>
      <c r="C5" s="44" t="inlineStr">
        <is>
          <t>USB readers for CAC/PIV smart card authentication</t>
        </is>
      </c>
      <c r="D5" s="45" t="n">
        <v>500</v>
      </c>
      <c r="E5" s="44" t="inlineStr">
        <is>
          <t>Readers</t>
        </is>
      </c>
      <c r="F5" s="46" t="n">
        <v>25</v>
      </c>
      <c r="G5" s="46" t="n">
        <v>12500</v>
      </c>
      <c r="H5" s="46" t="n">
        <v>0</v>
      </c>
      <c r="I5" s="46" t="n">
        <v>0</v>
      </c>
      <c r="J5" s="46" t="n">
        <v>12500</v>
      </c>
      <c r="K5" s="44" t="inlineStr">
        <is>
          <t>One-time purchase (optional for DoD)</t>
        </is>
      </c>
    </row>
    <row r="6" ht="26" customHeight="1">
      <c r="A6" s="47" t="inlineStr">
        <is>
          <t>Hardware</t>
        </is>
      </c>
      <c r="B6" s="48" t="inlineStr">
        <is>
          <t>Dell SafeID Authentication Server</t>
        </is>
      </c>
      <c r="C6" s="48" t="inlineStr">
        <is>
          <t>Virtual appliance for authentication services (HA pair)</t>
        </is>
      </c>
      <c r="D6" s="49" t="n">
        <v>2</v>
      </c>
      <c r="E6" s="48" t="inlineStr">
        <is>
          <t>Servers</t>
        </is>
      </c>
      <c r="F6" s="50" t="n">
        <v>7500</v>
      </c>
      <c r="G6" s="50" t="n">
        <v>15000</v>
      </c>
      <c r="H6" s="50" t="n">
        <v>0</v>
      </c>
      <c r="I6" s="50" t="n">
        <v>0</v>
      </c>
      <c r="J6" s="50" t="n">
        <v>15000</v>
      </c>
      <c r="K6" s="48" t="inlineStr">
        <is>
          <t>Redundant authentication infrastructure</t>
        </is>
      </c>
    </row>
    <row r="7" ht="26" customHeight="1">
      <c r="A7" s="43" t="inlineStr">
        <is>
          <t>Software Licenses</t>
        </is>
      </c>
      <c r="B7" s="44" t="inlineStr">
        <is>
          <t>Active Directory Connector</t>
        </is>
      </c>
      <c r="C7" s="44" t="inlineStr">
        <is>
          <t>LDAP and AD integration connector for on-prem identity</t>
        </is>
      </c>
      <c r="D7" s="45" t="n">
        <v>1</v>
      </c>
      <c r="E7" s="44" t="inlineStr">
        <is>
          <t>Connector</t>
        </is>
      </c>
      <c r="F7" s="46" t="n">
        <v>15000</v>
      </c>
      <c r="G7" s="46" t="n">
        <v>15000</v>
      </c>
      <c r="H7" s="46" t="n">
        <v>0</v>
      </c>
      <c r="I7" s="46" t="n">
        <v>0</v>
      </c>
      <c r="J7" s="46" t="n">
        <v>15000</v>
      </c>
      <c r="K7" s="44" t="inlineStr">
        <is>
          <t>One-time integration service</t>
        </is>
      </c>
    </row>
    <row r="8" ht="26" customHeight="1">
      <c r="A8" s="47" t="inlineStr">
        <is>
          <t>Software Licenses</t>
        </is>
      </c>
      <c r="B8" s="48" t="inlineStr">
        <is>
          <t>VPN RADIUS Integration</t>
        </is>
      </c>
      <c r="C8" s="48" t="inlineStr">
        <is>
          <t>RADIUS integration for VPN MFA (Cisco Palo Alto Fortinet)</t>
        </is>
      </c>
      <c r="D8" s="49" t="n">
        <v>1</v>
      </c>
      <c r="E8" s="48" t="inlineStr">
        <is>
          <t>Integration</t>
        </is>
      </c>
      <c r="F8" s="50" t="n">
        <v>5000</v>
      </c>
      <c r="G8" s="50" t="n">
        <v>5000</v>
      </c>
      <c r="H8" s="50" t="n">
        <v>0</v>
      </c>
      <c r="I8" s="50" t="n">
        <v>0</v>
      </c>
      <c r="J8" s="50" t="n">
        <v>5000</v>
      </c>
      <c r="K8" s="48" t="inlineStr">
        <is>
          <t>VPN MFA configuration</t>
        </is>
      </c>
    </row>
    <row r="9" ht="26" customHeight="1">
      <c r="A9" s="43" t="inlineStr">
        <is>
          <t>Software Licenses</t>
        </is>
      </c>
      <c r="B9" s="44" t="inlineStr">
        <is>
          <t>Cloud SSO Integration</t>
        </is>
      </c>
      <c r="C9" s="44" t="inlineStr">
        <is>
          <t>SAML/OIDC integration for cloud applications (O365 AWS Salesforce)</t>
        </is>
      </c>
      <c r="D9" s="45" t="n">
        <v>5</v>
      </c>
      <c r="E9" s="44" t="inlineStr">
        <is>
          <t>Applications</t>
        </is>
      </c>
      <c r="F9" s="46" t="n">
        <v>2000</v>
      </c>
      <c r="G9" s="46" t="n">
        <v>10000</v>
      </c>
      <c r="H9" s="46" t="n">
        <v>0</v>
      </c>
      <c r="I9" s="46" t="n">
        <v>0</v>
      </c>
      <c r="J9" s="46" t="n">
        <v>10000</v>
      </c>
      <c r="K9" s="44" t="inlineStr">
        <is>
          <t>SaaS application SSO setup</t>
        </is>
      </c>
    </row>
    <row r="10" ht="26" customHeight="1">
      <c r="A10" s="47" t="inlineStr">
        <is>
          <t>Support &amp; Maintenance</t>
        </is>
      </c>
      <c r="B10" s="48" t="inlineStr">
        <is>
          <t>Dell SafeID Annual Support</t>
        </is>
      </c>
      <c r="C10" s="48" t="inlineStr">
        <is>
          <t>Annual support at 20% of software license cost</t>
        </is>
      </c>
      <c r="D10" s="49" t="n">
        <v>1</v>
      </c>
      <c r="E10" s="48" t="inlineStr">
        <is>
          <t>Support Contract</t>
        </is>
      </c>
      <c r="F10" s="50" t="n">
        <v>12000</v>
      </c>
      <c r="G10" s="50" t="n">
        <v>12000</v>
      </c>
      <c r="H10" s="50" t="n">
        <v>12000</v>
      </c>
      <c r="I10" s="50" t="n">
        <v>12000</v>
      </c>
      <c r="J10" s="50" t="n">
        <v>36000</v>
      </c>
      <c r="K10" s="48" t="inlineStr">
        <is>
          <t>Software updates and technical support</t>
        </is>
      </c>
    </row>
    <row r="11" ht="26" customHeight="1">
      <c r="A11" s="43" t="inlineStr">
        <is>
          <t>Support &amp; Maintenance</t>
        </is>
      </c>
      <c r="B11" s="44" t="inlineStr">
        <is>
          <t>YubiKey Replacement Reserve</t>
        </is>
      </c>
      <c r="C11" s="44" t="inlineStr">
        <is>
          <t>5% annual replacement for lost or damaged tokens</t>
        </is>
      </c>
      <c r="D11" s="45" t="n">
        <v>25</v>
      </c>
      <c r="E11" s="44" t="inlineStr">
        <is>
          <t>Tokens/Annual</t>
        </is>
      </c>
      <c r="F11" s="46" t="n">
        <v>50</v>
      </c>
      <c r="G11" s="46" t="n">
        <v>1250</v>
      </c>
      <c r="H11" s="46" t="n">
        <v>1250</v>
      </c>
      <c r="I11" s="46" t="n">
        <v>1250</v>
      </c>
      <c r="J11" s="46" t="n">
        <v>3750</v>
      </c>
      <c r="K11" s="44" t="inlineStr">
        <is>
          <t>Replacement token budget</t>
        </is>
      </c>
    </row>
    <row r="12" ht="26" customHeight="1">
      <c r="A12" s="51" t="inlineStr">
        <is>
          <t>TOTAL</t>
        </is>
      </c>
      <c r="B12" s="52" t="n"/>
      <c r="C12" s="52" t="n"/>
      <c r="D12" s="52" t="n"/>
      <c r="E12" s="52" t="n"/>
      <c r="F12" s="52" t="n"/>
      <c r="G12" s="53">
        <f>SUM(G3:G11)</f>
        <v/>
      </c>
      <c r="H12" s="53">
        <f>SUM(H3:H11)</f>
        <v/>
      </c>
      <c r="I12" s="53">
        <f>SUM(I3:I11)</f>
        <v/>
      </c>
      <c r="J12" s="53">
        <f>SUM(J3:J11)</f>
        <v/>
      </c>
      <c r="K12" s="52" t="n"/>
    </row>
  </sheetData>
  <autoFilter ref="A2:K12"/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50" customWidth="1" min="4" max="4"/>
  </cols>
  <sheetData>
    <row r="1" ht="32" customHeight="1">
      <c r="A1" s="35" t="inlineStr">
        <is>
          <t>Credits</t>
        </is>
      </c>
    </row>
    <row r="2" ht="32" customHeight="1">
      <c r="A2" s="36" t="inlineStr">
        <is>
          <t>Category</t>
        </is>
      </c>
      <c r="B2" s="36" t="inlineStr">
        <is>
          <t>Credit Type</t>
        </is>
      </c>
      <c r="C2" s="36" t="inlineStr">
        <is>
          <t>Credit Amount</t>
        </is>
      </c>
      <c r="D2" s="36" t="inlineStr">
        <is>
          <t>Credit Comments</t>
        </is>
      </c>
    </row>
    <row r="3" ht="26" customHeight="1">
      <c r="A3" s="43" t="inlineStr">
        <is>
          <t>Operational Savings</t>
        </is>
      </c>
      <c r="B3" s="44" t="inlineStr">
        <is>
          <t>Password Reset Ticket Reduction</t>
        </is>
      </c>
      <c r="C3" s="46" t="n">
        <v>-25000</v>
      </c>
      <c r="D3" s="44" t="inlineStr">
        <is>
          <t>Annual savings from 40% reduction in password reset help desk tickets ($62.5K baseline)</t>
        </is>
      </c>
    </row>
    <row r="4" ht="26" customHeight="1">
      <c r="A4" s="47" t="inlineStr">
        <is>
          <t>Risk Mitigation</t>
        </is>
      </c>
      <c r="B4" s="48" t="inlineStr">
        <is>
          <t>Breach Prevention Value</t>
        </is>
      </c>
      <c r="C4" s="50" t="n">
        <v>-4450000</v>
      </c>
      <c r="D4" s="48" t="inlineStr">
        <is>
          <t>Avoided cost of credential-based data breach ($4.45M industry average per IBM 2023 report)</t>
        </is>
      </c>
    </row>
    <row r="5" ht="26" customHeight="1">
      <c r="A5" s="43" t="inlineStr">
        <is>
          <t>Compliance Enablement</t>
        </is>
      </c>
      <c r="B5" s="44" t="inlineStr">
        <is>
          <t>DoD Contract Revenue Enabled</t>
        </is>
      </c>
      <c r="C5" s="46" t="n">
        <v>2000000</v>
      </c>
      <c r="D5" s="44" t="inlineStr">
        <is>
          <t>MFA enables CMMC Level 2 certification required for $2M annual DoD contract opportunity</t>
        </is>
      </c>
    </row>
  </sheetData>
  <autoFilter ref="A2:D5"/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2" customWidth="1" min="5" max="5"/>
    <col width="12" customWidth="1" min="6" max="6"/>
    <col width="15" customWidth="1" min="7" max="7"/>
  </cols>
  <sheetData>
    <row r="1" ht="32" customHeight="1">
      <c r="A1" s="35" t="inlineStr">
        <is>
          <t>3-Year Summary</t>
        </is>
      </c>
    </row>
    <row r="2" ht="32" customHeight="1">
      <c r="A2" s="36" t="inlineStr">
        <is>
          <t>Category</t>
        </is>
      </c>
      <c r="B2" s="36" t="inlineStr">
        <is>
          <t>Year 1 List</t>
        </is>
      </c>
      <c r="C2" s="36" t="inlineStr">
        <is>
          <t>Year 1 Credits</t>
        </is>
      </c>
      <c r="D2" s="36" t="inlineStr">
        <is>
          <t>Year 1 Net</t>
        </is>
      </c>
      <c r="E2" s="36" t="inlineStr">
        <is>
          <t>Year 2</t>
        </is>
      </c>
      <c r="F2" s="36" t="inlineStr">
        <is>
          <t>Year 3</t>
        </is>
      </c>
      <c r="G2" s="36" t="inlineStr">
        <is>
          <t>3-Year Total</t>
        </is>
      </c>
    </row>
    <row r="3" ht="26" customHeight="1">
      <c r="A3" s="43" t="inlineStr">
        <is>
          <t>Software Licenses</t>
        </is>
      </c>
      <c r="B3" s="46">
        <f>SUMIF('Infrastructure Costs'!$A:$A,A3,'Infrastructure Costs'!$G:$G)</f>
        <v/>
      </c>
      <c r="C3" s="46">
        <f>SUMIF(Credits!$A:$A,A3,Credits!$C:$C)</f>
        <v/>
      </c>
      <c r="D3" s="46">
        <f>B3+C3</f>
        <v/>
      </c>
      <c r="E3" s="46">
        <f>SUMIF('Infrastructure Costs'!$A:$A,A3,'Infrastructure Costs'!$H:$H)</f>
        <v/>
      </c>
      <c r="F3" s="46">
        <f>SUMIF('Infrastructure Costs'!$A:$A,A3,'Infrastructure Costs'!$I:$I)</f>
        <v/>
      </c>
      <c r="G3" s="46">
        <f>D3+E3+F3</f>
        <v/>
      </c>
    </row>
    <row r="4" ht="26" customHeight="1">
      <c r="A4" s="47" t="inlineStr">
        <is>
          <t>Hardware</t>
        </is>
      </c>
      <c r="B4" s="50">
        <f>SUMIF('Infrastructure Costs'!$A:$A,A4,'Infrastructure Costs'!$G:$G)</f>
        <v/>
      </c>
      <c r="C4" s="50">
        <f>SUMIF(Credits!$A:$A,A4,Credits!$C:$C)</f>
        <v/>
      </c>
      <c r="D4" s="50">
        <f>B4+C4</f>
        <v/>
      </c>
      <c r="E4" s="50">
        <f>SUMIF('Infrastructure Costs'!$A:$A,A4,'Infrastructure Costs'!$H:$H)</f>
        <v/>
      </c>
      <c r="F4" s="50">
        <f>SUMIF('Infrastructure Costs'!$A:$A,A4,'Infrastructure Costs'!$I:$I)</f>
        <v/>
      </c>
      <c r="G4" s="50">
        <f>D4+E4+F4</f>
        <v/>
      </c>
    </row>
    <row r="5" ht="26" customHeight="1">
      <c r="A5" s="43" t="inlineStr">
        <is>
          <t>Support &amp; Maintenance</t>
        </is>
      </c>
      <c r="B5" s="46">
        <f>SUMIF('Infrastructure Costs'!$A:$A,A5,'Infrastructure Costs'!$G:$G)</f>
        <v/>
      </c>
      <c r="C5" s="46">
        <f>SUMIF(Credits!$A:$A,A5,Credits!$C:$C)</f>
        <v/>
      </c>
      <c r="D5" s="46">
        <f>B5+C5</f>
        <v/>
      </c>
      <c r="E5" s="46">
        <f>SUMIF('Infrastructure Costs'!$A:$A,A5,'Infrastructure Costs'!$H:$H)</f>
        <v/>
      </c>
      <c r="F5" s="46">
        <f>SUMIF('Infrastructure Costs'!$A:$A,A5,'Infrastructure Costs'!$I:$I)</f>
        <v/>
      </c>
      <c r="G5" s="46">
        <f>D5+E5+F5</f>
        <v/>
      </c>
    </row>
    <row r="6" ht="26" customHeight="1">
      <c r="A6" s="47" t="inlineStr">
        <is>
          <t>Risk Mitigation</t>
        </is>
      </c>
      <c r="B6" s="50">
        <f>SUMIF('Infrastructure Costs'!$A:$A,A6,'Infrastructure Costs'!$G:$G)</f>
        <v/>
      </c>
      <c r="C6" s="50">
        <f>SUMIF(Credits!$A:$A,A6,Credits!$C:$C)</f>
        <v/>
      </c>
      <c r="D6" s="50">
        <f>B6+C6</f>
        <v/>
      </c>
      <c r="E6" s="50">
        <f>SUMIF('Infrastructure Costs'!$A:$A,A6,'Infrastructure Costs'!$H:$H)</f>
        <v/>
      </c>
      <c r="F6" s="50">
        <f>SUMIF('Infrastructure Costs'!$A:$A,A6,'Infrastructure Costs'!$I:$I)</f>
        <v/>
      </c>
      <c r="G6" s="50">
        <f>D6+E6+F6</f>
        <v/>
      </c>
    </row>
    <row r="7" ht="26" customHeight="1">
      <c r="A7" s="51" t="inlineStr">
        <is>
          <t>Operational Savings</t>
        </is>
      </c>
      <c r="B7" s="53">
        <f>SUMIF('Infrastructure Costs'!$A:$A,A7,'Infrastructure Costs'!$G:$G)</f>
        <v/>
      </c>
      <c r="C7" s="53">
        <f>SUMIF(Credits!$A:$A,A7,Credits!$C:$C)</f>
        <v/>
      </c>
      <c r="D7" s="53">
        <f>B7+C7</f>
        <v/>
      </c>
      <c r="E7" s="53">
        <f>SUMIF('Infrastructure Costs'!$A:$A,A7,'Infrastructure Costs'!$H:$H)</f>
        <v/>
      </c>
      <c r="F7" s="53">
        <f>SUMIF('Infrastructure Costs'!$A:$A,A7,'Infrastructure Costs'!$I:$I)</f>
        <v/>
      </c>
      <c r="G7" s="53">
        <f>D7+E7+F7</f>
        <v/>
      </c>
    </row>
    <row r="8" ht="26" customHeight="1">
      <c r="A8" s="47" t="inlineStr">
        <is>
          <t>Compliance Enablement</t>
        </is>
      </c>
      <c r="B8" s="50">
        <f>SUMIF('Infrastructure Costs'!$A:$A,A8,'Infrastructure Costs'!$G:$G)</f>
        <v/>
      </c>
      <c r="C8" s="50">
        <f>SUMIF(Credits!$A:$A,A8,Credits!$C:$C)</f>
        <v/>
      </c>
      <c r="D8" s="50">
        <f>B8+C8</f>
        <v/>
      </c>
      <c r="E8" s="50">
        <f>SUMIF('Infrastructure Costs'!$A:$A,A8,'Infrastructure Costs'!$H:$H)</f>
        <v/>
      </c>
      <c r="F8" s="50">
        <f>SUMIF('Infrastructure Costs'!$A:$A,A8,'Infrastructure Costs'!$I:$I)</f>
        <v/>
      </c>
      <c r="G8" s="50">
        <f>D8+E8+F8</f>
        <v/>
      </c>
    </row>
    <row r="9" ht="26" customHeight="1">
      <c r="A9" s="43" t="inlineStr">
        <is>
          <t>TOTAL</t>
        </is>
      </c>
      <c r="B9" s="46">
        <f>SUM(B3:B8)</f>
        <v/>
      </c>
      <c r="C9" s="46">
        <f>SUM(C3:C8)</f>
        <v/>
      </c>
      <c r="D9" s="46">
        <f>SUM(D3:D8)</f>
        <v/>
      </c>
      <c r="E9" s="46">
        <f>SUM(E3:E8)</f>
        <v/>
      </c>
      <c r="F9" s="46">
        <f>SUM(F3:F8)</f>
        <v/>
      </c>
      <c r="G9" s="46">
        <f>SUM(G3:G8)</f>
        <v/>
      </c>
    </row>
    <row r="10"/>
  </sheetData>
  <autoFilter ref="A2:G9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2025-11-26T16:03:58Z</dcterms:modified>
  <cp:lastModifiedBy>Kishan Siram</cp:lastModifiedBy>
</cp:coreProperties>
</file>