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'LOE'!$A$2:$K$32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Cyber-Security - Safeid Authentication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Users</t>
        </is>
      </c>
      <c r="C3" s="39" t="inlineStr">
        <is>
          <t>500 users with MFA tokens</t>
        </is>
      </c>
      <c r="D3" s="38" t="inlineStr">
        <is>
          <t>100-250 users</t>
        </is>
      </c>
      <c r="E3" s="38" t="inlineStr">
        <is>
          <t>500 users</t>
        </is>
      </c>
      <c r="F3" s="38" t="inlineStr">
        <is>
          <t>1000+ users</t>
        </is>
      </c>
      <c r="G3" s="38" t="inlineStr">
        <is>
          <t>User base and token quantity</t>
        </is>
      </c>
    </row>
    <row r="4" ht="26" customHeight="1">
      <c r="A4" s="40" t="inlineStr">
        <is>
          <t>Solution Scope</t>
        </is>
      </c>
      <c r="B4" s="41" t="inlineStr">
        <is>
          <t>YubiKey Tokens</t>
        </is>
      </c>
      <c r="C4" s="39" t="inlineStr">
        <is>
          <t>YubiKey 5 NFC hardware tokens</t>
        </is>
      </c>
      <c r="D4" s="41" t="inlineStr">
        <is>
          <t>YubiKey 5 USB-A</t>
        </is>
      </c>
      <c r="E4" s="41" t="inlineStr">
        <is>
          <t>YubiKey 5 NFC</t>
        </is>
      </c>
      <c r="F4" s="41" t="inlineStr">
        <is>
          <t>YubiKey Bio (biometric)</t>
        </is>
      </c>
      <c r="G4" s="41" t="inlineStr">
        <is>
          <t>Token type and features</t>
        </is>
      </c>
    </row>
    <row r="5" ht="26" customHeight="1">
      <c r="A5" s="37" t="inlineStr">
        <is>
          <t>Integration</t>
        </is>
      </c>
      <c r="B5" s="38" t="inlineStr">
        <is>
          <t>VPN Integration</t>
        </is>
      </c>
      <c r="C5" s="39" t="inlineStr">
        <is>
          <t>Cisco AnyConnect RADIUS MFA</t>
        </is>
      </c>
      <c r="D5" s="38" t="inlineStr">
        <is>
          <t>No VPN</t>
        </is>
      </c>
      <c r="E5" s="38" t="inlineStr">
        <is>
          <t>Single VPN platform</t>
        </is>
      </c>
      <c r="F5" s="38" t="inlineStr">
        <is>
          <t>Multi-vendor VPN</t>
        </is>
      </c>
      <c r="G5" s="38" t="inlineStr">
        <is>
          <t>VPN authentication complexity</t>
        </is>
      </c>
    </row>
    <row r="6" ht="26" customHeight="1">
      <c r="A6" s="40" t="inlineStr">
        <is>
          <t>Integration</t>
        </is>
      </c>
      <c r="B6" s="41" t="inlineStr">
        <is>
          <t>Cloud SSO</t>
        </is>
      </c>
      <c r="C6" s="39" t="inlineStr">
        <is>
          <t>Microsoft 365 and AWS SAML SSO</t>
        </is>
      </c>
      <c r="D6" s="41" t="inlineStr">
        <is>
          <t>No cloud SSO</t>
        </is>
      </c>
      <c r="E6" s="41" t="inlineStr">
        <is>
          <t>1-3 cloud apps</t>
        </is>
      </c>
      <c r="F6" s="41" t="inlineStr">
        <is>
          <t>5+ cloud apps</t>
        </is>
      </c>
      <c r="G6" s="41" t="inlineStr">
        <is>
          <t>Cloud application SSO scope</t>
        </is>
      </c>
    </row>
    <row r="7" ht="26" customHeight="1">
      <c r="A7" s="37" t="inlineStr">
        <is>
          <t>User Base</t>
        </is>
      </c>
      <c r="B7" s="38" t="inlineStr">
        <is>
          <t>User Distribution</t>
        </is>
      </c>
      <c r="C7" s="39" t="inlineStr">
        <is>
          <t>80% on-site 20% remote</t>
        </is>
      </c>
      <c r="D7" s="38" t="inlineStr">
        <is>
          <t>100% on-site</t>
        </is>
      </c>
      <c r="E7" s="38" t="inlineStr">
        <is>
          <t>Hybrid workforce</t>
        </is>
      </c>
      <c r="F7" s="38" t="inlineStr">
        <is>
          <t>100% remote</t>
        </is>
      </c>
      <c r="G7" s="38" t="inlineStr">
        <is>
          <t>Token shipping and enrollment logistics</t>
        </is>
      </c>
    </row>
    <row r="8" ht="26" customHeight="1">
      <c r="A8" s="40" t="inlineStr">
        <is>
          <t>User Base</t>
        </is>
      </c>
      <c r="B8" s="41" t="inlineStr">
        <is>
          <t>Compliance Requirement</t>
        </is>
      </c>
      <c r="C8" s="39" t="inlineStr">
        <is>
          <t>CMMC Level 2 certification</t>
        </is>
      </c>
      <c r="D8" s="41" t="inlineStr">
        <is>
          <t>No compliance</t>
        </is>
      </c>
      <c r="E8" s="41" t="inlineStr">
        <is>
          <t>CMMC or NIST 800-63</t>
        </is>
      </c>
      <c r="F8" s="41" t="inlineStr">
        <is>
          <t>Multiple standards</t>
        </is>
      </c>
      <c r="G8" s="41" t="inlineStr">
        <is>
          <t>Compliance-driven phishing resistance</t>
        </is>
      </c>
    </row>
    <row r="9" ht="26" customHeight="1">
      <c r="A9" s="37" t="inlineStr">
        <is>
          <t>Data Volume</t>
        </is>
      </c>
      <c r="B9" s="38" t="inlineStr">
        <is>
          <t>Authentication Volume</t>
        </is>
      </c>
      <c r="C9" s="39" t="inlineStr">
        <is>
          <t>10000 daily authentications</t>
        </is>
      </c>
      <c r="D9" s="38" t="inlineStr">
        <is>
          <t>Low volume</t>
        </is>
      </c>
      <c r="E9" s="38" t="inlineStr">
        <is>
          <t>Medium volume</t>
        </is>
      </c>
      <c r="F9" s="38" t="inlineStr">
        <is>
          <t>High volume</t>
        </is>
      </c>
      <c r="G9" s="38" t="inlineStr">
        <is>
          <t>Authentication platform capacity</t>
        </is>
      </c>
    </row>
    <row r="10" ht="26" customHeight="1">
      <c r="A10" s="40" t="inlineStr">
        <is>
          <t>Data Volume</t>
        </is>
      </c>
      <c r="B10" s="41" t="inlineStr">
        <is>
          <t>Audit Retention</t>
        </is>
      </c>
      <c r="C10" s="39" t="inlineStr">
        <is>
          <t>3 year audit log retention</t>
        </is>
      </c>
      <c r="D10" s="41" t="inlineStr">
        <is>
          <t>1 year</t>
        </is>
      </c>
      <c r="E10" s="41" t="inlineStr">
        <is>
          <t>3 years</t>
        </is>
      </c>
      <c r="F10" s="41" t="inlineStr">
        <is>
          <t>7 years</t>
        </is>
      </c>
      <c r="G10" s="41" t="inlineStr">
        <is>
          <t>Compliance and storage requirements</t>
        </is>
      </c>
    </row>
    <row r="11" ht="26" customHeight="1">
      <c r="A11" s="37" t="inlineStr">
        <is>
          <t>Technical Environment</t>
        </is>
      </c>
      <c r="B11" s="38" t="inlineStr">
        <is>
          <t>Authentication Platform</t>
        </is>
      </c>
      <c r="C11" s="39" t="inlineStr">
        <is>
          <t>Dell SafeID Enterprise</t>
        </is>
      </c>
      <c r="D11" s="38" t="inlineStr">
        <is>
          <t>SafeID Standard</t>
        </is>
      </c>
      <c r="E11" s="38" t="inlineStr">
        <is>
          <t>SafeID Enterprise</t>
        </is>
      </c>
      <c r="F11" s="38" t="inlineStr">
        <is>
          <t>HA clustered</t>
        </is>
      </c>
      <c r="G11" s="38" t="inlineStr">
        <is>
          <t>Platform tier and HA requirements</t>
        </is>
      </c>
    </row>
    <row r="12" ht="26" customHeight="1">
      <c r="A12" s="40" t="inlineStr">
        <is>
          <t>Technical Environment</t>
        </is>
      </c>
      <c r="B12" s="41" t="inlineStr">
        <is>
          <t>Identity Provider</t>
        </is>
      </c>
      <c r="C12" s="39" t="inlineStr">
        <is>
          <t>Active Directory integration</t>
        </is>
      </c>
      <c r="D12" s="41" t="inlineStr">
        <is>
          <t>Local accounts</t>
        </is>
      </c>
      <c r="E12" s="41" t="inlineStr">
        <is>
          <t>AD LDAP</t>
        </is>
      </c>
      <c r="F12" s="41" t="inlineStr">
        <is>
          <t>Azure AD hybrid</t>
        </is>
      </c>
      <c r="G12" s="41" t="inlineStr">
        <is>
          <t>Identity management complexity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Systems</t>
        </is>
      </c>
      <c r="C13" s="39" t="inlineStr">
        <is>
          <t>Windows 10 11 workstations</t>
        </is>
      </c>
      <c r="D13" s="38" t="inlineStr">
        <is>
          <t>Windows only</t>
        </is>
      </c>
      <c r="E13" s="38" t="inlineStr">
        <is>
          <t>Windows + Linux</t>
        </is>
      </c>
      <c r="F13" s="38" t="inlineStr">
        <is>
          <t>Windows Linux macOS</t>
        </is>
      </c>
      <c r="G13" s="38" t="inlineStr">
        <is>
          <t>Platform diversity and support</t>
        </is>
      </c>
    </row>
    <row r="14" ht="26" customHeight="1">
      <c r="A14" s="40" t="inlineStr">
        <is>
          <t>Security &amp; Compliance</t>
        </is>
      </c>
      <c r="B14" s="41" t="inlineStr">
        <is>
          <t>Phishing Resistance</t>
        </is>
      </c>
      <c r="C14" s="39" t="inlineStr">
        <is>
          <t>FIDO2 phishing-resistant MFA</t>
        </is>
      </c>
      <c r="D14" s="41" t="inlineStr">
        <is>
          <t>SMS TOTP (not resistant)</t>
        </is>
      </c>
      <c r="E14" s="41" t="inlineStr">
        <is>
          <t>FIDO2 WebAuthn</t>
        </is>
      </c>
      <c r="F14" s="41" t="inlineStr">
        <is>
          <t>FIDO2 + PIV smart card</t>
        </is>
      </c>
      <c r="G14" s="41" t="inlineStr">
        <is>
          <t>Compliance and security requirements</t>
        </is>
      </c>
    </row>
    <row r="15" ht="26" customHeight="1">
      <c r="A15" s="37" t="inlineStr">
        <is>
          <t>Security &amp; Compliance</t>
        </is>
      </c>
      <c r="B15" s="38" t="inlineStr">
        <is>
          <t>Privileged Access</t>
        </is>
      </c>
      <c r="C15" s="39" t="inlineStr">
        <is>
          <t>Separate admin YubiKeys</t>
        </is>
      </c>
      <c r="D15" s="38" t="inlineStr">
        <is>
          <t>Same tokens</t>
        </is>
      </c>
      <c r="E15" s="38" t="inlineStr">
        <is>
          <t>Separate admin tokens</t>
        </is>
      </c>
      <c r="F15" s="38" t="inlineStr">
        <is>
          <t>PAM integration</t>
        </is>
      </c>
      <c r="G15" s="38" t="inlineStr">
        <is>
          <t>Privileged account protection</t>
        </is>
      </c>
    </row>
    <row r="16" ht="26" customHeight="1">
      <c r="A16" s="40" t="inlineStr">
        <is>
          <t>Performance</t>
        </is>
      </c>
      <c r="B16" s="41" t="inlineStr">
        <is>
          <t>User Enrollment Time</t>
        </is>
      </c>
      <c r="C16" s="39" t="inlineStr">
        <is>
          <t>&lt;5 minute self-service enrollment</t>
        </is>
      </c>
      <c r="D16" s="41" t="inlineStr">
        <is>
          <t>IT-assisted (15 min)</t>
        </is>
      </c>
      <c r="E16" s="41" t="inlineStr">
        <is>
          <t>Self-service (5 min)</t>
        </is>
      </c>
      <c r="F16" s="41" t="inlineStr">
        <is>
          <t>Zero-touch pre-configured</t>
        </is>
      </c>
      <c r="G16" s="41" t="inlineStr">
        <is>
          <t>User onboarding efficiency</t>
        </is>
      </c>
    </row>
    <row r="17" ht="26" customHeight="1">
      <c r="A17" s="37" t="inlineStr">
        <is>
          <t>Performance</t>
        </is>
      </c>
      <c r="B17" s="38" t="inlineStr">
        <is>
          <t>Authentication Time</t>
        </is>
      </c>
      <c r="C17" s="39" t="inlineStr">
        <is>
          <t>&lt;2 second YubiKey tap authentication</t>
        </is>
      </c>
      <c r="D17" s="38" t="inlineStr">
        <is>
          <t>&lt;5 sec acceptable</t>
        </is>
      </c>
      <c r="E17" s="38" t="inlineStr">
        <is>
          <t>&lt;2 sec target</t>
        </is>
      </c>
      <c r="F17" s="38" t="inlineStr">
        <is>
          <t>&lt;1 sec passwordless</t>
        </is>
      </c>
      <c r="G17" s="38" t="inlineStr">
        <is>
          <t>User experience and productivity</t>
        </is>
      </c>
    </row>
    <row r="18" ht="26" customHeight="1">
      <c r="A18" s="40" t="inlineStr">
        <is>
          <t>Environment</t>
        </is>
      </c>
      <c r="B18" s="41" t="inlineStr">
        <is>
          <t>Deployment Approach</t>
        </is>
      </c>
      <c r="C18" s="39" t="inlineStr">
        <is>
          <t>Phased rollout by department</t>
        </is>
      </c>
      <c r="D18" s="41" t="inlineStr">
        <is>
          <t>Pilot only</t>
        </is>
      </c>
      <c r="E18" s="41" t="inlineStr">
        <is>
          <t>Phased (100 users/2 weeks)</t>
        </is>
      </c>
      <c r="F18" s="41" t="inlineStr">
        <is>
          <t>All at once</t>
        </is>
      </c>
      <c r="G18" s="41" t="inlineStr">
        <is>
          <t>Rollout risk and complexity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(User Assessment Compliance Review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(MFA Architecture YubiKey Selection Integration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(SafeID Deployment Token Distribution Integration)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(Pilot Testing Authentication Validation Failover)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(User Rollout Enforcement Production)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(User Training Help Desk Training)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(Compliance Documentation Knowledge Transfer)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User Assessment</t>
        </is>
      </c>
      <c r="C3" s="46" t="inlineStr">
        <is>
          <t>Assess user count authentication requirements and use cases</t>
        </is>
      </c>
      <c r="D3" s="46" t="inlineStr">
        <is>
          <t>EO Engineer</t>
        </is>
      </c>
      <c r="E3" s="47" t="n">
        <v>24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user segmentation and rollout planning</t>
        </is>
      </c>
    </row>
    <row r="4" ht="26" customHeight="1">
      <c r="A4" s="51" t="inlineStr">
        <is>
          <t>Discovery</t>
        </is>
      </c>
      <c r="B4" s="52" t="inlineStr">
        <is>
          <t>Compliance Review</t>
        </is>
      </c>
      <c r="C4" s="52" t="inlineStr">
        <is>
          <t>Review CMMC NIST 800-63 and phishing-resistance requirements</t>
        </is>
      </c>
      <c r="D4" s="52" t="inlineStr">
        <is>
          <t>EO Engineer</t>
        </is>
      </c>
      <c r="E4" s="53" t="n">
        <v>16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compliance documentation</t>
        </is>
      </c>
    </row>
    <row r="5" ht="26" customHeight="1">
      <c r="A5" s="45" t="inlineStr">
        <is>
          <t>Discovery</t>
        </is>
      </c>
      <c r="B5" s="46" t="inlineStr">
        <is>
          <t>Integration Analysis</t>
        </is>
      </c>
      <c r="C5" s="46" t="inlineStr">
        <is>
          <t>Analyze VPN cloud SSO and identity provider integrations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integration scope and complexity</t>
        </is>
      </c>
    </row>
    <row r="6" ht="26" customHeight="1">
      <c r="A6" s="51" t="inlineStr">
        <is>
          <t>Discovery</t>
        </is>
      </c>
      <c r="B6" s="52" t="inlineStr">
        <is>
          <t>Current State</t>
        </is>
      </c>
      <c r="C6" s="52" t="inlineStr">
        <is>
          <t>Document current authentication and password reset costs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150</v>
      </c>
      <c r="I6" s="55">
        <f>TEXT($G6*$H6,"$#,##0")</f>
        <v/>
      </c>
      <c r="J6" s="52" t="inlineStr"/>
      <c r="K6" s="52" t="inlineStr">
        <is>
          <t>Baseline for ROI calculation and cost savings</t>
        </is>
      </c>
    </row>
    <row r="7" ht="26" customHeight="1">
      <c r="A7" s="45" t="inlineStr">
        <is>
          <t>Planning</t>
        </is>
      </c>
      <c r="B7" s="46" t="inlineStr">
        <is>
          <t>MFA Architecture</t>
        </is>
      </c>
      <c r="C7" s="46" t="inlineStr">
        <is>
          <t>Design Dell SafeID architecture with HA and AD integration</t>
        </is>
      </c>
      <c r="D7" s="46" t="inlineStr">
        <is>
          <t>EO Engineer</t>
        </is>
      </c>
      <c r="E7" s="47" t="n">
        <v>32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User Assessment</t>
        </is>
      </c>
      <c r="K7" s="46" t="inlineStr">
        <is>
          <t>Deliverable: SafeID architecture with RADIUS and SSO design</t>
        </is>
      </c>
    </row>
    <row r="8" ht="26" customHeight="1">
      <c r="A8" s="51" t="inlineStr">
        <is>
          <t>Planning</t>
        </is>
      </c>
      <c r="B8" s="52" t="inlineStr">
        <is>
          <t>YubiKey Selection</t>
        </is>
      </c>
      <c r="C8" s="52" t="inlineStr">
        <is>
          <t>Select YubiKey model and quantity based on requirements</t>
        </is>
      </c>
      <c r="D8" s="52" t="inlineStr">
        <is>
          <t>EO Engineer</t>
        </is>
      </c>
      <c r="E8" s="53" t="n">
        <v>16</v>
      </c>
      <c r="F8" s="54">
        <f>'Estimate Settings'!$C$4</f>
        <v/>
      </c>
      <c r="G8" s="55">
        <f>$E8*$F8</f>
        <v/>
      </c>
      <c r="H8" s="56" t="n">
        <v>150</v>
      </c>
      <c r="I8" s="55">
        <f>TEXT($G8*$H8,"$#,##0")</f>
        <v/>
      </c>
      <c r="J8" s="52" t="inlineStr">
        <is>
          <t>Compliance Review</t>
        </is>
      </c>
      <c r="K8" s="52" t="inlineStr">
        <is>
          <t>YubiKey 5 NFC for FIDO2 and NFC mobile support</t>
        </is>
      </c>
    </row>
    <row r="9" ht="26" customHeight="1">
      <c r="A9" s="45" t="inlineStr">
        <is>
          <t>Planning</t>
        </is>
      </c>
      <c r="B9" s="46" t="inlineStr">
        <is>
          <t>Integration Design</t>
        </is>
      </c>
      <c r="C9" s="46" t="inlineStr">
        <is>
          <t>Design VPN RADIUS and cloud SSO integration architecture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Integration Analysis</t>
        </is>
      </c>
      <c r="K9" s="46" t="inlineStr">
        <is>
          <t>RADIUS for VPN SAML for cloud apps</t>
        </is>
      </c>
    </row>
    <row r="10" ht="26" customHeight="1">
      <c r="A10" s="51" t="inlineStr">
        <is>
          <t>Planning</t>
        </is>
      </c>
      <c r="B10" s="52" t="inlineStr">
        <is>
          <t>Rollout Planning</t>
        </is>
      </c>
      <c r="C10" s="52" t="inlineStr">
        <is>
          <t>Develop phased rollout plan and user communication strategy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User Assessment</t>
        </is>
      </c>
      <c r="K10" s="52" t="inlineStr">
        <is>
          <t>Deliverable: Rollout timeline by department with milestones</t>
        </is>
      </c>
    </row>
    <row r="11" ht="26" customHeight="1">
      <c r="A11" s="45" t="inlineStr">
        <is>
          <t>Development</t>
        </is>
      </c>
      <c r="B11" s="46" t="inlineStr">
        <is>
          <t>YubiKey Procurement</t>
        </is>
      </c>
      <c r="C11" s="46" t="inlineStr">
        <is>
          <t>Order YubiKey 5 NFC tokens for all users</t>
        </is>
      </c>
      <c r="D11" s="46" t="inlineStr">
        <is>
          <t>EO Engineer</t>
        </is>
      </c>
      <c r="E11" s="47" t="n">
        <v>8</v>
      </c>
      <c r="F11" s="57">
        <f>'Estimate Settings'!$C$5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YubiKey Selection</t>
        </is>
      </c>
      <c r="K11" s="46" t="inlineStr">
        <is>
          <t>Coordinate Dell/Yubico order and track shipping</t>
        </is>
      </c>
    </row>
    <row r="12" ht="26" customHeight="1">
      <c r="A12" s="51" t="inlineStr">
        <is>
          <t>Development</t>
        </is>
      </c>
      <c r="B12" s="52" t="inlineStr">
        <is>
          <t>SafeID Deployment</t>
        </is>
      </c>
      <c r="C12" s="52" t="inlineStr">
        <is>
          <t>Deploy Dell SafeID authentication servers in HA configuration</t>
        </is>
      </c>
      <c r="D12" s="52" t="inlineStr">
        <is>
          <t>EO Engineer</t>
        </is>
      </c>
      <c r="E12" s="53" t="n">
        <v>32</v>
      </c>
      <c r="F12" s="54">
        <f>'Estimate Settings'!$C$5</f>
        <v/>
      </c>
      <c r="G12" s="55">
        <f>$E12*$F12</f>
        <v/>
      </c>
      <c r="H12" s="56" t="n">
        <v>175</v>
      </c>
      <c r="I12" s="55">
        <f>TEXT($G12*$H12,"$#,##0")</f>
        <v/>
      </c>
      <c r="J12" s="52" t="inlineStr">
        <is>
          <t>MFA Architecture</t>
        </is>
      </c>
      <c r="K12" s="52" t="inlineStr">
        <is>
          <t>Install SafeID configure AD connector and policies</t>
        </is>
      </c>
    </row>
    <row r="13" ht="26" customHeight="1">
      <c r="A13" s="45" t="inlineStr">
        <is>
          <t>Development</t>
        </is>
      </c>
      <c r="B13" s="46" t="inlineStr">
        <is>
          <t>VPN Integration</t>
        </is>
      </c>
      <c r="C13" s="46" t="inlineStr">
        <is>
          <t>Integrate SafeID with Cisco AnyConnect via RADIUS</t>
        </is>
      </c>
      <c r="D13" s="46" t="inlineStr">
        <is>
          <t>EO Engineer</t>
        </is>
      </c>
      <c r="E13" s="47" t="n">
        <v>24</v>
      </c>
      <c r="F13" s="57">
        <f>'Estimate Settings'!$C$5</f>
        <v/>
      </c>
      <c r="G13" s="49">
        <f>$E13*$F13</f>
        <v/>
      </c>
      <c r="H13" s="50" t="n">
        <v>175</v>
      </c>
      <c r="I13" s="49">
        <f>TEXT($G13*$H13,"$#,##0")</f>
        <v/>
      </c>
      <c r="J13" s="46" t="inlineStr">
        <is>
          <t>SafeID Deployment</t>
        </is>
      </c>
      <c r="K13" s="46" t="inlineStr">
        <is>
          <t>RADIUS configuration and VPN MFA enforcement</t>
        </is>
      </c>
    </row>
    <row r="14" ht="26" customHeight="1">
      <c r="A14" s="51" t="inlineStr">
        <is>
          <t>Development</t>
        </is>
      </c>
      <c r="B14" s="52" t="inlineStr">
        <is>
          <t>Cloud SSO Setup</t>
        </is>
      </c>
      <c r="C14" s="52" t="inlineStr">
        <is>
          <t>Configure Microsoft 365 and AWS SSO with SAML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SafeID Deployment</t>
        </is>
      </c>
      <c r="K14" s="52" t="inlineStr">
        <is>
          <t>SAML trust and conditional access policies</t>
        </is>
      </c>
    </row>
    <row r="15" ht="26" customHeight="1">
      <c r="A15" s="45" t="inlineStr">
        <is>
          <t>Development</t>
        </is>
      </c>
      <c r="B15" s="46" t="inlineStr">
        <is>
          <t>Enrollment Portal</t>
        </is>
      </c>
      <c r="C15" s="46" t="inlineStr">
        <is>
          <t>Deploy self-service YubiKey enrollment web portal</t>
        </is>
      </c>
      <c r="D15" s="46" t="inlineStr">
        <is>
          <t>EO Engineer</t>
        </is>
      </c>
      <c r="E15" s="47" t="n">
        <v>24</v>
      </c>
      <c r="F15" s="57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SafeID Deployment</t>
        </is>
      </c>
      <c r="K15" s="46" t="inlineStr">
        <is>
          <t>User portal with video tutorials and FAQ</t>
        </is>
      </c>
    </row>
    <row r="16" ht="26" customHeight="1">
      <c r="A16" s="51" t="inlineStr">
        <is>
          <t>Development</t>
        </is>
      </c>
      <c r="B16" s="52" t="inlineStr">
        <is>
          <t>Monitoring Setup</t>
        </is>
      </c>
      <c r="C16" s="52" t="inlineStr">
        <is>
          <t>Configure authentication monitoring and SIEM integration</t>
        </is>
      </c>
      <c r="D16" s="52" t="inlineStr">
        <is>
          <t>EO Engineer</t>
        </is>
      </c>
      <c r="E16" s="53" t="n">
        <v>16</v>
      </c>
      <c r="F16" s="54">
        <f>'Estimate Settings'!$C$5</f>
        <v/>
      </c>
      <c r="G16" s="55">
        <f>$E16*$F16</f>
        <v/>
      </c>
      <c r="H16" s="56" t="n">
        <v>150</v>
      </c>
      <c r="I16" s="55">
        <f>TEXT($G16*$H16,"$#,##0")</f>
        <v/>
      </c>
      <c r="J16" s="52" t="inlineStr">
        <is>
          <t>SafeID Deployment</t>
        </is>
      </c>
      <c r="K16" s="52" t="inlineStr">
        <is>
          <t>Dashboards for failed logins and token usage</t>
        </is>
      </c>
    </row>
    <row r="17" ht="26" customHeight="1">
      <c r="A17" s="45" t="inlineStr">
        <is>
          <t>Testing</t>
        </is>
      </c>
      <c r="B17" s="46" t="inlineStr">
        <is>
          <t>Pilot User Enrollment</t>
        </is>
      </c>
      <c r="C17" s="46" t="inlineStr">
        <is>
          <t>Enroll 50 pilot users with YubiKey tokens</t>
        </is>
      </c>
      <c r="D17" s="46" t="inlineStr">
        <is>
          <t>EO Engineer</t>
        </is>
      </c>
      <c r="E17" s="47" t="n">
        <v>16</v>
      </c>
      <c r="F17" s="57">
        <f>'Estimate Settings'!$C$6</f>
        <v/>
      </c>
      <c r="G17" s="49">
        <f>$E17*$F17</f>
        <v/>
      </c>
      <c r="H17" s="50" t="n">
        <v>140</v>
      </c>
      <c r="I17" s="49">
        <f>TEXT($G17*$H17,"$#,##0")</f>
        <v/>
      </c>
      <c r="J17" s="46" t="inlineStr">
        <is>
          <t>Enrollment Portal</t>
        </is>
      </c>
      <c r="K17" s="46" t="inlineStr">
        <is>
          <t>IT and security team pilot validation</t>
        </is>
      </c>
    </row>
    <row r="18" ht="26" customHeight="1">
      <c r="A18" s="51" t="inlineStr">
        <is>
          <t>Testing</t>
        </is>
      </c>
      <c r="B18" s="52" t="inlineStr">
        <is>
          <t>Authentication Testing</t>
        </is>
      </c>
      <c r="C18" s="52" t="inlineStr">
        <is>
          <t>Test YubiKey authentication across VPN and cloud apps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150</v>
      </c>
      <c r="I18" s="55">
        <f>TEXT($G18*$H18,"$#,##0")</f>
        <v/>
      </c>
      <c r="J18" s="52" t="inlineStr">
        <is>
          <t>Pilot User Enrollment</t>
        </is>
      </c>
      <c r="K18" s="52" t="inlineStr">
        <is>
          <t>Validate FIDO2 authentication and user experience</t>
        </is>
      </c>
    </row>
    <row r="19" ht="26" customHeight="1">
      <c r="A19" s="45" t="inlineStr">
        <is>
          <t>Testing</t>
        </is>
      </c>
      <c r="B19" s="46" t="inlineStr">
        <is>
          <t>Failover Testing</t>
        </is>
      </c>
      <c r="C19" s="46" t="inlineStr">
        <is>
          <t>Test backup authentication and SafeID HA failover</t>
        </is>
      </c>
      <c r="D19" s="46" t="inlineStr">
        <is>
          <t>EO Engineer</t>
        </is>
      </c>
      <c r="E19" s="47" t="n">
        <v>8</v>
      </c>
      <c r="F19" s="57">
        <f>'Estimate Settings'!$C$6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Authentication Testing</t>
        </is>
      </c>
      <c r="K19" s="46" t="inlineStr">
        <is>
          <t>Validate SMS backup and HA server failover</t>
        </is>
      </c>
    </row>
    <row r="20" ht="26" customHeight="1">
      <c r="A20" s="51" t="inlineStr">
        <is>
          <t>Testing</t>
        </is>
      </c>
      <c r="B20" s="52" t="inlineStr">
        <is>
          <t>User Feedback</t>
        </is>
      </c>
      <c r="C20" s="52" t="inlineStr">
        <is>
          <t>Collect pilot feedback and refine enrollment process</t>
        </is>
      </c>
      <c r="D20" s="52" t="inlineStr">
        <is>
          <t>EO Engineer</t>
        </is>
      </c>
      <c r="E20" s="53" t="n">
        <v>8</v>
      </c>
      <c r="F20" s="54">
        <f>'Estimate Settings'!$C$6</f>
        <v/>
      </c>
      <c r="G20" s="55">
        <f>$E20*$F20</f>
        <v/>
      </c>
      <c r="H20" s="56" t="n">
        <v>130</v>
      </c>
      <c r="I20" s="55">
        <f>TEXT($G20*$H20,"$#,##0")</f>
        <v/>
      </c>
      <c r="J20" s="52" t="inlineStr">
        <is>
          <t>Authentication Testing</t>
        </is>
      </c>
      <c r="K20" s="52" t="inlineStr">
        <is>
          <t>Customer survey and process improvements</t>
        </is>
      </c>
    </row>
    <row r="21" ht="26" customHeight="1">
      <c r="A21" s="45" t="inlineStr">
        <is>
          <t>Deployment</t>
        </is>
      </c>
      <c r="B21" s="46" t="inlineStr">
        <is>
          <t>Token Distribution</t>
        </is>
      </c>
      <c r="C21" s="46" t="inlineStr">
        <is>
          <t>Distribute YubiKeys to all 500 users</t>
        </is>
      </c>
      <c r="D21" s="46" t="inlineStr">
        <is>
          <t>EO Engineer</t>
        </is>
      </c>
      <c r="E21" s="47" t="n">
        <v>40</v>
      </c>
      <c r="F21" s="57">
        <f>'Estimate Settings'!$C$7</f>
        <v/>
      </c>
      <c r="G21" s="49">
        <f>$E21*$F21</f>
        <v/>
      </c>
      <c r="H21" s="50" t="n">
        <v>140</v>
      </c>
      <c r="I21" s="49">
        <f>TEXT($G21*$H21,"$#,##0")</f>
        <v/>
      </c>
      <c r="J21" s="46" t="inlineStr">
        <is>
          <t>YubiKey Procurement</t>
        </is>
      </c>
      <c r="K21" s="46" t="inlineStr">
        <is>
          <t>Ship to home addresses for remote workers</t>
        </is>
      </c>
    </row>
    <row r="22" ht="26" customHeight="1">
      <c r="A22" s="51" t="inlineStr">
        <is>
          <t>Deployment</t>
        </is>
      </c>
      <c r="B22" s="52" t="inlineStr">
        <is>
          <t>User Enrollment</t>
        </is>
      </c>
      <c r="C22" s="52" t="inlineStr">
        <is>
          <t>Phased enrollment rollout by department</t>
        </is>
      </c>
      <c r="D22" s="52" t="inlineStr">
        <is>
          <t>EO Engineer</t>
        </is>
      </c>
      <c r="E22" s="53" t="n">
        <v>48</v>
      </c>
      <c r="F22" s="54">
        <f>'Estimate Settings'!$C$7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Token Distribution</t>
        </is>
      </c>
      <c r="K22" s="52" t="inlineStr">
        <is>
          <t>100 users every 2 weeks with self-service portal</t>
        </is>
      </c>
    </row>
    <row r="23" ht="26" customHeight="1">
      <c r="A23" s="45" t="inlineStr">
        <is>
          <t>Deployment</t>
        </is>
      </c>
      <c r="B23" s="46" t="inlineStr">
        <is>
          <t>MFA Enforcement</t>
        </is>
      </c>
      <c r="C23" s="46" t="inlineStr">
        <is>
          <t>Enforce MFA for VPN and cloud applications</t>
        </is>
      </c>
      <c r="D23" s="46" t="inlineStr">
        <is>
          <t>EO Engineer</t>
        </is>
      </c>
      <c r="E23" s="47" t="n">
        <v>16</v>
      </c>
      <c r="F23" s="57">
        <f>'Estimate Settings'!$C$7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User Enrollment</t>
        </is>
      </c>
      <c r="K23" s="46" t="inlineStr">
        <is>
          <t>Gradual enforcement after 95% adoption</t>
        </is>
      </c>
    </row>
    <row r="24" ht="26" customHeight="1">
      <c r="A24" s="51" t="inlineStr">
        <is>
          <t>Deployment</t>
        </is>
      </c>
      <c r="B24" s="52" t="inlineStr">
        <is>
          <t>Hypercare Support</t>
        </is>
      </c>
      <c r="C24" s="52" t="inlineStr">
        <is>
          <t>Provide user support during MFA enforcement</t>
        </is>
      </c>
      <c r="D24" s="52" t="inlineStr">
        <is>
          <t>EO Engineer</t>
        </is>
      </c>
      <c r="E24" s="53" t="n">
        <v>32</v>
      </c>
      <c r="F24" s="54">
        <f>'Estimate Settings'!$C$7</f>
        <v/>
      </c>
      <c r="G24" s="55">
        <f>$E24*$F24</f>
        <v/>
      </c>
      <c r="H24" s="56" t="n">
        <v>130</v>
      </c>
      <c r="I24" s="55">
        <f>TEXT($G24*$H24,"$#,##0")</f>
        <v/>
      </c>
      <c r="J24" s="52" t="inlineStr">
        <is>
          <t>MFA Enforcement</t>
        </is>
      </c>
      <c r="K24" s="52" t="inlineStr">
        <is>
          <t>Help desk support for token issues</t>
        </is>
      </c>
    </row>
    <row r="25" ht="26" customHeight="1">
      <c r="A25" s="45" t="inlineStr">
        <is>
          <t>Training</t>
        </is>
      </c>
      <c r="B25" s="46" t="inlineStr">
        <is>
          <t>User Training</t>
        </is>
      </c>
      <c r="C25" s="46" t="inlineStr">
        <is>
          <t>Train users on YubiKey usage and enrollment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Hypercare Support</t>
        </is>
      </c>
      <c r="K25" s="46" t="inlineStr">
        <is>
          <t>Video tutorial live webinar and FAQ</t>
        </is>
      </c>
    </row>
    <row r="26" ht="26" customHeight="1">
      <c r="A26" s="51" t="inlineStr">
        <is>
          <t>Training</t>
        </is>
      </c>
      <c r="B26" s="52" t="inlineStr">
        <is>
          <t>Help Desk Training</t>
        </is>
      </c>
      <c r="C26" s="52" t="inlineStr">
        <is>
          <t>Train help desk on YubiKey troubleshooting and token reset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140</v>
      </c>
      <c r="I26" s="55">
        <f>TEXT($G26*$H26,"$#,##0")</f>
        <v/>
      </c>
      <c r="J26" s="52" t="inlineStr">
        <is>
          <t>User Training</t>
        </is>
      </c>
      <c r="K26" s="52" t="inlineStr">
        <is>
          <t>SafeID administration backup auth token replacement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user guides and help desk runbooks</t>
        </is>
      </c>
      <c r="D27" s="46" t="inlineStr">
        <is>
          <t>EO Engineer</t>
        </is>
      </c>
      <c r="E27" s="47" t="n">
        <v>16</v>
      </c>
      <c r="F27" s="57">
        <f>'Estimate Settings'!$C$8</f>
        <v/>
      </c>
      <c r="G27" s="49">
        <f>$E27*$F27</f>
        <v/>
      </c>
      <c r="H27" s="50" t="n">
        <v>130</v>
      </c>
      <c r="I27" s="49">
        <f>TEXT($G27*$H27,"$#,##0")</f>
        <v/>
      </c>
      <c r="J27" s="46" t="inlineStr">
        <is>
          <t>Help Desk Training</t>
        </is>
      </c>
      <c r="K27" s="46" t="inlineStr">
        <is>
          <t>Deliverable: User quick-start guide troubleshooting procedures</t>
        </is>
      </c>
    </row>
    <row r="28" ht="26" customHeight="1">
      <c r="A28" s="51" t="inlineStr">
        <is>
          <t>Closeout</t>
        </is>
      </c>
      <c r="B28" s="52" t="inlineStr">
        <is>
          <t>Compliance Documentation</t>
        </is>
      </c>
      <c r="C28" s="52" t="inlineStr">
        <is>
          <t>Complete CMMC Level 2 compliance documentation</t>
        </is>
      </c>
      <c r="D28" s="52" t="inlineStr">
        <is>
          <t>EO Engineer</t>
        </is>
      </c>
      <c r="E28" s="53" t="n">
        <v>16</v>
      </c>
      <c r="F28" s="54">
        <f>'Estimate Settings'!$C$9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Documentation</t>
        </is>
      </c>
      <c r="K28" s="52" t="inlineStr">
        <is>
          <t>MFA evidence for CMMC assessor review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SafeID ownership to security operations</t>
        </is>
      </c>
      <c r="D29" s="46" t="inlineStr">
        <is>
          <t>EO Engineer</t>
        </is>
      </c>
      <c r="E29" s="47" t="n">
        <v>8</v>
      </c>
      <c r="F29" s="57">
        <f>'Estimate Settings'!$C$9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Compliance Documentation</t>
        </is>
      </c>
      <c r="K29" s="46" t="inlineStr">
        <is>
          <t>Handover including architecture and procedures</t>
        </is>
      </c>
    </row>
    <row r="30" ht="26" customHeight="1">
      <c r="A30" s="51" t="inlineStr">
        <is>
          <t>Management</t>
        </is>
      </c>
      <c r="B30" s="52" t="inlineStr">
        <is>
          <t>Technical Leadership</t>
        </is>
      </c>
      <c r="C30" s="52" t="inlineStr">
        <is>
          <t>Quarterback technical oversight and compliance guidance</t>
        </is>
      </c>
      <c r="D30" s="52" t="inlineStr">
        <is>
          <t>EO Quarterback</t>
        </is>
      </c>
      <c r="E30" s="55">
        <f>ROUND(SUM($G$3:$G$29)*0.10,0)</f>
        <v/>
      </c>
      <c r="F30" s="54">
        <f>'Estimate Settings'!$C$11</f>
        <v/>
      </c>
      <c r="G30" s="55">
        <f>$E30*$F30</f>
        <v/>
      </c>
      <c r="H30" s="56" t="n">
        <v>200</v>
      </c>
      <c r="I30" s="55">
        <f>TEXT($G30*$H30,"$#,##0")</f>
        <v/>
      </c>
      <c r="J30" s="52" t="inlineStr"/>
      <c r="K30" s="52" t="inlineStr">
        <is>
          <t>CMMC compliance guidance and architecture review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planning and change management</t>
        </is>
      </c>
      <c r="D31" s="46" t="inlineStr">
        <is>
          <t>EO Project Manager</t>
        </is>
      </c>
      <c r="E31" s="49">
        <f>ROUND(SUM($G$3:$G$29)*0.10,0)</f>
        <v/>
      </c>
      <c r="F31" s="57">
        <f>'Estimate Settings'!$C$10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/>
      <c r="K31" s="46" t="inlineStr">
        <is>
          <t>Includes rollout coordination risk management user communication</t>
        </is>
      </c>
    </row>
    <row r="32" ht="26" customHeight="1">
      <c r="A32" s="58" t="inlineStr"/>
      <c r="B32" s="58" t="inlineStr"/>
      <c r="C32" s="58" t="inlineStr"/>
      <c r="D32" s="58" t="inlineStr"/>
      <c r="E32" s="58" t="inlineStr"/>
      <c r="F32" s="59" t="inlineStr">
        <is>
          <t>TOTAL HOURS</t>
        </is>
      </c>
      <c r="G32" s="59">
        <f>SUM($G$3:$G$31)</f>
        <v/>
      </c>
      <c r="H32" s="59" t="inlineStr">
        <is>
          <t>TOTAL COST</t>
        </is>
      </c>
      <c r="I32" s="59">
        <f>TEXT(SUMPRODUCT($G$3:$G$31,$H$3:$H$31),"$#,##0")</f>
        <v/>
      </c>
      <c r="J32" s="58" t="inlineStr"/>
      <c r="K32" s="58" t="inlineStr">
        <is>
          <t>EO Sales Engineer: Update phase multipliers based on user count</t>
        </is>
      </c>
    </row>
  </sheetData>
  <autoFilter ref="A2:K32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-10000</v>
      </c>
      <c r="C3" s="38" t="inlineStr">
        <is>
          <t>Dell Titanium Partner discount on SafeID software and YubiKey hardware (negotiate 5-10%)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SUMPRODUCT($G$3:$G$31,$H$3:$H$31)-10000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2025-11-25T04:29:41Z</dcterms:modified>
  <cp:lastModifiedBy>Kishan Siram</cp:lastModifiedBy>
</cp:coreProperties>
</file>