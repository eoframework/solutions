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ntegration Requirements" sheetId="7" state="visible" r:id="rId7"/>
    <sheet xmlns:r="http://schemas.openxmlformats.org/officeDocument/2006/relationships" name="Cost &amp; Licens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Openshift Container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60</v>
      </c>
      <c r="B2" s="36">
        <f>SUMPRODUCT(--(LEN(F5:F64)&gt;0))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IF('Technical Requirements'!A21="","",'Technical Requirements'!A21)</f>
        <v/>
      </c>
      <c r="B36" s="41">
        <f>IF('Technical Requirements'!B21="","",'Technical Requirements'!B21)</f>
        <v/>
      </c>
      <c r="C36" s="41">
        <f>IF('Technical Requirements'!C21="","",'Technical Requirements'!C21)</f>
        <v/>
      </c>
      <c r="D36" s="41">
        <f>IF('Technical Requirements'!D21="","",'Technical Requirements'!D21)</f>
        <v/>
      </c>
      <c r="E36" s="41">
        <f>IF('Technical Requirements'!E21="","",'Technical Requirements'!E21)</f>
        <v/>
      </c>
      <c r="F36" s="40">
        <f>IF('Technical Requirements'!F21="","",'Technical Requirements'!F21)</f>
        <v/>
      </c>
      <c r="G36" s="41">
        <f>IF('Technical Requirements'!G21="","",'Technical Requirements'!G21)</f>
        <v/>
      </c>
    </row>
    <row r="37">
      <c r="A37" s="39">
        <f>IF('Security &amp; Compliance'!A2="","",'Security &amp; Compliance'!A2)</f>
        <v/>
      </c>
      <c r="B37" s="39">
        <f>IF('Security &amp; Compliance'!B2="","",'Security &amp; Compliance'!B2)</f>
        <v/>
      </c>
      <c r="C37" s="39">
        <f>IF('Security &amp; Compliance'!C2="","",'Security &amp; Compliance'!C2)</f>
        <v/>
      </c>
      <c r="D37" s="39">
        <f>IF('Security &amp; Compliance'!D2="","",'Security &amp; Compliance'!D2)</f>
        <v/>
      </c>
      <c r="E37" s="39">
        <f>IF('Security &amp; Compliance'!E2="","",'Security &amp; Compliance'!E2)</f>
        <v/>
      </c>
      <c r="F37" s="40">
        <f>IF('Security &amp; Compliance'!F2="","",'Security &amp; Compliance'!F2)</f>
        <v/>
      </c>
      <c r="G37" s="39">
        <f>IF('Security &amp; Compliance'!G2="","",'Security &amp; Compliance'!G2)</f>
        <v/>
      </c>
    </row>
    <row r="38">
      <c r="A38" s="41">
        <f>IF('Security &amp; Compliance'!A3="","",'Security &amp; Compliance'!A3)</f>
        <v/>
      </c>
      <c r="B38" s="41">
        <f>IF('Security &amp; Compliance'!B3="","",'Security &amp; Compliance'!B3)</f>
        <v/>
      </c>
      <c r="C38" s="41">
        <f>IF('Security &amp; Compliance'!C3="","",'Security &amp; Compliance'!C3)</f>
        <v/>
      </c>
      <c r="D38" s="41">
        <f>IF('Security &amp; Compliance'!D3="","",'Security &amp; Compliance'!D3)</f>
        <v/>
      </c>
      <c r="E38" s="41">
        <f>IF('Security &amp; Compliance'!E3="","",'Security &amp; Compliance'!E3)</f>
        <v/>
      </c>
      <c r="F38" s="40">
        <f>IF('Security &amp; Compliance'!F3="","",'Security &amp; Compliance'!F3)</f>
        <v/>
      </c>
      <c r="G38" s="41">
        <f>IF('Security &amp; Compliance'!G3="","",'Security &amp; Compliance'!G3)</f>
        <v/>
      </c>
    </row>
    <row r="39">
      <c r="A39" s="39">
        <f>IF('Security &amp; Compliance'!A4="","",'Security &amp; Compliance'!A4)</f>
        <v/>
      </c>
      <c r="B39" s="39">
        <f>IF('Security &amp; Compliance'!B4="","",'Security &amp; Compliance'!B4)</f>
        <v/>
      </c>
      <c r="C39" s="39">
        <f>IF('Security &amp; Compliance'!C4="","",'Security &amp; Compliance'!C4)</f>
        <v/>
      </c>
      <c r="D39" s="39">
        <f>IF('Security &amp; Compliance'!D4="","",'Security &amp; Compliance'!D4)</f>
        <v/>
      </c>
      <c r="E39" s="39">
        <f>IF('Security &amp; Compliance'!E4="","",'Security &amp; Compliance'!E4)</f>
        <v/>
      </c>
      <c r="F39" s="40">
        <f>IF('Security &amp; Compliance'!F4="","",'Security &amp; Compliance'!F4)</f>
        <v/>
      </c>
      <c r="G39" s="39">
        <f>IF('Security &amp; Compliance'!G4="","",'Security &amp; Compliance'!G4)</f>
        <v/>
      </c>
    </row>
    <row r="40">
      <c r="A40" s="41">
        <f>IF('Security &amp; Compliance'!A5="","",'Security &amp; Compliance'!A5)</f>
        <v/>
      </c>
      <c r="B40" s="41">
        <f>IF('Security &amp; Compliance'!B5="","",'Security &amp; Compliance'!B5)</f>
        <v/>
      </c>
      <c r="C40" s="41">
        <f>IF('Security &amp; Compliance'!C5="","",'Security &amp; Compliance'!C5)</f>
        <v/>
      </c>
      <c r="D40" s="41">
        <f>IF('Security &amp; Compliance'!D5="","",'Security &amp; Compliance'!D5)</f>
        <v/>
      </c>
      <c r="E40" s="41">
        <f>IF('Security &amp; Compliance'!E5="","",'Security &amp; Compliance'!E5)</f>
        <v/>
      </c>
      <c r="F40" s="40">
        <f>IF('Security &amp; Compliance'!F5="","",'Security &amp; Compliance'!F5)</f>
        <v/>
      </c>
      <c r="G40" s="41">
        <f>IF('Security &amp; Compliance'!G5="","",'Security &amp; Compliance'!G5)</f>
        <v/>
      </c>
    </row>
    <row r="41">
      <c r="A41" s="39">
        <f>IF('Security &amp; Compliance'!A6="","",'Security &amp; Compliance'!A6)</f>
        <v/>
      </c>
      <c r="B41" s="39">
        <f>IF('Security &amp; Compliance'!B6="","",'Security &amp; Compliance'!B6)</f>
        <v/>
      </c>
      <c r="C41" s="39">
        <f>IF('Security &amp; Compliance'!C6="","",'Security &amp; Compliance'!C6)</f>
        <v/>
      </c>
      <c r="D41" s="39">
        <f>IF('Security &amp; Compliance'!D6="","",'Security &amp; Compliance'!D6)</f>
        <v/>
      </c>
      <c r="E41" s="39">
        <f>IF('Security &amp; Compliance'!E6="","",'Security &amp; Compliance'!E6)</f>
        <v/>
      </c>
      <c r="F41" s="40">
        <f>IF('Security &amp; Compliance'!F6="","",'Security &amp; Compliance'!F6)</f>
        <v/>
      </c>
      <c r="G41" s="39">
        <f>IF('Security &amp; Compliance'!G6="","",'Security &amp; Compliance'!G6)</f>
        <v/>
      </c>
    </row>
    <row r="42">
      <c r="A42" s="41">
        <f>IF('Security &amp; Compliance'!A7="","",'Security &amp; Compliance'!A7)</f>
        <v/>
      </c>
      <c r="B42" s="41">
        <f>IF('Security &amp; Compliance'!B7="","",'Security &amp; Compliance'!B7)</f>
        <v/>
      </c>
      <c r="C42" s="41">
        <f>IF('Security &amp; Compliance'!C7="","",'Security &amp; Compliance'!C7)</f>
        <v/>
      </c>
      <c r="D42" s="41">
        <f>IF('Security &amp; Compliance'!D7="","",'Security &amp; Compliance'!D7)</f>
        <v/>
      </c>
      <c r="E42" s="41">
        <f>IF('Security &amp; Compliance'!E7="","",'Security &amp; Compliance'!E7)</f>
        <v/>
      </c>
      <c r="F42" s="40">
        <f>IF('Security &amp; Compliance'!F7="","",'Security &amp; Compliance'!F7)</f>
        <v/>
      </c>
      <c r="G42" s="41">
        <f>IF('Security &amp; Compliance'!G7="","",'Security &amp; Compliance'!G7)</f>
        <v/>
      </c>
    </row>
    <row r="43">
      <c r="A43" s="39">
        <f>IF('Security &amp; Compliance'!A8="","",'Security &amp; Compliance'!A8)</f>
        <v/>
      </c>
      <c r="B43" s="39">
        <f>IF('Security &amp; Compliance'!B8="","",'Security &amp; Compliance'!B8)</f>
        <v/>
      </c>
      <c r="C43" s="39">
        <f>IF('Security &amp; Compliance'!C8="","",'Security &amp; Compliance'!C8)</f>
        <v/>
      </c>
      <c r="D43" s="39">
        <f>IF('Security &amp; Compliance'!D8="","",'Security &amp; Compliance'!D8)</f>
        <v/>
      </c>
      <c r="E43" s="39">
        <f>IF('Security &amp; Compliance'!E8="","",'Security &amp; Compliance'!E8)</f>
        <v/>
      </c>
      <c r="F43" s="40">
        <f>IF('Security &amp; Compliance'!F8="","",'Security &amp; Compliance'!F8)</f>
        <v/>
      </c>
      <c r="G43" s="39">
        <f>IF('Security &amp; Compliance'!G8="","",'Security &amp; Compliance'!G8)</f>
        <v/>
      </c>
    </row>
    <row r="44">
      <c r="A44" s="41">
        <f>IF('Security &amp; Compliance'!A9="","",'Security &amp; Compliance'!A9)</f>
        <v/>
      </c>
      <c r="B44" s="41">
        <f>IF('Security &amp; Compliance'!B9="","",'Security &amp; Compliance'!B9)</f>
        <v/>
      </c>
      <c r="C44" s="41">
        <f>IF('Security &amp; Compliance'!C9="","",'Security &amp; Compliance'!C9)</f>
        <v/>
      </c>
      <c r="D44" s="41">
        <f>IF('Security &amp; Compliance'!D9="","",'Security &amp; Compliance'!D9)</f>
        <v/>
      </c>
      <c r="E44" s="41">
        <f>IF('Security &amp; Compliance'!E9="","",'Security &amp; Compliance'!E9)</f>
        <v/>
      </c>
      <c r="F44" s="40">
        <f>IF('Security &amp; Compliance'!F9="","",'Security &amp; Compliance'!F9)</f>
        <v/>
      </c>
      <c r="G44" s="41">
        <f>IF('Security &amp; Compliance'!G9="","",'Security &amp; Compliance'!G9)</f>
        <v/>
      </c>
    </row>
    <row r="45">
      <c r="A45" s="39">
        <f>IF('Security &amp; Compliance'!A10="","",'Security &amp; Compliance'!A10)</f>
        <v/>
      </c>
      <c r="B45" s="39">
        <f>IF('Security &amp; Compliance'!B10="","",'Security &amp; Compliance'!B10)</f>
        <v/>
      </c>
      <c r="C45" s="39">
        <f>IF('Security &amp; Compliance'!C10="","",'Security &amp; Compliance'!C10)</f>
        <v/>
      </c>
      <c r="D45" s="39">
        <f>IF('Security &amp; Compliance'!D10="","",'Security &amp; Compliance'!D10)</f>
        <v/>
      </c>
      <c r="E45" s="39">
        <f>IF('Security &amp; Compliance'!E10="","",'Security &amp; Compliance'!E10)</f>
        <v/>
      </c>
      <c r="F45" s="40">
        <f>IF('Security &amp; Compliance'!F10="","",'Security &amp; Compliance'!F10)</f>
        <v/>
      </c>
      <c r="G45" s="39">
        <f>IF('Security &amp; Compliance'!G10="","",'Security &amp; Compliance'!G10)</f>
        <v/>
      </c>
    </row>
    <row r="46">
      <c r="A46" s="41">
        <f>IF('Security &amp; Compliance'!A11="","",'Security &amp; Compliance'!A11)</f>
        <v/>
      </c>
      <c r="B46" s="41">
        <f>IF('Security &amp; Compliance'!B11="","",'Security &amp; Compliance'!B11)</f>
        <v/>
      </c>
      <c r="C46" s="41">
        <f>IF('Security &amp; Compliance'!C11="","",'Security &amp; Compliance'!C11)</f>
        <v/>
      </c>
      <c r="D46" s="41">
        <f>IF('Security &amp; Compliance'!D11="","",'Security &amp; Compliance'!D11)</f>
        <v/>
      </c>
      <c r="E46" s="41">
        <f>IF('Security &amp; Compliance'!E11="","",'Security &amp; Compliance'!E11)</f>
        <v/>
      </c>
      <c r="F46" s="40">
        <f>IF('Security &amp; Compliance'!F11="","",'Security &amp; Compliance'!F11)</f>
        <v/>
      </c>
      <c r="G46" s="41">
        <f>IF('Security &amp; Compliance'!G11="","",'Security &amp; Compliance'!G11)</f>
        <v/>
      </c>
    </row>
    <row r="47">
      <c r="A47" s="39">
        <f>IF('Operations &amp; Support'!A2="","",'Operations &amp; Support'!A2)</f>
        <v/>
      </c>
      <c r="B47" s="39">
        <f>IF('Operations &amp; Support'!B2="","",'Operations &amp; Support'!B2)</f>
        <v/>
      </c>
      <c r="C47" s="39">
        <f>IF('Operations &amp; Support'!C2="","",'Operations &amp; Support'!C2)</f>
        <v/>
      </c>
      <c r="D47" s="39">
        <f>IF('Operations &amp; Support'!D2="","",'Operations &amp; Support'!D2)</f>
        <v/>
      </c>
      <c r="E47" s="39">
        <f>IF('Operations &amp; Support'!E2="","",'Operations &amp; Support'!E2)</f>
        <v/>
      </c>
      <c r="F47" s="40">
        <f>IF('Operations &amp; Support'!F2="","",'Operations &amp; Support'!F2)</f>
        <v/>
      </c>
      <c r="G47" s="39">
        <f>IF('Operations &amp; Support'!G2="","",'Operations &amp; Support'!G2)</f>
        <v/>
      </c>
    </row>
    <row r="48">
      <c r="A48" s="41">
        <f>IF('Operations &amp; Support'!A3="","",'Operations &amp; Support'!A3)</f>
        <v/>
      </c>
      <c r="B48" s="41">
        <f>IF('Operations &amp; Support'!B3="","",'Operations &amp; Support'!B3)</f>
        <v/>
      </c>
      <c r="C48" s="41">
        <f>IF('Operations &amp; Support'!C3="","",'Operations &amp; Support'!C3)</f>
        <v/>
      </c>
      <c r="D48" s="41">
        <f>IF('Operations &amp; Support'!D3="","",'Operations &amp; Support'!D3)</f>
        <v/>
      </c>
      <c r="E48" s="41">
        <f>IF('Operations &amp; Support'!E3="","",'Operations &amp; Support'!E3)</f>
        <v/>
      </c>
      <c r="F48" s="40">
        <f>IF('Operations &amp; Support'!F3="","",'Operations &amp; Support'!F3)</f>
        <v/>
      </c>
      <c r="G48" s="41">
        <f>IF('Operations &amp; Support'!G3="","",'Operations &amp; Support'!G3)</f>
        <v/>
      </c>
    </row>
    <row r="49">
      <c r="A49" s="39">
        <f>IF('Operations &amp; Support'!A4="","",'Operations &amp; Support'!A4)</f>
        <v/>
      </c>
      <c r="B49" s="39">
        <f>IF('Operations &amp; Support'!B4="","",'Operations &amp; Support'!B4)</f>
        <v/>
      </c>
      <c r="C49" s="39">
        <f>IF('Operations &amp; Support'!C4="","",'Operations &amp; Support'!C4)</f>
        <v/>
      </c>
      <c r="D49" s="39">
        <f>IF('Operations &amp; Support'!D4="","",'Operations &amp; Support'!D4)</f>
        <v/>
      </c>
      <c r="E49" s="39">
        <f>IF('Operations &amp; Support'!E4="","",'Operations &amp; Support'!E4)</f>
        <v/>
      </c>
      <c r="F49" s="40">
        <f>IF('Operations &amp; Support'!F4="","",'Operations &amp; Support'!F4)</f>
        <v/>
      </c>
      <c r="G49" s="39">
        <f>IF('Operations &amp; Support'!G4="","",'Operations &amp; Support'!G4)</f>
        <v/>
      </c>
    </row>
    <row r="50">
      <c r="A50" s="41">
        <f>IF('Operations &amp; Support'!A5="","",'Operations &amp; Support'!A5)</f>
        <v/>
      </c>
      <c r="B50" s="41">
        <f>IF('Operations &amp; Support'!B5="","",'Operations &amp; Support'!B5)</f>
        <v/>
      </c>
      <c r="C50" s="41">
        <f>IF('Operations &amp; Support'!C5="","",'Operations &amp; Support'!C5)</f>
        <v/>
      </c>
      <c r="D50" s="41">
        <f>IF('Operations &amp; Support'!D5="","",'Operations &amp; Support'!D5)</f>
        <v/>
      </c>
      <c r="E50" s="41">
        <f>IF('Operations &amp; Support'!E5="","",'Operations &amp; Support'!E5)</f>
        <v/>
      </c>
      <c r="F50" s="40">
        <f>IF('Operations &amp; Support'!F5="","",'Operations &amp; Support'!F5)</f>
        <v/>
      </c>
      <c r="G50" s="41">
        <f>IF('Operations &amp; Support'!G5="","",'Operations &amp; Support'!G5)</f>
        <v/>
      </c>
    </row>
    <row r="51">
      <c r="A51" s="39">
        <f>IF('Operations &amp; Support'!A6="","",'Operations &amp; Support'!A6)</f>
        <v/>
      </c>
      <c r="B51" s="39">
        <f>IF('Operations &amp; Support'!B6="","",'Operations &amp; Support'!B6)</f>
        <v/>
      </c>
      <c r="C51" s="39">
        <f>IF('Operations &amp; Support'!C6="","",'Operations &amp; Support'!C6)</f>
        <v/>
      </c>
      <c r="D51" s="39">
        <f>IF('Operations &amp; Support'!D6="","",'Operations &amp; Support'!D6)</f>
        <v/>
      </c>
      <c r="E51" s="39">
        <f>IF('Operations &amp; Support'!E6="","",'Operations &amp; Support'!E6)</f>
        <v/>
      </c>
      <c r="F51" s="40">
        <f>IF('Operations &amp; Support'!F6="","",'Operations &amp; Support'!F6)</f>
        <v/>
      </c>
      <c r="G51" s="39">
        <f>IF('Operations &amp; Support'!G6="","",'Operations &amp; Support'!G6)</f>
        <v/>
      </c>
    </row>
    <row r="52">
      <c r="A52" s="41">
        <f>IF('Operations &amp; Support'!A7="","",'Operations &amp; Support'!A7)</f>
        <v/>
      </c>
      <c r="B52" s="41">
        <f>IF('Operations &amp; Support'!B7="","",'Operations &amp; Support'!B7)</f>
        <v/>
      </c>
      <c r="C52" s="41">
        <f>IF('Operations &amp; Support'!C7="","",'Operations &amp; Support'!C7)</f>
        <v/>
      </c>
      <c r="D52" s="41">
        <f>IF('Operations &amp; Support'!D7="","",'Operations &amp; Support'!D7)</f>
        <v/>
      </c>
      <c r="E52" s="41">
        <f>IF('Operations &amp; Support'!E7="","",'Operations &amp; Support'!E7)</f>
        <v/>
      </c>
      <c r="F52" s="40">
        <f>IF('Operations &amp; Support'!F7="","",'Operations &amp; Support'!F7)</f>
        <v/>
      </c>
      <c r="G52" s="41">
        <f>IF('Operations &amp; Support'!G7="","",'Operations &amp; Support'!G7)</f>
        <v/>
      </c>
    </row>
    <row r="53">
      <c r="A53" s="39">
        <f>IF('Operations &amp; Support'!A8="","",'Operations &amp; Support'!A8)</f>
        <v/>
      </c>
      <c r="B53" s="39">
        <f>IF('Operations &amp; Support'!B8="","",'Operations &amp; Support'!B8)</f>
        <v/>
      </c>
      <c r="C53" s="39">
        <f>IF('Operations &amp; Support'!C8="","",'Operations &amp; Support'!C8)</f>
        <v/>
      </c>
      <c r="D53" s="39">
        <f>IF('Operations &amp; Support'!D8="","",'Operations &amp; Support'!D8)</f>
        <v/>
      </c>
      <c r="E53" s="39">
        <f>IF('Operations &amp; Support'!E8="","",'Operations &amp; Support'!E8)</f>
        <v/>
      </c>
      <c r="F53" s="40">
        <f>IF('Operations &amp; Support'!F8="","",'Operations &amp; Support'!F8)</f>
        <v/>
      </c>
      <c r="G53" s="39">
        <f>IF('Operations &amp; Support'!G8="","",'Operations &amp; Support'!G8)</f>
        <v/>
      </c>
    </row>
    <row r="54">
      <c r="A54" s="41">
        <f>IF('Operations &amp; Support'!A9="","",'Operations &amp; Support'!A9)</f>
        <v/>
      </c>
      <c r="B54" s="41">
        <f>IF('Operations &amp; Support'!B9="","",'Operations &amp; Support'!B9)</f>
        <v/>
      </c>
      <c r="C54" s="41">
        <f>IF('Operations &amp; Support'!C9="","",'Operations &amp; Support'!C9)</f>
        <v/>
      </c>
      <c r="D54" s="41">
        <f>IF('Operations &amp; Support'!D9="","",'Operations &amp; Support'!D9)</f>
        <v/>
      </c>
      <c r="E54" s="41">
        <f>IF('Operations &amp; Support'!E9="","",'Operations &amp; Support'!E9)</f>
        <v/>
      </c>
      <c r="F54" s="40">
        <f>IF('Operations &amp; Support'!F9="","",'Operations &amp; Support'!F9)</f>
        <v/>
      </c>
      <c r="G54" s="41">
        <f>IF('Operations &amp; Support'!G9="","",'Operations &amp; Support'!G9)</f>
        <v/>
      </c>
    </row>
    <row r="55">
      <c r="A55" s="39">
        <f>IF('Integration Requirements'!A2="","",'Integration Requirements'!A2)</f>
        <v/>
      </c>
      <c r="B55" s="39">
        <f>IF('Integration Requirements'!B2="","",'Integration Requirements'!B2)</f>
        <v/>
      </c>
      <c r="C55" s="39">
        <f>IF('Integration Requirements'!C2="","",'Integration Requirements'!C2)</f>
        <v/>
      </c>
      <c r="D55" s="39">
        <f>IF('Integration Requirements'!D2="","",'Integration Requirements'!D2)</f>
        <v/>
      </c>
      <c r="E55" s="39">
        <f>IF('Integration Requirements'!E2="","",'Integration Requirements'!E2)</f>
        <v/>
      </c>
      <c r="F55" s="40">
        <f>IF('Integration Requirements'!F2="","",'Integration Requirements'!F2)</f>
        <v/>
      </c>
      <c r="G55" s="39">
        <f>IF('Integration Requirements'!G2="","",'Integration Requirements'!G2)</f>
        <v/>
      </c>
    </row>
    <row r="56">
      <c r="A56" s="41">
        <f>IF('Integration Requirements'!A3="","",'Integration Requirements'!A3)</f>
        <v/>
      </c>
      <c r="B56" s="41">
        <f>IF('Integration Requirements'!B3="","",'Integration Requirements'!B3)</f>
        <v/>
      </c>
      <c r="C56" s="41">
        <f>IF('Integration Requirements'!C3="","",'Integration Requirements'!C3)</f>
        <v/>
      </c>
      <c r="D56" s="41">
        <f>IF('Integration Requirements'!D3="","",'Integration Requirements'!D3)</f>
        <v/>
      </c>
      <c r="E56" s="41">
        <f>IF('Integration Requirements'!E3="","",'Integration Requirements'!E3)</f>
        <v/>
      </c>
      <c r="F56" s="40">
        <f>IF('Integration Requirements'!F3="","",'Integration Requirements'!F3)</f>
        <v/>
      </c>
      <c r="G56" s="41">
        <f>IF('Integration Requirements'!G3="","",'Integration Requirements'!G3)</f>
        <v/>
      </c>
    </row>
    <row r="57">
      <c r="A57" s="39">
        <f>IF('Integration Requirements'!A4="","",'Integration Requirements'!A4)</f>
        <v/>
      </c>
      <c r="B57" s="39">
        <f>IF('Integration Requirements'!B4="","",'Integration Requirements'!B4)</f>
        <v/>
      </c>
      <c r="C57" s="39">
        <f>IF('Integration Requirements'!C4="","",'Integration Requirements'!C4)</f>
        <v/>
      </c>
      <c r="D57" s="39">
        <f>IF('Integration Requirements'!D4="","",'Integration Requirements'!D4)</f>
        <v/>
      </c>
      <c r="E57" s="39">
        <f>IF('Integration Requirements'!E4="","",'Integration Requirements'!E4)</f>
        <v/>
      </c>
      <c r="F57" s="40">
        <f>IF('Integration Requirements'!F4="","",'Integration Requirements'!F4)</f>
        <v/>
      </c>
      <c r="G57" s="39">
        <f>IF('Integration Requirements'!G4="","",'Integration Requirements'!G4)</f>
        <v/>
      </c>
    </row>
    <row r="58">
      <c r="A58" s="41">
        <f>IF('Integration Requirements'!A5="","",'Integration Requirements'!A5)</f>
        <v/>
      </c>
      <c r="B58" s="41">
        <f>IF('Integration Requirements'!B5="","",'Integration Requirements'!B5)</f>
        <v/>
      </c>
      <c r="C58" s="41">
        <f>IF('Integration Requirements'!C5="","",'Integration Requirements'!C5)</f>
        <v/>
      </c>
      <c r="D58" s="41">
        <f>IF('Integration Requirements'!D5="","",'Integration Requirements'!D5)</f>
        <v/>
      </c>
      <c r="E58" s="41">
        <f>IF('Integration Requirements'!E5="","",'Integration Requirements'!E5)</f>
        <v/>
      </c>
      <c r="F58" s="40">
        <f>IF('Integration Requirements'!F5="","",'Integration Requirements'!F5)</f>
        <v/>
      </c>
      <c r="G58" s="41">
        <f>IF('Integration Requirements'!G5="","",'Integration Requirements'!G5)</f>
        <v/>
      </c>
    </row>
    <row r="59">
      <c r="A59" s="39">
        <f>IF('Integration Requirements'!A6="","",'Integration Requirements'!A6)</f>
        <v/>
      </c>
      <c r="B59" s="39">
        <f>IF('Integration Requirements'!B6="","",'Integration Requirements'!B6)</f>
        <v/>
      </c>
      <c r="C59" s="39">
        <f>IF('Integration Requirements'!C6="","",'Integration Requirements'!C6)</f>
        <v/>
      </c>
      <c r="D59" s="39">
        <f>IF('Integration Requirements'!D6="","",'Integration Requirements'!D6)</f>
        <v/>
      </c>
      <c r="E59" s="39">
        <f>IF('Integration Requirements'!E6="","",'Integration Requirements'!E6)</f>
        <v/>
      </c>
      <c r="F59" s="40">
        <f>IF('Integration Requirements'!F6="","",'Integration Requirements'!F6)</f>
        <v/>
      </c>
      <c r="G59" s="39">
        <f>IF('Integration Requirements'!G6="","",'Integration Requirements'!G6)</f>
        <v/>
      </c>
    </row>
    <row r="60">
      <c r="A60" s="41">
        <f>IF('Cost &amp; Licensing'!A2="","",'Cost &amp; Licensing'!A2)</f>
        <v/>
      </c>
      <c r="B60" s="41">
        <f>IF('Cost &amp; Licensing'!B2="","",'Cost &amp; Licensing'!B2)</f>
        <v/>
      </c>
      <c r="C60" s="41">
        <f>IF('Cost &amp; Licensing'!C2="","",'Cost &amp; Licensing'!C2)</f>
        <v/>
      </c>
      <c r="D60" s="41">
        <f>IF('Cost &amp; Licensing'!D2="","",'Cost &amp; Licensing'!D2)</f>
        <v/>
      </c>
      <c r="E60" s="41">
        <f>IF('Cost &amp; Licensing'!E2="","",'Cost &amp; Licensing'!E2)</f>
        <v/>
      </c>
      <c r="F60" s="40">
        <f>IF('Cost &amp; Licensing'!F2="","",'Cost &amp; Licensing'!F2)</f>
        <v/>
      </c>
      <c r="G60" s="41">
        <f>IF('Cost &amp; Licensing'!G2="","",'Cost &amp; Licensing'!G2)</f>
        <v/>
      </c>
    </row>
    <row r="61">
      <c r="A61" s="39">
        <f>IF('Cost &amp; Licensing'!A3="","",'Cost &amp; Licensing'!A3)</f>
        <v/>
      </c>
      <c r="B61" s="39">
        <f>IF('Cost &amp; Licensing'!B3="","",'Cost &amp; Licensing'!B3)</f>
        <v/>
      </c>
      <c r="C61" s="39">
        <f>IF('Cost &amp; Licensing'!C3="","",'Cost &amp; Licensing'!C3)</f>
        <v/>
      </c>
      <c r="D61" s="39">
        <f>IF('Cost &amp; Licensing'!D3="","",'Cost &amp; Licensing'!D3)</f>
        <v/>
      </c>
      <c r="E61" s="39">
        <f>IF('Cost &amp; Licensing'!E3="","",'Cost &amp; Licensing'!E3)</f>
        <v/>
      </c>
      <c r="F61" s="40">
        <f>IF('Cost &amp; Licensing'!F3="","",'Cost &amp; Licensing'!F3)</f>
        <v/>
      </c>
      <c r="G61" s="39">
        <f>IF('Cost &amp; Licensing'!G3="","",'Cost &amp; Licensing'!G3)</f>
        <v/>
      </c>
    </row>
    <row r="62">
      <c r="A62" s="41">
        <f>IF('Cost &amp; Licensing'!A4="","",'Cost &amp; Licensing'!A4)</f>
        <v/>
      </c>
      <c r="B62" s="41">
        <f>IF('Cost &amp; Licensing'!B4="","",'Cost &amp; Licensing'!B4)</f>
        <v/>
      </c>
      <c r="C62" s="41">
        <f>IF('Cost &amp; Licensing'!C4="","",'Cost &amp; Licensing'!C4)</f>
        <v/>
      </c>
      <c r="D62" s="41">
        <f>IF('Cost &amp; Licensing'!D4="","",'Cost &amp; Licensing'!D4)</f>
        <v/>
      </c>
      <c r="E62" s="41">
        <f>IF('Cost &amp; Licensing'!E4="","",'Cost &amp; Licensing'!E4)</f>
        <v/>
      </c>
      <c r="F62" s="40">
        <f>IF('Cost &amp; Licensing'!F4="","",'Cost &amp; Licensing'!F4)</f>
        <v/>
      </c>
      <c r="G62" s="41">
        <f>IF('Cost &amp; Licensing'!G4="","",'Cost &amp; Licensing'!G4)</f>
        <v/>
      </c>
    </row>
    <row r="63">
      <c r="A63" s="39">
        <f>IF('Cost &amp; Licensing'!A5="","",'Cost &amp; Licensing'!A5)</f>
        <v/>
      </c>
      <c r="B63" s="39">
        <f>IF('Cost &amp; Licensing'!B5="","",'Cost &amp; Licensing'!B5)</f>
        <v/>
      </c>
      <c r="C63" s="39">
        <f>IF('Cost &amp; Licensing'!C5="","",'Cost &amp; Licensing'!C5)</f>
        <v/>
      </c>
      <c r="D63" s="39">
        <f>IF('Cost &amp; Licensing'!D5="","",'Cost &amp; Licensing'!D5)</f>
        <v/>
      </c>
      <c r="E63" s="39">
        <f>IF('Cost &amp; Licensing'!E5="","",'Cost &amp; Licensing'!E5)</f>
        <v/>
      </c>
      <c r="F63" s="40">
        <f>IF('Cost &amp; Licensing'!F5="","",'Cost &amp; Licensing'!F5)</f>
        <v/>
      </c>
      <c r="G63" s="39">
        <f>IF('Cost &amp; Licensing'!G5="","",'Cost &amp; Licensing'!G5)</f>
        <v/>
      </c>
    </row>
    <row r="64">
      <c r="A64" s="41">
        <f>IF('Cost &amp; Licensing'!A6="","",'Cost &amp; Licensing'!A6)</f>
        <v/>
      </c>
      <c r="B64" s="41">
        <f>IF('Cost &amp; Licensing'!B6="","",'Cost &amp; Licensing'!B6)</f>
        <v/>
      </c>
      <c r="C64" s="41">
        <f>IF('Cost &amp; Licensing'!C6="","",'Cost &amp; Licensing'!C6)</f>
        <v/>
      </c>
      <c r="D64" s="41">
        <f>IF('Cost &amp; Licensing'!D6="","",'Cost &amp; Licensing'!D6)</f>
        <v/>
      </c>
      <c r="E64" s="41">
        <f>IF('Cost &amp; Licensing'!E6="","",'Cost &amp; Licensing'!E6)</f>
        <v/>
      </c>
      <c r="F64" s="40">
        <f>IF('Cost &amp; Licensing'!F6="","",'Cost &amp; Licensing'!F6)</f>
        <v/>
      </c>
      <c r="G64" s="41">
        <f>IF('Cost &amp; Licensing'!G6="","",'Cost &amp; Licensing'!G6)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OpenShift Container Platform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OpenShift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application modernization challenges are you trying to solve?</t>
        </is>
      </c>
      <c r="E4" s="41" t="inlineStr">
        <is>
          <t>Common challenges: Slow deployment cycles, Inconsistent environments, Infrastructure bottlenecks, Cloud vendor lock-in, Lack of developer self-service, High operational costs</t>
        </is>
      </c>
      <c r="F4" s="40" t="n"/>
      <c r="G4" s="41" t="inlineStr">
        <is>
          <t>Primary business driver for OpenShift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application deployment workflow?</t>
        </is>
      </c>
      <c r="E5" s="39" t="inlineStr">
        <is>
          <t>Describe manual steps, systems involved,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Application Portfolio</t>
        </is>
      </c>
      <c r="D6" s="41" t="inlineStr">
        <is>
          <t>How many applications do you plan to containerize?</t>
        </is>
      </c>
      <c r="E6" s="41" t="inlineStr">
        <is>
          <t>Typical ranges: 1-10, 11-50, 51-100, 100+</t>
        </is>
      </c>
      <c r="F6" s="40" t="n"/>
      <c r="G6" s="41" t="inlineStr">
        <is>
          <t>Application scope and migration planning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Deployment Frequency</t>
        </is>
      </c>
      <c r="D7" s="39" t="inlineStr">
        <is>
          <t>How often do you currently deploy applications to production?</t>
        </is>
      </c>
      <c r="E7" s="39" t="inlineStr">
        <is>
          <t>Typical frequencies: Daily, Weekly, Monthly, Quarterly, Ad-hoc</t>
        </is>
      </c>
      <c r="F7" s="40" t="n"/>
      <c r="G7" s="39" t="inlineStr">
        <is>
          <t>Deployment velocity drives CI/CD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OpenShift?</t>
        </is>
      </c>
      <c r="E8" s="41" t="inlineStr">
        <is>
          <t>Common goals: Accelerate deployment cycles, Enable developer self-service, Improve resource utilization, Support hybrid cloud, Modernize legacy apps, Reduce infrastructure costs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OpenShift success?</t>
        </is>
      </c>
      <c r="E9" s="39" t="inlineStr">
        <is>
          <t>Define KPIs: deployment frequency increase, time-to-market reduction, infrastructure cost savings, developer productivity gains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OpenShift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OpenShift solution?</t>
        </is>
      </c>
      <c r="E11" s="39" t="inlineStr">
        <is>
          <t>Common ranges: $100K-500K, $500K-1M, $1M-3M, $3M+. Include both infrastructure and services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container platform adoption?</t>
        </is>
      </c>
      <c r="E12" s="41" t="inlineStr">
        <is>
          <t>Consider expansion to additional teams, applications, and environments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containerized workload growth over 3 years?</t>
        </is>
      </c>
      <c r="E13" s="39" t="inlineStr">
        <is>
          <t>Provide current container count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Development Team</t>
        </is>
      </c>
      <c r="D2" s="41" t="inlineStr">
        <is>
          <t>How many developers will use the OpenShift platform?</t>
        </is>
      </c>
      <c r="E2" s="41" t="inlineStr">
        <is>
          <t>Typical ranges: 1-25, 26-100, 101-500, 500+</t>
        </is>
      </c>
      <c r="F2" s="40" t="n"/>
      <c r="G2" s="41" t="inlineStr">
        <is>
          <t>Developer seat count for RBAC and resource quotas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Development Team</t>
        </is>
      </c>
      <c r="D3" s="39" t="inlineStr">
        <is>
          <t>What is your team's experience level with Kubernetes and containers?</t>
        </is>
      </c>
      <c r="E3" s="39" t="inlineStr">
        <is>
          <t>Experience levels: None - new to containers, Basic - using Docker, Intermediate - some Kubernetes, Advanced - production Kubernetes</t>
        </is>
      </c>
      <c r="F3" s="40" t="n"/>
      <c r="G3" s="39" t="inlineStr">
        <is>
          <t>Training requirements assessment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Application Specifications</t>
        </is>
      </c>
      <c r="D4" s="41" t="inlineStr">
        <is>
          <t>What types of applications will run on OpenShift?</t>
        </is>
      </c>
      <c r="E4" s="41" t="inlineStr">
        <is>
          <t>Common types: Web apps, APIs/microservices, Batch jobs, Databases, Message queues, AI/ML workloads, Legacy apps</t>
        </is>
      </c>
      <c r="F4" s="40" t="n"/>
      <c r="G4" s="41" t="inlineStr">
        <is>
          <t>Workload classification and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Application Architecture</t>
        </is>
      </c>
      <c r="D5" s="39" t="inlineStr">
        <is>
          <t>Are your applications monolithic or microservices-based?</t>
        </is>
      </c>
      <c r="E5" s="39" t="inlineStr">
        <is>
          <t>Architecture types: Monolithic, Microservices, Mixed, Planning to modernize</t>
        </is>
      </c>
      <c r="F5" s="40" t="n"/>
      <c r="G5" s="39" t="inlineStr">
        <is>
          <t>Architecture pattern affects cluster design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Technology Stack</t>
        </is>
      </c>
      <c r="D6" s="41" t="inlineStr">
        <is>
          <t>What programming languages and frameworks do you use?</t>
        </is>
      </c>
      <c r="E6" s="41" t="inlineStr">
        <is>
          <t>Common stacks: Java/Spring, .NET, Node.js, Python, Go, Ruby, PHP</t>
        </is>
      </c>
      <c r="F6" s="40" t="n"/>
      <c r="G6" s="41" t="inlineStr">
        <is>
          <t>Runtime and build strategy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Database Requirements</t>
        </is>
      </c>
      <c r="D7" s="39" t="inlineStr">
        <is>
          <t>What databases will you run on or connect to from OpenShift?</t>
        </is>
      </c>
      <c r="E7" s="39" t="inlineStr">
        <is>
          <t>Database types: PostgreSQL, MySQL, MongoDB, Oracle, SQL Server, Redis, Elasticsearch</t>
        </is>
      </c>
      <c r="F7" s="40" t="n"/>
      <c r="G7" s="39" t="inlineStr">
        <is>
          <t>Stateful workload and storage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Container Registry</t>
        </is>
      </c>
      <c r="D8" s="41" t="inlineStr">
        <is>
          <t>Do you need a private container registry?</t>
        </is>
      </c>
      <c r="E8" s="41" t="inlineStr">
        <is>
          <t>Options: Use OpenShift integrated registry, External registry (Quay Harbor DockerHub), Hybrid approach</t>
        </is>
      </c>
      <c r="F8" s="40" t="n"/>
      <c r="G8" s="41" t="inlineStr">
        <is>
          <t>Container image storage and management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Deployment Platform</t>
        </is>
      </c>
      <c r="D9" s="39" t="inlineStr">
        <is>
          <t>What is your target deployment platform for OpenShift?</t>
        </is>
      </c>
      <c r="E9" s="39" t="inlineStr">
        <is>
          <t>Platform options: Bare metal servers, VMware vSphere, AWS (ROSA), Azure (ARO), Google Cloud, IBM Cloud, Multi-cloud</t>
        </is>
      </c>
      <c r="F9" s="40" t="n"/>
      <c r="G9" s="39" t="inlineStr">
        <is>
          <t>Infrastructure provider and deployment model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Cluster Sizing</t>
        </is>
      </c>
      <c r="D10" s="41" t="inlineStr">
        <is>
          <t>What is your expected OpenShift cluster size?</t>
        </is>
      </c>
      <c r="E10" s="41" t="inlineStr">
        <is>
          <t>Sizing categories: Small (3 control + 3 worker nodes), Medium (3 control + 6-12 workers), Large (3 control + 12+ workers), Multi-cluster</t>
        </is>
      </c>
      <c r="F10" s="40" t="n"/>
      <c r="G10" s="41" t="inlineStr">
        <is>
          <t>Cluster capacity and node count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Compute Requirements</t>
        </is>
      </c>
      <c r="D11" s="39" t="inlineStr">
        <is>
          <t>What are your total compute resource requirements?</t>
        </is>
      </c>
      <c r="E11" s="39" t="inlineStr">
        <is>
          <t>Specify total vCPUs and RAM needed across all nodes</t>
        </is>
      </c>
      <c r="F11" s="40" t="n"/>
      <c r="G11" s="39" t="inlineStr">
        <is>
          <t>Infrastructure sizing for workload capacity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Storage Requirements</t>
        </is>
      </c>
      <c r="D12" s="41" t="inlineStr">
        <is>
          <t>What are your persistent storage requirements?</t>
        </is>
      </c>
      <c r="E12" s="41" t="inlineStr">
        <is>
          <t>Storage types needed: Block storage (RWO), File storage (RWX), Object storage (S3), No persistent storage</t>
        </is>
      </c>
      <c r="F12" s="40" t="n"/>
      <c r="G12" s="41" t="inlineStr">
        <is>
          <t>Storage class and volume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Storage Volume</t>
        </is>
      </c>
      <c r="D13" s="39" t="inlineStr">
        <is>
          <t>What is your estimated total persistent storage capacity?</t>
        </is>
      </c>
      <c r="E13" s="39" t="inlineStr">
        <is>
          <t>Typical ranges: 1-10 TB, 10-50 TB, 50-100 TB, 100+ TB</t>
        </is>
      </c>
      <c r="F13" s="40" t="n"/>
      <c r="G13" s="39" t="inlineStr">
        <is>
          <t>Storage capacity planning and costs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High Availability</t>
        </is>
      </c>
      <c r="D14" s="41" t="inlineStr">
        <is>
          <t>What are your high availability requirements?</t>
        </is>
      </c>
      <c r="E14" s="41" t="inlineStr">
        <is>
          <t>HA levels: Single cluster, Multi-AZ cluster, Multi-cluster active-active, Multi-region DR</t>
        </is>
      </c>
      <c r="F14" s="40" t="n"/>
      <c r="G14" s="41" t="inlineStr">
        <is>
          <t>Availability architecture design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Disaster Recovery</t>
        </is>
      </c>
      <c r="D15" s="39" t="inlineStr">
        <is>
          <t>What are your Recovery Time Objective (RTO) and Recovery Point Objective (RPO)?</t>
        </is>
      </c>
      <c r="E15" s="39" t="inlineStr">
        <is>
          <t>RTO: Maximum acceptable downtime, RPO: Maximum acceptable data loss (in hours)</t>
        </is>
      </c>
      <c r="F15" s="40" t="n"/>
      <c r="G15" s="39" t="inlineStr">
        <is>
          <t>DR strategy and backup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Networking</t>
        </is>
      </c>
      <c r="D16" s="41" t="inlineStr">
        <is>
          <t>What networking model do you prefer?</t>
        </is>
      </c>
      <c r="E16" s="41" t="inlineStr">
        <is>
          <t>Network plugins: OpenShift SDN, OVN-Kubernetes, Calico, Cilium</t>
        </is>
      </c>
      <c r="F16" s="40" t="n"/>
      <c r="G16" s="41" t="inlineStr">
        <is>
          <t>Network architecture and policy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Load Balancing</t>
        </is>
      </c>
      <c r="D17" s="39" t="inlineStr">
        <is>
          <t>What load balancing requirements do you have?</t>
        </is>
      </c>
      <c r="E17" s="39" t="inlineStr">
        <is>
          <t>Load balancer types: OpenShift Router, External load balancer (F5 NGINX), Cloud load balancer, Service mesh (Istio)</t>
        </is>
      </c>
      <c r="F17" s="40" t="n"/>
      <c r="G17" s="39" t="inlineStr">
        <is>
          <t>Ingress and traffic management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Service Mesh</t>
        </is>
      </c>
      <c r="D18" s="41" t="inlineStr">
        <is>
          <t>Do you need service mesh capabilities?</t>
        </is>
      </c>
      <c r="E18" s="41" t="inlineStr">
        <is>
          <t>Service mesh features: Traffic management, Security (mTLS), Observability, Circuit breaking</t>
        </is>
      </c>
      <c r="F18" s="40" t="n"/>
      <c r="G18" s="41" t="inlineStr">
        <is>
          <t>Microservices communication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Multi-tenancy</t>
        </is>
      </c>
      <c r="D19" s="39" t="inlineStr">
        <is>
          <t>Do you need to support multiple teams or environments on the same cluster?</t>
        </is>
      </c>
      <c r="E19" s="39" t="inlineStr">
        <is>
          <t>Multi-tenancy options: Shared cluster with namespaces, Dedicated clusters per team, Hybrid approach</t>
        </is>
      </c>
      <c r="F19" s="40" t="n"/>
      <c r="G19" s="39" t="inlineStr">
        <is>
          <t>Tenant isolation and resource allocation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CI/CD Integration</t>
        </is>
      </c>
      <c r="D20" s="41" t="inlineStr">
        <is>
          <t>What CI/CD tools do you currently use?</t>
        </is>
      </c>
      <c r="E20" s="41" t="inlineStr">
        <is>
          <t>CI/CD tools: Jenkins, GitLab, GitHub Actions, Azure DevOps, Tekton, ArgoCD, None</t>
        </is>
      </c>
      <c r="F20" s="40" t="n"/>
      <c r="G20" s="41" t="inlineStr">
        <is>
          <t>Pipeline integration requirements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GitOps</t>
        </is>
      </c>
      <c r="D21" s="39" t="inlineStr">
        <is>
          <t>Are you interested in GitOps deployment model?</t>
        </is>
      </c>
      <c r="E21" s="39" t="inlineStr">
        <is>
          <t>GitOps tools: ArgoCD (included), Flux, Manual deployment</t>
        </is>
      </c>
      <c r="F21" s="40" t="n"/>
      <c r="G21" s="39" t="inlineStr">
        <is>
          <t>Application deployment methodology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Security Standards</t>
        </is>
      </c>
      <c r="D2" s="41" t="inlineStr">
        <is>
          <t>What security and compliance standards must you meet?</t>
        </is>
      </c>
      <c r="E2" s="41" t="inlineStr">
        <is>
          <t>Common standards: SOC 2, ISO 27001, PCI DSS, HIPAA, GDPR, NIST 800-53, FedRAMP, STIGs</t>
        </is>
      </c>
      <c r="F2" s="40" t="n"/>
      <c r="G2" s="41" t="inlineStr">
        <is>
          <t>Compliance controls and audit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Data Classification</t>
        </is>
      </c>
      <c r="D3" s="39" t="inlineStr">
        <is>
          <t>What is the highest data classification level in your applications?</t>
        </is>
      </c>
      <c r="E3" s="39" t="inlineStr">
        <is>
          <t>Levels: Public, Internal use, Confidential, Restricted/Regulated</t>
        </is>
      </c>
      <c r="F3" s="40" t="n"/>
      <c r="G3" s="39" t="inlineStr">
        <is>
          <t>Determines security controls and encryption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Identity Provider</t>
        </is>
      </c>
      <c r="D4" s="41" t="inlineStr">
        <is>
          <t>What identity provider do you use for authentication?</t>
        </is>
      </c>
      <c r="E4" s="41" t="inlineStr">
        <is>
          <t>Identity providers: Active Directory, LDAP, Okta, Azure AD, Google Workspace, AWS IAM, OAuth/OIDC</t>
        </is>
      </c>
      <c r="F4" s="40" t="n"/>
      <c r="G4" s="41" t="inlineStr">
        <is>
          <t>SSO and RBAC integration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role-based access control (RBAC) requirements do you have?</t>
        </is>
      </c>
      <c r="E5" s="39" t="inlineStr">
        <is>
          <t>RBAC needs: Developer roles, Admin roles, Read-only roles, Custom roles, External user access</t>
        </is>
      </c>
      <c r="F5" s="40" t="n"/>
      <c r="G5" s="39" t="inlineStr">
        <is>
          <t>Authorization model design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Container Security</t>
        </is>
      </c>
      <c r="D6" s="41" t="inlineStr">
        <is>
          <t>What container security scanning do you require?</t>
        </is>
      </c>
      <c r="E6" s="41" t="inlineStr">
        <is>
          <t>Security scanning: Image vulnerability scanning, Compliance scanning, Runtime security, Admission control</t>
        </is>
      </c>
      <c r="F6" s="40" t="n"/>
      <c r="G6" s="41" t="inlineStr">
        <is>
          <t>Security tooling and policies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Network Security</t>
        </is>
      </c>
      <c r="D7" s="39" t="inlineStr">
        <is>
          <t>What network security policies are required?</t>
        </is>
      </c>
      <c r="E7" s="39" t="inlineStr">
        <is>
          <t>Network policies: Namespace isolation, Ingress/egress rules, Zero-trust networking, Encryption in transit</t>
        </is>
      </c>
      <c r="F7" s="40" t="n"/>
      <c r="G7" s="39" t="inlineStr">
        <is>
          <t>Network segmentation and controls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Secrets Management</t>
        </is>
      </c>
      <c r="D8" s="41" t="inlineStr">
        <is>
          <t>How do you currently manage application secrets and credentials?</t>
        </is>
      </c>
      <c r="E8" s="41" t="inlineStr">
        <is>
          <t>Secret management: Kubernetes secrets, HashiCorp Vault, AWS Secrets Manager, Azure Key Vault, CyberArk</t>
        </is>
      </c>
      <c r="F8" s="40" t="n"/>
      <c r="G8" s="41" t="inlineStr">
        <is>
          <t>Secrets storage and rotation strategy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Certificate Management</t>
        </is>
      </c>
      <c r="D9" s="39" t="inlineStr">
        <is>
          <t>What SSL/TLS certificate management requirements do you have?</t>
        </is>
      </c>
      <c r="E9" s="39" t="inlineStr">
        <is>
          <t>Certificate needs: Wildcard certs, Per-route certs, Let's Encrypt integration, Corporate CA</t>
        </is>
      </c>
      <c r="F9" s="40" t="n"/>
      <c r="G9" s="39" t="inlineStr">
        <is>
          <t>Certificate provisioning and renewal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Encryption</t>
        </is>
      </c>
      <c r="D10" s="41" t="inlineStr">
        <is>
          <t>What encryption requirements apply?</t>
        </is>
      </c>
      <c r="E10" s="41" t="inlineStr">
        <is>
          <t>Encryption needs: Encryption at rest (LUKS), Encryption in transit (TLS), Key management (KMIP)</t>
        </is>
      </c>
      <c r="F10" s="40" t="n"/>
      <c r="G10" s="41" t="inlineStr">
        <is>
          <t>Data protection and key management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Audit Logging</t>
        </is>
      </c>
      <c r="D11" s="39" t="inlineStr">
        <is>
          <t>What audit and logging requirements do you have?</t>
        </is>
      </c>
      <c r="E11" s="39" t="inlineStr">
        <is>
          <t>Logging needs: API audit logs, Application logs, Security events, Compliance reporting</t>
        </is>
      </c>
      <c r="F11" s="40" t="n"/>
      <c r="G11" s="39" t="inlineStr">
        <is>
          <t>Audit trail and compliance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Monitoring</t>
        </is>
      </c>
      <c r="D2" s="41" t="inlineStr">
        <is>
          <t>What monitoring and observability tools do you use?</t>
        </is>
      </c>
      <c r="E2" s="41" t="inlineStr">
        <is>
          <t>Monitoring tools: Prometheus/Grafana (included), Datadog, New Relic, Dynatrace, Splunk, ELK Stack</t>
        </is>
      </c>
      <c r="F2" s="40" t="n"/>
      <c r="G2" s="41" t="inlineStr">
        <is>
          <t>Platform and application monitoring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Logging</t>
        </is>
      </c>
      <c r="D3" s="39" t="inlineStr">
        <is>
          <t>What centralized logging solution do you require?</t>
        </is>
      </c>
      <c r="E3" s="39" t="inlineStr">
        <is>
          <t>Logging platforms: OpenShift Logging (EFK), Splunk, Elastic, Datadog, CloudWatch</t>
        </is>
      </c>
      <c r="F3" s="40" t="n"/>
      <c r="G3" s="39" t="inlineStr">
        <is>
          <t>Log aggregation and retention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Alerting</t>
        </is>
      </c>
      <c r="D4" s="41" t="inlineStr">
        <is>
          <t>What alerting and incident management tools do you use?</t>
        </is>
      </c>
      <c r="E4" s="41" t="inlineStr">
        <is>
          <t>Alert systems: Alertmanager (included), PagerDuty, OpsGenie, VictorOps, Email/Slack</t>
        </is>
      </c>
      <c r="F4" s="40" t="n"/>
      <c r="G4" s="41" t="inlineStr">
        <is>
          <t>Incident response and on-call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Backup &amp; Recovery</t>
        </is>
      </c>
      <c r="D5" s="39" t="inlineStr">
        <is>
          <t>What backup and recovery procedures are required?</t>
        </is>
      </c>
      <c r="E5" s="39" t="inlineStr">
        <is>
          <t>Backup scope: etcd cluster data, Persistent volumes, Application configs, Disaster recovery testing</t>
        </is>
      </c>
      <c r="F5" s="40" t="n"/>
      <c r="G5" s="39" t="inlineStr">
        <is>
          <t>Data protection and recovery strategy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Upgrade Strategy</t>
        </is>
      </c>
      <c r="D6" s="41" t="inlineStr">
        <is>
          <t>How do you plan to handle OpenShift version upgrades?</t>
        </is>
      </c>
      <c r="E6" s="41" t="inlineStr">
        <is>
          <t>Upgrade approaches: Automated rolling upgrades, Scheduled maintenance windows, Blue-green cluster strategy</t>
        </is>
      </c>
      <c r="F6" s="40" t="n"/>
      <c r="G6" s="41" t="inlineStr">
        <is>
          <t>Platform lifecycle management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Support Coverage</t>
        </is>
      </c>
      <c r="D7" s="39" t="inlineStr">
        <is>
          <t>What support coverage do you require?</t>
        </is>
      </c>
      <c r="E7" s="39" t="inlineStr">
        <is>
          <t>Support levels: Business hours (8x5), Extended (24x5), Full (24x7), Self-support</t>
        </is>
      </c>
      <c r="F7" s="40" t="n"/>
      <c r="G7" s="39" t="inlineStr">
        <is>
          <t>Support staffing and SLA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Day 2 Operations</t>
        </is>
      </c>
      <c r="D8" s="41" t="inlineStr">
        <is>
          <t>Who will manage day-to-day OpenShift operations?</t>
        </is>
      </c>
      <c r="E8" s="41" t="inlineStr">
        <is>
          <t>Operations model: Internal platform team, Managed services, Hybrid approach, Vendor support</t>
        </is>
      </c>
      <c r="F8" s="40" t="n"/>
      <c r="G8" s="41" t="inlineStr">
        <is>
          <t>Operational responsibility and staffing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Training Needs</t>
        </is>
      </c>
      <c r="D9" s="39" t="inlineStr">
        <is>
          <t>What training do your teams need for OpenShift?</t>
        </is>
      </c>
      <c r="E9" s="39" t="inlineStr">
        <is>
          <t>Training types: Developer training, Administrator training, Security training, Architecture training</t>
        </is>
      </c>
      <c r="F9" s="40" t="n"/>
      <c r="G9" s="39" t="inlineStr">
        <is>
          <t>Skills development and enablement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INT-001</t>
        </is>
      </c>
      <c r="B2" s="41" t="inlineStr">
        <is>
          <t>Integration Requirements</t>
        </is>
      </c>
      <c r="C2" s="41" t="inlineStr">
        <is>
          <t>External Systems</t>
        </is>
      </c>
      <c r="D2" s="41" t="inlineStr">
        <is>
          <t>What external systems need to integrate with applications on OpenShift?</t>
        </is>
      </c>
      <c r="E2" s="41" t="inlineStr">
        <is>
          <t>Integration types: Databases, APIs, Message queues, Legacy systems, SaaS applications</t>
        </is>
      </c>
      <c r="F2" s="40" t="n"/>
      <c r="G2" s="41" t="inlineStr">
        <is>
          <t>Integration scope and complexity</t>
        </is>
      </c>
    </row>
    <row r="3">
      <c r="A3" s="39" t="inlineStr">
        <is>
          <t>INT-002</t>
        </is>
      </c>
      <c r="B3" s="39" t="inlineStr">
        <is>
          <t>Integration Requirements</t>
        </is>
      </c>
      <c r="C3" s="39" t="inlineStr">
        <is>
          <t>Service Dependencies</t>
        </is>
      </c>
      <c r="D3" s="39" t="inlineStr">
        <is>
          <t>What shared services do applications require?</t>
        </is>
      </c>
      <c r="E3" s="39" t="inlineStr">
        <is>
          <t>Shared services: LDAP/AD, DNS, SMTP, Proxy servers, NTP, Syslog</t>
        </is>
      </c>
      <c r="F3" s="40" t="n"/>
      <c r="G3" s="39" t="inlineStr">
        <is>
          <t>Infrastructure dependency mapping</t>
        </is>
      </c>
    </row>
    <row r="4">
      <c r="A4" s="41" t="inlineStr">
        <is>
          <t>INT-003</t>
        </is>
      </c>
      <c r="B4" s="41" t="inlineStr">
        <is>
          <t>Integration Requirements</t>
        </is>
      </c>
      <c r="C4" s="41" t="inlineStr">
        <is>
          <t>API Management</t>
        </is>
      </c>
      <c r="D4" s="41" t="inlineStr">
        <is>
          <t>Do you need API management capabilities?</t>
        </is>
      </c>
      <c r="E4" s="41" t="inlineStr">
        <is>
          <t>API management: 3scale API Management (Red Hat), Kong, Apigee, AWS API Gateway, None</t>
        </is>
      </c>
      <c r="F4" s="40" t="n"/>
      <c r="G4" s="41" t="inlineStr">
        <is>
          <t>API gateway and developer portal needs</t>
        </is>
      </c>
    </row>
    <row r="5">
      <c r="A5" s="39" t="inlineStr">
        <is>
          <t>INT-004</t>
        </is>
      </c>
      <c r="B5" s="39" t="inlineStr">
        <is>
          <t>Integration Requirements</t>
        </is>
      </c>
      <c r="C5" s="39" t="inlineStr">
        <is>
          <t>Message Queues</t>
        </is>
      </c>
      <c r="D5" s="39" t="inlineStr">
        <is>
          <t>What messaging systems do you use?</t>
        </is>
      </c>
      <c r="E5" s="39" t="inlineStr">
        <is>
          <t>Message systems: Kafka, RabbitMQ, ActiveMQ, AWS SQS/SNS, Azure Service Bus</t>
        </is>
      </c>
      <c r="F5" s="40" t="n"/>
      <c r="G5" s="39" t="inlineStr">
        <is>
          <t>Async messaging and event streaming</t>
        </is>
      </c>
    </row>
    <row r="6">
      <c r="A6" s="41" t="inlineStr">
        <is>
          <t>INT-005</t>
        </is>
      </c>
      <c r="B6" s="41" t="inlineStr">
        <is>
          <t>Integration Requirements</t>
        </is>
      </c>
      <c r="C6" s="41" t="inlineStr">
        <is>
          <t>Observability Integration</t>
        </is>
      </c>
      <c r="D6" s="41" t="inlineStr">
        <is>
          <t>How should OpenShift integrate with existing monitoring/logging?</t>
        </is>
      </c>
      <c r="E6" s="41" t="inlineStr">
        <is>
          <t>Integration methods: Forward logs to existing SIEM, Export metrics to enterprise monitoring, Standalone monitoring</t>
        </is>
      </c>
      <c r="F6" s="40" t="n"/>
      <c r="G6" s="41" t="inlineStr">
        <is>
          <t>Enterprise observability platform integration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COST-001</t>
        </is>
      </c>
      <c r="B2" s="41" t="inlineStr">
        <is>
          <t>Cost &amp; Licensing</t>
        </is>
      </c>
      <c r="C2" s="41" t="inlineStr">
        <is>
          <t>Licensing Model</t>
        </is>
      </c>
      <c r="D2" s="41" t="inlineStr">
        <is>
          <t>What OpenShift licensing model do you prefer?</t>
        </is>
      </c>
      <c r="E2" s="41" t="inlineStr">
        <is>
          <t>License types: OpenShift Platform (base), OpenShift Platform Plus (includes ACM ODF ACS), Core-based, Cluster-based</t>
        </is>
      </c>
      <c r="F2" s="40" t="n"/>
      <c r="G2" s="41" t="inlineStr">
        <is>
          <t>Licensing structure and features</t>
        </is>
      </c>
    </row>
    <row r="3">
      <c r="A3" s="39" t="inlineStr">
        <is>
          <t>COST-002</t>
        </is>
      </c>
      <c r="B3" s="39" t="inlineStr">
        <is>
          <t>Cost &amp; Licensing</t>
        </is>
      </c>
      <c r="C3" s="39" t="inlineStr">
        <is>
          <t>Subscription Term</t>
        </is>
      </c>
      <c r="D3" s="39" t="inlineStr">
        <is>
          <t>What subscription term do you prefer?</t>
        </is>
      </c>
      <c r="E3" s="39" t="inlineStr">
        <is>
          <t>Terms: Annual subscription, 3-year commitment, Enterprise Agreement</t>
        </is>
      </c>
      <c r="F3" s="40" t="n"/>
      <c r="G3" s="39" t="inlineStr">
        <is>
          <t>Contract term and pricing</t>
        </is>
      </c>
    </row>
    <row r="4">
      <c r="A4" s="41" t="inlineStr">
        <is>
          <t>COST-003</t>
        </is>
      </c>
      <c r="B4" s="41" t="inlineStr">
        <is>
          <t>Cost &amp; Licensing</t>
        </is>
      </c>
      <c r="C4" s="41" t="inlineStr">
        <is>
          <t>Infrastructure Costs</t>
        </is>
      </c>
      <c r="D4" s="41" t="inlineStr">
        <is>
          <t>Do you have existing infrastructure or need new hardware/VMs?</t>
        </is>
      </c>
      <c r="E4" s="41" t="inlineStr">
        <is>
          <t>Infrastructure: Existing capacity available, Need new servers/VMs, Cloud infrastructure (IaaS), Managed service (ROSA/ARO)</t>
        </is>
      </c>
      <c r="F4" s="40" t="n"/>
      <c r="G4" s="41" t="inlineStr">
        <is>
          <t>Infrastructure investment requirements</t>
        </is>
      </c>
    </row>
    <row r="5">
      <c r="A5" s="39" t="inlineStr">
        <is>
          <t>COST-004</t>
        </is>
      </c>
      <c r="B5" s="39" t="inlineStr">
        <is>
          <t>Cost &amp; Licensing</t>
        </is>
      </c>
      <c r="C5" s="39" t="inlineStr">
        <is>
          <t>Professional Services</t>
        </is>
      </c>
      <c r="D5" s="39" t="inlineStr">
        <is>
          <t>What professional services do you need?</t>
        </is>
      </c>
      <c r="E5" s="39" t="inlineStr">
        <is>
          <t>Services: Architecture design, Implementation, Migration assistance, Training, Ongoing support</t>
        </is>
      </c>
      <c r="F5" s="40" t="n"/>
      <c r="G5" s="39" t="inlineStr">
        <is>
          <t>Services scope and budget allocation</t>
        </is>
      </c>
    </row>
    <row r="6">
      <c r="A6" s="41" t="inlineStr">
        <is>
          <t>COST-005</t>
        </is>
      </c>
      <c r="B6" s="41" t="inlineStr">
        <is>
          <t>Cost &amp; Licensing</t>
        </is>
      </c>
      <c r="C6" s="41" t="inlineStr">
        <is>
          <t>Cost Optimization</t>
        </is>
      </c>
      <c r="D6" s="41" t="inlineStr">
        <is>
          <t>What are your priorities for cost optimization?</t>
        </is>
      </c>
      <c r="E6" s="41" t="inlineStr">
        <is>
          <t>Cost priorities: Right-sizing workloads, Autoscaling, Spot/preemptible instances, Reserved capacity, Multi-tenancy</t>
        </is>
      </c>
      <c r="F6" s="40" t="n"/>
      <c r="G6" s="41" t="inlineStr">
        <is>
          <t>Cost management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2025-11-22T19:11:36Z</dcterms:modified>
  <cp:lastModifiedBy>Kishan Siram</cp:lastModifiedBy>
</cp:coreProperties>
</file>