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Costs'!$A$2:$K$22</definedName>
    <definedName name="_xlnm._FilterDatabase" localSheetId="3" hidden="1">'Credits'!$A$2:$D$6</definedName>
    <definedName name="_xlnm._FilterDatabase" localSheetId="4" hidden="1">'3-Year Summary'!$A$2:$G$8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Openshift Container Platform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Cluster Configuration</t>
        </is>
      </c>
      <c r="B3" s="38" t="inlineStr">
        <is>
          <t>Control Plane Nodes</t>
        </is>
      </c>
      <c r="C3" s="39" t="inlineStr">
        <is>
          <t>3 nodes (8 vCPU 32GB)</t>
        </is>
      </c>
      <c r="D3" s="39" t="inlineStr">
        <is>
          <t>3 nodes (8 vCPU 32GB)</t>
        </is>
      </c>
      <c r="E3" s="39" t="inlineStr">
        <is>
          <t>3 nodes (16 vCPU 64GB)</t>
        </is>
      </c>
      <c r="F3" s="38" t="inlineStr">
        <is>
          <t>High availability control plane</t>
        </is>
      </c>
    </row>
    <row r="4" ht="26" customHeight="1">
      <c r="A4" s="40" t="inlineStr">
        <is>
          <t>Cluster Configuration</t>
        </is>
      </c>
      <c r="B4" s="41" t="inlineStr">
        <is>
          <t>Worker Nodes</t>
        </is>
      </c>
      <c r="C4" s="42" t="inlineStr">
        <is>
          <t>3 nodes (16 vCPU 64GB)</t>
        </is>
      </c>
      <c r="D4" s="42" t="inlineStr">
        <is>
          <t>6 nodes (32 vCPU 128GB)</t>
        </is>
      </c>
      <c r="E4" s="42" t="inlineStr">
        <is>
          <t>12 nodes (32 vCPU 128GB)</t>
        </is>
      </c>
      <c r="F4" s="41" t="inlineStr">
        <is>
          <t>Application workload capacity</t>
        </is>
      </c>
    </row>
    <row r="5" ht="26" customHeight="1">
      <c r="A5" s="37" t="inlineStr">
        <is>
          <t>Cluster Configuration</t>
        </is>
      </c>
      <c r="B5" s="38" t="inlineStr">
        <is>
          <t>Total vCPUs</t>
        </is>
      </c>
      <c r="C5" s="39" t="inlineStr">
        <is>
          <t>72 vCPUs</t>
        </is>
      </c>
      <c r="D5" s="39" t="inlineStr">
        <is>
          <t>240 vCPUs</t>
        </is>
      </c>
      <c r="E5" s="39" t="inlineStr">
        <is>
          <t>576 vCPUs</t>
        </is>
      </c>
      <c r="F5" s="38" t="inlineStr">
        <is>
          <t>Combined control plane and workers</t>
        </is>
      </c>
    </row>
    <row r="6" ht="26" customHeight="1">
      <c r="A6" s="40" t="inlineStr">
        <is>
          <t>Cluster Configuration</t>
        </is>
      </c>
      <c r="B6" s="41" t="inlineStr">
        <is>
          <t>Total RAM</t>
        </is>
      </c>
      <c r="C6" s="42" t="inlineStr">
        <is>
          <t>288 GB</t>
        </is>
      </c>
      <c r="D6" s="42" t="inlineStr">
        <is>
          <t>960 GB</t>
        </is>
      </c>
      <c r="E6" s="42" t="inlineStr">
        <is>
          <t>2304 GB</t>
        </is>
      </c>
      <c r="F6" s="41" t="inlineStr">
        <is>
          <t>Combined control plane and workers</t>
        </is>
      </c>
    </row>
    <row r="7" ht="26" customHeight="1">
      <c r="A7" s="37" t="inlineStr">
        <is>
          <t>Cluster Configuration</t>
        </is>
      </c>
      <c r="B7" s="38" t="inlineStr">
        <is>
          <t>Total Containers</t>
        </is>
      </c>
      <c r="C7" s="39" t="inlineStr">
        <is>
          <t>100-200 containers</t>
        </is>
      </c>
      <c r="D7" s="39" t="inlineStr">
        <is>
          <t>500-1000 containers</t>
        </is>
      </c>
      <c r="E7" s="39" t="inlineStr">
        <is>
          <t>2000+ containers</t>
        </is>
      </c>
      <c r="F7" s="38" t="inlineStr">
        <is>
          <t>Pod capacity estimate</t>
        </is>
      </c>
    </row>
    <row r="8" ht="26" customHeight="1">
      <c r="A8" s="40" t="inlineStr">
        <is>
          <t>Storage Configuration</t>
        </is>
      </c>
      <c r="B8" s="41" t="inlineStr">
        <is>
          <t>Persistent Storage</t>
        </is>
      </c>
      <c r="C8" s="42" t="inlineStr">
        <is>
          <t>5 TB</t>
        </is>
      </c>
      <c r="D8" s="42" t="inlineStr">
        <is>
          <t>20 TB</t>
        </is>
      </c>
      <c r="E8" s="42" t="inlineStr">
        <is>
          <t>100 TB</t>
        </is>
      </c>
      <c r="F8" s="41" t="inlineStr">
        <is>
          <t>Application persistent volumes</t>
        </is>
      </c>
    </row>
    <row r="9" ht="26" customHeight="1">
      <c r="A9" s="37" t="inlineStr">
        <is>
          <t>Storage Configuration</t>
        </is>
      </c>
      <c r="B9" s="38" t="inlineStr">
        <is>
          <t>Registry Storage</t>
        </is>
      </c>
      <c r="C9" s="39" t="inlineStr">
        <is>
          <t>1 TB</t>
        </is>
      </c>
      <c r="D9" s="39" t="inlineStr">
        <is>
          <t>5 TB</t>
        </is>
      </c>
      <c r="E9" s="39" t="inlineStr">
        <is>
          <t>20 TB</t>
        </is>
      </c>
      <c r="F9" s="38" t="inlineStr">
        <is>
          <t>Container image registry</t>
        </is>
      </c>
    </row>
    <row r="10" ht="26" customHeight="1">
      <c r="A10" s="40" t="inlineStr">
        <is>
          <t>Software Licensing</t>
        </is>
      </c>
      <c r="B10" s="41" t="inlineStr">
        <is>
          <t>OpenShift Subscription</t>
        </is>
      </c>
      <c r="C10" s="42" t="inlineStr">
        <is>
          <t>72 cores</t>
        </is>
      </c>
      <c r="D10" s="42" t="inlineStr">
        <is>
          <t>240 cores</t>
        </is>
      </c>
      <c r="E10" s="42" t="inlineStr">
        <is>
          <t>576 cores</t>
        </is>
      </c>
      <c r="F10" s="41" t="inlineStr">
        <is>
          <t>Core-based licensing (2-core increments)</t>
        </is>
      </c>
    </row>
    <row r="11" ht="26" customHeight="1">
      <c r="A11" s="37" t="inlineStr">
        <is>
          <t>Support Level</t>
        </is>
      </c>
      <c r="B11" s="38" t="inlineStr">
        <is>
          <t>Red Hat Support</t>
        </is>
      </c>
      <c r="C11" s="39" t="inlineStr">
        <is>
          <t>Standard Support</t>
        </is>
      </c>
      <c r="D11" s="39" t="inlineStr">
        <is>
          <t>Premium Support</t>
        </is>
      </c>
      <c r="E11" s="39" t="inlineStr">
        <is>
          <t>Premium Support</t>
        </is>
      </c>
      <c r="F11" s="38" t="inlineStr">
        <is>
          <t>SLA and response time requirements</t>
        </is>
      </c>
    </row>
    <row r="12" ht="26" customHeight="1">
      <c r="A12" s="40" t="inlineStr">
        <is>
          <t>Developer Count</t>
        </is>
      </c>
      <c r="B12" s="41" t="inlineStr">
        <is>
          <t>Platform Users</t>
        </is>
      </c>
      <c r="C12" s="42" t="inlineStr">
        <is>
          <t>10-25 developers</t>
        </is>
      </c>
      <c r="D12" s="42" t="inlineStr">
        <is>
          <t>50-100 developers</t>
        </is>
      </c>
      <c r="E12" s="42" t="inlineStr">
        <is>
          <t>200+ developers</t>
        </is>
      </c>
      <c r="F12" s="41" t="inlineStr">
        <is>
          <t>User access and RBAC requirements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Hardware/Equipment</t>
        </is>
      </c>
      <c r="B3" s="44" t="inlineStr">
        <is>
          <t>Control Plane Servers</t>
        </is>
      </c>
      <c r="C3" s="44" t="inlineStr">
        <is>
          <t>VMware VMs or bare metal (3x 8 vCPU 32GB RAM)</t>
        </is>
      </c>
      <c r="D3" s="45" t="n">
        <v>3</v>
      </c>
      <c r="E3" s="44" t="inlineStr">
        <is>
          <t>Servers</t>
        </is>
      </c>
      <c r="F3" s="46" t="n">
        <v>5000</v>
      </c>
      <c r="G3" s="46">
        <f>D3*F3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Control plane nodes (HA configuration)</t>
        </is>
      </c>
    </row>
    <row r="4" ht="26" customHeight="1">
      <c r="A4" s="47" t="inlineStr">
        <is>
          <t>Hardware/Equipment</t>
        </is>
      </c>
      <c r="B4" s="48" t="inlineStr">
        <is>
          <t>Worker Node Servers</t>
        </is>
      </c>
      <c r="C4" s="48" t="inlineStr">
        <is>
          <t>Application worker nodes (6x 32 vCPU 128GB RAM)</t>
        </is>
      </c>
      <c r="D4" s="49" t="n">
        <v>6</v>
      </c>
      <c r="E4" s="48" t="inlineStr">
        <is>
          <t>Servers</t>
        </is>
      </c>
      <c r="F4" s="50" t="n">
        <v>20000</v>
      </c>
      <c r="G4" s="50">
        <f>D4*F4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Worker nodes for containerized workloads</t>
        </is>
      </c>
    </row>
    <row r="5" ht="26" customHeight="1">
      <c r="A5" s="43" t="inlineStr">
        <is>
          <t>Hardware/Equipment</t>
        </is>
      </c>
      <c r="B5" s="44" t="inlineStr">
        <is>
          <t>Storage Infrastructure</t>
        </is>
      </c>
      <c r="C5" s="44" t="inlineStr">
        <is>
          <t>Block storage for persistent volumes (20TB usable)</t>
        </is>
      </c>
      <c r="D5" s="45" t="n">
        <v>20</v>
      </c>
      <c r="E5" s="44" t="inlineStr">
        <is>
          <t>TB</t>
        </is>
      </c>
      <c r="F5" s="46" t="n">
        <v>400</v>
      </c>
      <c r="G5" s="46">
        <f>D5*F5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SAN or NFS storage for PVs</t>
        </is>
      </c>
    </row>
    <row r="6" ht="26" customHeight="1">
      <c r="A6" s="47" t="inlineStr">
        <is>
          <t>Hardware/Equipment</t>
        </is>
      </c>
      <c r="B6" s="48" t="inlineStr">
        <is>
          <t>Load Balancer</t>
        </is>
      </c>
      <c r="C6" s="48" t="inlineStr">
        <is>
          <t>External load balancer for ingress traffic</t>
        </is>
      </c>
      <c r="D6" s="49" t="n">
        <v>2</v>
      </c>
      <c r="E6" s="48" t="inlineStr">
        <is>
          <t>Appliances</t>
        </is>
      </c>
      <c r="F6" s="50" t="n">
        <v>8000</v>
      </c>
      <c r="G6" s="50">
        <f>D6*F6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HA load balancer pair</t>
        </is>
      </c>
    </row>
    <row r="7" ht="26" customHeight="1">
      <c r="A7" s="43" t="inlineStr">
        <is>
          <t>Software Licenses</t>
        </is>
      </c>
      <c r="B7" s="44" t="inlineStr">
        <is>
          <t>OpenShift Platform Plus</t>
        </is>
      </c>
      <c r="C7" s="44" t="inlineStr">
        <is>
          <t>OpenShift Platform Plus subscription (240 cores)</t>
        </is>
      </c>
      <c r="D7" s="45" t="n">
        <v>120</v>
      </c>
      <c r="E7" s="44" t="inlineStr">
        <is>
          <t>2-Core Packs</t>
        </is>
      </c>
      <c r="F7" s="46" t="n">
        <v>800</v>
      </c>
      <c r="G7" s="46">
        <f>D7*F7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Includes OpenShift ACM ODF ACS</t>
        </is>
      </c>
    </row>
    <row r="8" ht="26" customHeight="1">
      <c r="A8" s="47" t="inlineStr">
        <is>
          <t>Software Licenses</t>
        </is>
      </c>
      <c r="B8" s="48" t="inlineStr">
        <is>
          <t>RHEL Subscriptions</t>
        </is>
      </c>
      <c r="C8" s="48" t="inlineStr">
        <is>
          <t>Red Hat Enterprise Linux for worker nodes</t>
        </is>
      </c>
      <c r="D8" s="49" t="n">
        <v>6</v>
      </c>
      <c r="E8" s="48" t="inlineStr">
        <is>
          <t>Server Subs</t>
        </is>
      </c>
      <c r="F8" s="50" t="n">
        <v>800</v>
      </c>
      <c r="G8" s="50">
        <f>D8*F8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RHEL operating system licensing</t>
        </is>
      </c>
    </row>
    <row r="9" ht="26" customHeight="1">
      <c r="A9" s="43" t="inlineStr">
        <is>
          <t>Software Licenses</t>
        </is>
      </c>
      <c r="B9" s="44" t="inlineStr">
        <is>
          <t>OpenShift Data Foundation</t>
        </is>
      </c>
      <c r="C9" s="44" t="inlineStr">
        <is>
          <t>ODF subscription for storage services (20TB)</t>
        </is>
      </c>
      <c r="D9" s="45" t="n">
        <v>10</v>
      </c>
      <c r="E9" s="44" t="inlineStr">
        <is>
          <t>2-TB Packs</t>
        </is>
      </c>
      <c r="F9" s="46" t="n">
        <v>1000</v>
      </c>
      <c r="G9" s="46">
        <f>D9*F9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Software-defined storage (Ceph-based)</t>
        </is>
      </c>
    </row>
    <row r="10" ht="26" customHeight="1">
      <c r="A10" s="47" t="inlineStr">
        <is>
          <t>Software Licenses</t>
        </is>
      </c>
      <c r="B10" s="48" t="inlineStr">
        <is>
          <t>Advanced Cluster Security</t>
        </is>
      </c>
      <c r="C10" s="48" t="inlineStr">
        <is>
          <t>ACS for Kubernetes security scanning</t>
        </is>
      </c>
      <c r="D10" s="49" t="n">
        <v>1</v>
      </c>
      <c r="E10" s="48" t="inlineStr">
        <is>
          <t>Cluster</t>
        </is>
      </c>
      <c r="F10" s="50" t="n">
        <v>12000</v>
      </c>
      <c r="G10" s="50">
        <f>D10*F10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Container vulnerability and compliance scanning</t>
        </is>
      </c>
    </row>
    <row r="11" ht="26" customHeight="1">
      <c r="A11" s="43" t="inlineStr">
        <is>
          <t>Cloud Infrastructure</t>
        </is>
      </c>
      <c r="B11" s="44" t="inlineStr">
        <is>
          <t>Backup Storage</t>
        </is>
      </c>
      <c r="C11" s="44" t="inlineStr">
        <is>
          <t>S3-compatible backup storage for etcd and PVs</t>
        </is>
      </c>
      <c r="D11" s="45" t="n">
        <v>5</v>
      </c>
      <c r="E11" s="44" t="inlineStr">
        <is>
          <t>TB/Month</t>
        </is>
      </c>
      <c r="F11" s="46" t="n">
        <v>23</v>
      </c>
      <c r="G11" s="46">
        <f>D11*F11*12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Disaster recovery and backup retention</t>
        </is>
      </c>
    </row>
    <row r="12" ht="26" customHeight="1">
      <c r="A12" s="47" t="inlineStr">
        <is>
          <t>Cloud Infrastructure</t>
        </is>
      </c>
      <c r="B12" s="48" t="inlineStr">
        <is>
          <t>Monitoring Storage</t>
        </is>
      </c>
      <c r="C12" s="48" t="inlineStr">
        <is>
          <t>Long-term metrics storage (Prometheus)</t>
        </is>
      </c>
      <c r="D12" s="49" t="n">
        <v>1</v>
      </c>
      <c r="E12" s="48" t="inlineStr">
        <is>
          <t>Service/Month</t>
        </is>
      </c>
      <c r="F12" s="50" t="n">
        <v>500</v>
      </c>
      <c r="G12" s="50">
        <f>D12*F12*12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Extended metrics retention (90 days)</t>
        </is>
      </c>
    </row>
    <row r="13" ht="26" customHeight="1">
      <c r="A13" s="43" t="inlineStr">
        <is>
          <t>Cloud Infrastructure</t>
        </is>
      </c>
      <c r="B13" s="44" t="inlineStr">
        <is>
          <t>VPN Connectivity</t>
        </is>
      </c>
      <c r="C13" s="44" t="inlineStr">
        <is>
          <t>Site-to-site VPN or Direct Connect</t>
        </is>
      </c>
      <c r="D13" s="45" t="n">
        <v>1</v>
      </c>
      <c r="E13" s="44" t="inlineStr">
        <is>
          <t>Connection/Month</t>
        </is>
      </c>
      <c r="F13" s="46" t="n">
        <v>300</v>
      </c>
      <c r="G13" s="46">
        <f>D13*F13*12</f>
        <v/>
      </c>
      <c r="H13" s="46">
        <f>G13</f>
        <v/>
      </c>
      <c r="I13" s="46">
        <f>G13</f>
        <v/>
      </c>
      <c r="J13" s="46">
        <f>G13+H13+I13</f>
        <v/>
      </c>
      <c r="K13" s="44" t="inlineStr">
        <is>
          <t>Secure connectivity to data center</t>
        </is>
      </c>
    </row>
    <row r="14" ht="26" customHeight="1">
      <c r="A14" s="47" t="inlineStr">
        <is>
          <t>Support &amp; Maintenance</t>
        </is>
      </c>
      <c r="B14" s="48" t="inlineStr">
        <is>
          <t>Red Hat Premium Support</t>
        </is>
      </c>
      <c r="C14" s="48" t="inlineStr">
        <is>
          <t>24x7 Premium Support with SLA</t>
        </is>
      </c>
      <c r="D14" s="49" t="n">
        <v>1</v>
      </c>
      <c r="E14" s="48" t="inlineStr">
        <is>
          <t>Annual Contract</t>
        </is>
      </c>
      <c r="F14" s="50" t="n">
        <v>28000</v>
      </c>
      <c r="G14" s="50">
        <f>D14*F14</f>
        <v/>
      </c>
      <c r="H14" s="50">
        <f>G14</f>
        <v/>
      </c>
      <c r="I14" s="50">
        <f>G14</f>
        <v/>
      </c>
      <c r="J14" s="50">
        <f>G14+H14+I14</f>
        <v/>
      </c>
      <c r="K14" s="48" t="inlineStr">
        <is>
          <t>Production support and SLA coverage</t>
        </is>
      </c>
    </row>
    <row r="15" ht="26" customHeight="1">
      <c r="A15" s="43" t="inlineStr">
        <is>
          <t>Support &amp; Maintenance</t>
        </is>
      </c>
      <c r="B15" s="44" t="inlineStr">
        <is>
          <t>Infrastructure Maintenance</t>
        </is>
      </c>
      <c r="C15" s="44" t="inlineStr">
        <is>
          <t>Hardware maintenance and support (15% of hardware)</t>
        </is>
      </c>
      <c r="D15" s="45" t="n">
        <v>1</v>
      </c>
      <c r="E15" s="44" t="inlineStr">
        <is>
          <t>Annual Contract</t>
        </is>
      </c>
      <c r="F15" s="46" t="n">
        <v>24900</v>
      </c>
      <c r="G15" s="46">
        <f>D15*F15</f>
        <v/>
      </c>
      <c r="H15" s="46">
        <f>G15</f>
        <v/>
      </c>
      <c r="I15" s="46">
        <f>G15</f>
        <v/>
      </c>
      <c r="J15" s="46">
        <f>G15+H15+I15</f>
        <v/>
      </c>
      <c r="K15" s="44" t="inlineStr">
        <is>
          <t>Server and storage support contracts</t>
        </is>
      </c>
    </row>
    <row r="16" ht="26" customHeight="1">
      <c r="A16" s="47" t="inlineStr">
        <is>
          <t>Professional Services</t>
        </is>
      </c>
      <c r="B16" s="48" t="inlineStr">
        <is>
          <t>Architecture &amp; Design</t>
        </is>
      </c>
      <c r="C16" s="48" t="inlineStr">
        <is>
          <t>Solution architecture and design (80 hours)</t>
        </is>
      </c>
      <c r="D16" s="49" t="n">
        <v>80</v>
      </c>
      <c r="E16" s="48" t="inlineStr">
        <is>
          <t>Hours</t>
        </is>
      </c>
      <c r="F16" s="50" t="n">
        <v>225</v>
      </c>
      <c r="G16" s="50">
        <f>D16*F16</f>
        <v/>
      </c>
      <c r="H16" s="50">
        <f>0</f>
        <v/>
      </c>
      <c r="I16" s="50">
        <f>0</f>
        <v/>
      </c>
      <c r="J16" s="50">
        <f>G16+H16+I16</f>
        <v/>
      </c>
      <c r="K16" s="48" t="inlineStr">
        <is>
          <t>Pre-implementation planning</t>
        </is>
      </c>
    </row>
    <row r="17" ht="26" customHeight="1">
      <c r="A17" s="43" t="inlineStr">
        <is>
          <t>Professional Services</t>
        </is>
      </c>
      <c r="B17" s="44" t="inlineStr">
        <is>
          <t>Implementation Services</t>
        </is>
      </c>
      <c r="C17" s="44" t="inlineStr">
        <is>
          <t>OpenShift cluster deployment and config (120 hours)</t>
        </is>
      </c>
      <c r="D17" s="45" t="n">
        <v>120</v>
      </c>
      <c r="E17" s="44" t="inlineStr">
        <is>
          <t>Hours</t>
        </is>
      </c>
      <c r="F17" s="46" t="n">
        <v>225</v>
      </c>
      <c r="G17" s="46">
        <f>D17*F17</f>
        <v/>
      </c>
      <c r="H17" s="46">
        <f>0</f>
        <v/>
      </c>
      <c r="I17" s="46">
        <f>0</f>
        <v/>
      </c>
      <c r="J17" s="46">
        <f>G17+H17+I17</f>
        <v/>
      </c>
      <c r="K17" s="44" t="inlineStr">
        <is>
          <t>Installation and configuration</t>
        </is>
      </c>
    </row>
    <row r="18" ht="26" customHeight="1">
      <c r="A18" s="47" t="inlineStr">
        <is>
          <t>Professional Services</t>
        </is>
      </c>
      <c r="B18" s="48" t="inlineStr">
        <is>
          <t>Application Migration</t>
        </is>
      </c>
      <c r="C18" s="48" t="inlineStr">
        <is>
          <t>Container migration assistance (160 hours)</t>
        </is>
      </c>
      <c r="D18" s="49" t="n">
        <v>160</v>
      </c>
      <c r="E18" s="48" t="inlineStr">
        <is>
          <t>Hours</t>
        </is>
      </c>
      <c r="F18" s="50" t="n">
        <v>225</v>
      </c>
      <c r="G18" s="50">
        <f>D18*F18</f>
        <v/>
      </c>
      <c r="H18" s="50">
        <f>0</f>
        <v/>
      </c>
      <c r="I18" s="50">
        <f>0</f>
        <v/>
      </c>
      <c r="J18" s="50">
        <f>G18+H18+I18</f>
        <v/>
      </c>
      <c r="K18" s="48" t="inlineStr">
        <is>
          <t>Containerization of existing apps</t>
        </is>
      </c>
    </row>
    <row r="19" ht="26" customHeight="1">
      <c r="A19" s="43" t="inlineStr">
        <is>
          <t>Professional Services</t>
        </is>
      </c>
      <c r="B19" s="44" t="inlineStr">
        <is>
          <t>Developer Training</t>
        </is>
      </c>
      <c r="C19" s="44" t="inlineStr">
        <is>
          <t>OpenShift developer training (40 hours 10 developers)</t>
        </is>
      </c>
      <c r="D19" s="45" t="n">
        <v>40</v>
      </c>
      <c r="E19" s="44" t="inlineStr">
        <is>
          <t>Hours</t>
        </is>
      </c>
      <c r="F19" s="46" t="n">
        <v>200</v>
      </c>
      <c r="G19" s="46">
        <f>D19*F19</f>
        <v/>
      </c>
      <c r="H19" s="46">
        <f>0</f>
        <v/>
      </c>
      <c r="I19" s="46">
        <f>0</f>
        <v/>
      </c>
      <c r="J19" s="46">
        <f>G19+H19+I19</f>
        <v/>
      </c>
      <c r="K19" s="44" t="inlineStr">
        <is>
          <t>Developer enablement and best practices</t>
        </is>
      </c>
    </row>
    <row r="20" ht="26" customHeight="1">
      <c r="A20" s="47" t="inlineStr">
        <is>
          <t>Professional Services</t>
        </is>
      </c>
      <c r="B20" s="48" t="inlineStr">
        <is>
          <t>Administrator Training</t>
        </is>
      </c>
      <c r="C20" s="48" t="inlineStr">
        <is>
          <t>Platform admin training (40 hours 5 admins)</t>
        </is>
      </c>
      <c r="D20" s="49" t="n">
        <v>40</v>
      </c>
      <c r="E20" s="48" t="inlineStr">
        <is>
          <t>Hours</t>
        </is>
      </c>
      <c r="F20" s="50" t="n">
        <v>200</v>
      </c>
      <c r="G20" s="50">
        <f>D20*F20</f>
        <v/>
      </c>
      <c r="H20" s="50">
        <f>0</f>
        <v/>
      </c>
      <c r="I20" s="50">
        <f>0</f>
        <v/>
      </c>
      <c r="J20" s="50">
        <f>G20+H20+I20</f>
        <v/>
      </c>
      <c r="K20" s="48" t="inlineStr">
        <is>
          <t>Day-2 operations training</t>
        </is>
      </c>
    </row>
    <row r="21" ht="26" customHeight="1">
      <c r="A21" s="43" t="inlineStr">
        <is>
          <t>Professional Services</t>
        </is>
      </c>
      <c r="B21" s="44" t="inlineStr">
        <is>
          <t>Post-Go-Live Support</t>
        </is>
      </c>
      <c r="C21" s="44" t="inlineStr">
        <is>
          <t>Hypercare support for 30 days (80 hours)</t>
        </is>
      </c>
      <c r="D21" s="45" t="n">
        <v>80</v>
      </c>
      <c r="E21" s="44" t="inlineStr">
        <is>
          <t>Hours</t>
        </is>
      </c>
      <c r="F21" s="46" t="n">
        <v>200</v>
      </c>
      <c r="G21" s="46">
        <f>D21*F21</f>
        <v/>
      </c>
      <c r="H21" s="46">
        <f>0</f>
        <v/>
      </c>
      <c r="I21" s="46">
        <f>0</f>
        <v/>
      </c>
      <c r="J21" s="46">
        <f>G21+H21+I21</f>
        <v/>
      </c>
      <c r="K21" s="44" t="inlineStr">
        <is>
          <t>Stabilization period support</t>
        </is>
      </c>
    </row>
    <row r="22" ht="26" customHeight="1">
      <c r="A22" s="51" t="inlineStr">
        <is>
          <t>TOTAL</t>
        </is>
      </c>
      <c r="B22" s="52" t="n"/>
      <c r="C22" s="52" t="n"/>
      <c r="D22" s="52" t="n"/>
      <c r="E22" s="52" t="n"/>
      <c r="F22" s="52" t="n"/>
      <c r="G22" s="53">
        <f>SUM(G3:G21)</f>
        <v/>
      </c>
      <c r="H22" s="53">
        <f>SUM(H3:H21)</f>
        <v/>
      </c>
      <c r="I22" s="53">
        <f>SUM(I3:I21)</f>
        <v/>
      </c>
      <c r="J22" s="53">
        <f>SUM(J3:J21)</f>
        <v/>
      </c>
      <c r="K22" s="52" t="n"/>
    </row>
  </sheetData>
  <autoFilter ref="A2:K2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Hardware/Equipment</t>
        </is>
      </c>
      <c r="B3" s="44" t="inlineStr">
        <is>
          <t>Red Hat Partner Discount</t>
        </is>
      </c>
      <c r="C3" s="46" t="n">
        <v>-15000</v>
      </c>
      <c r="D3" s="44" t="inlineStr">
        <is>
          <t>Partner discount on first year subscriptions</t>
        </is>
      </c>
    </row>
    <row r="4" ht="26" customHeight="1">
      <c r="A4" s="47" t="inlineStr">
        <is>
          <t>Software Licenses</t>
        </is>
      </c>
      <c r="B4" s="48" t="inlineStr">
        <is>
          <t>Enterprise Agreement Credit</t>
        </is>
      </c>
      <c r="C4" s="50" t="n">
        <v>-20000</v>
      </c>
      <c r="D4" s="48" t="inlineStr">
        <is>
          <t>Multi-year commitment discount on licenses</t>
        </is>
      </c>
    </row>
    <row r="5" ht="26" customHeight="1">
      <c r="A5" s="43" t="inlineStr">
        <is>
          <t>Professional Services</t>
        </is>
      </c>
      <c r="B5" s="44" t="inlineStr">
        <is>
          <t>Training Credit</t>
        </is>
      </c>
      <c r="C5" s="46" t="n">
        <v>-5000</v>
      </c>
      <c r="D5" s="44" t="inlineStr">
        <is>
          <t>Red Hat training voucher credits</t>
        </is>
      </c>
    </row>
    <row r="6" ht="26" customHeight="1">
      <c r="A6" s="47" t="inlineStr">
        <is>
          <t>Support &amp; Maintenance</t>
        </is>
      </c>
      <c r="B6" s="48" t="inlineStr">
        <is>
          <t>Support Credit</t>
        </is>
      </c>
      <c r="C6" s="50" t="n">
        <v>0</v>
      </c>
      <c r="D6" s="48" t="inlineStr">
        <is>
          <t>No support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Hardware/Equipment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Cloud Infrastructure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Support &amp; Maintenance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43" t="inlineStr">
        <is>
          <t>Professional Services</t>
        </is>
      </c>
      <c r="B7" s="46">
        <f>SUMIF('Infrastructure Costs'!$A:$A,A7,'Infrastructure Costs'!$G:$G)</f>
        <v/>
      </c>
      <c r="C7" s="46">
        <f>SUMIF(Credits!$A:$A,A7,Credits!$C:$C)</f>
        <v/>
      </c>
      <c r="D7" s="46">
        <f>B7+C7</f>
        <v/>
      </c>
      <c r="E7" s="46">
        <f>SUMIF('Infrastructure Costs'!$A:$A,A7,'Infrastructure Costs'!$H:$H)</f>
        <v/>
      </c>
      <c r="F7" s="46">
        <f>SUMIF('Infrastructure Costs'!$A:$A,A7,'Infrastructure Costs'!$I:$I)</f>
        <v/>
      </c>
      <c r="G7" s="46">
        <f>D7+E7+F7</f>
        <v/>
      </c>
    </row>
    <row r="8" ht="26" customHeight="1">
      <c r="A8" s="51" t="inlineStr">
        <is>
          <t>TOTAL</t>
        </is>
      </c>
      <c r="B8" s="53">
        <f>SUM(B3:B7)</f>
        <v/>
      </c>
      <c r="C8" s="53">
        <f>SUM(C3:C7)</f>
        <v/>
      </c>
      <c r="D8" s="53">
        <f>SUM(D3:D7)</f>
        <v/>
      </c>
      <c r="E8" s="53">
        <f>SUM(E3:E7)</f>
        <v/>
      </c>
      <c r="F8" s="53">
        <f>SUM(F3:F7)</f>
        <v/>
      </c>
      <c r="G8" s="53">
        <f>SUM(G3:G7)</f>
        <v/>
      </c>
    </row>
  </sheetData>
  <autoFilter ref="A2:G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2025-11-22T19:11:36Z</dcterms:modified>
  <cp:lastModifiedBy>Kishan Siram</cp:lastModifiedBy>
</cp:coreProperties>
</file>