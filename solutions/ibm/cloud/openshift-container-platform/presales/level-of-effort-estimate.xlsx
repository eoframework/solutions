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2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cope Assumptions" sheetId="2" state="visible" r:id="rId2"/>
    <sheet xmlns:r="http://schemas.openxmlformats.org/officeDocument/2006/relationships" name="Estimate Settings" sheetId="3" state="visible" r:id="rId3"/>
    <sheet xmlns:r="http://schemas.openxmlformats.org/officeDocument/2006/relationships" name="LOE" sheetId="4" state="visible" r:id="rId4"/>
    <sheet xmlns:r="http://schemas.openxmlformats.org/officeDocument/2006/relationships" name="Credits" sheetId="5" state="visible" r:id="rId5"/>
  </sheets>
  <definedNames>
    <definedName name="_xlnm._FilterDatabase" localSheetId="1" hidden="1">'Scope Assumptions'!$A$2:$H$18</definedName>
    <definedName name="_xlnm._FilterDatabase" localSheetId="2" hidden="1">'Estimate Settings'!$A$2:$E$11</definedName>
    <definedName name="_xlnm._FilterDatabase" localSheetId="3" hidden="1">'LOE'!$A$2:$K$35</definedName>
    <definedName name="_xlnm._FilterDatabase" localSheetId="4" hidden="1">'Credits'!$A$2:$C$5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&quot;$&quot;#,##0.00"/>
    <numFmt numFmtId="165" formatCode="0.0"/>
    <numFmt numFmtId="166" formatCode="$#,##0"/>
  </numFmts>
  <fonts count="21">
    <font>
      <name val="Calibri"/>
      <family val="2"/>
      <color theme="1"/>
      <sz val="11"/>
      <scheme val="minor"/>
    </font>
    <font>
      <name val="Segoe UI"/>
      <b val="1"/>
      <color rgb="FF5D6D7E"/>
      <sz val="12"/>
    </font>
    <font>
      <name val="Calibri"/>
      <color rgb="FF2C3E50"/>
      <sz val="12"/>
    </font>
    <font>
      <name val="Segoe UI"/>
      <color rgb="FFCC0000"/>
      <sz val="12"/>
    </font>
    <font>
      <name val="Calibri"/>
      <color rgb="FF5D6D7E"/>
      <sz val="11"/>
      <u val="single"/>
    </font>
    <font>
      <name val="Calibri"/>
      <b val="1"/>
      <color rgb="FFCC0000"/>
      <sz val="12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5D6D7E"/>
      <sz val="14"/>
      <scheme val="minor"/>
    </font>
    <font>
      <name val="Calibri"/>
      <family val="2"/>
      <color rgb="FF2C3E50"/>
      <sz val="26"/>
      <scheme val="minor"/>
    </font>
    <font>
      <name val="Calibri"/>
      <sz val="11"/>
    </font>
    <font>
      <name val="Calibri"/>
      <family val="2"/>
      <b val="1"/>
      <sz val="12"/>
    </font>
    <font>
      <name val="Calibri"/>
      <family val="2"/>
      <color rgb="FF2C3E50"/>
      <sz val="11"/>
    </font>
    <font>
      <name val="Calibri"/>
      <family val="2"/>
      <sz val="11"/>
    </font>
    <font>
      <name val="Calibri"/>
      <family val="2"/>
      <b val="1"/>
      <color rgb="FFCC0000"/>
      <sz val="11"/>
    </font>
    <font>
      <name val="Calibri"/>
      <b val="1"/>
      <color rgb="FF2C3E50"/>
      <sz val="12"/>
    </font>
    <font>
      <name val="Calibri"/>
      <b val="1"/>
      <color rgb="FFFFFFFF"/>
      <sz val="12"/>
    </font>
    <font>
      <name val="Calibri"/>
      <color rgb="00FF0000"/>
      <sz val="12"/>
    </font>
    <font>
      <name val="Calibri"/>
      <color rgb="FF2C3E50"/>
      <sz val="11"/>
    </font>
    <font>
      <name val="Calibri"/>
      <b val="1"/>
      <color rgb="FF2C3E50"/>
      <sz val="11"/>
    </font>
    <font>
      <name val="Calibri"/>
      <b val="1"/>
      <color rgb="FFCC0000"/>
      <sz val="11"/>
    </font>
  </fonts>
  <fills count="12">
    <fill>
      <patternFill/>
    </fill>
    <fill>
      <patternFill patternType="gray125"/>
    </fill>
    <fill>
      <patternFill patternType="solid">
        <fgColor rgb="FFCC0000"/>
        <bgColor rgb="FFCC0000"/>
      </patternFill>
    </fill>
    <fill>
      <patternFill patternType="solid">
        <fgColor rgb="FF2C3E50"/>
        <bgColor rgb="FF2C3E50"/>
      </patternFill>
    </fill>
    <fill>
      <patternFill patternType="solid">
        <fgColor rgb="FFF8FAFB"/>
        <bgColor rgb="FFF8FAFB"/>
      </patternFill>
    </fill>
    <fill>
      <patternFill patternType="solid">
        <fgColor rgb="FFE8F4F8"/>
        <bgColor rgb="FFE8F4F8"/>
      </patternFill>
    </fill>
    <fill>
      <patternFill patternType="solid">
        <fgColor rgb="FFFFF2CC"/>
        <bgColor rgb="FFFFF2CC"/>
      </patternFill>
    </fill>
    <fill>
      <patternFill patternType="solid">
        <fgColor rgb="FFD1ECF1"/>
        <bgColor rgb="FFD1ECF1"/>
      </patternFill>
    </fill>
    <fill>
      <patternFill patternType="solid">
        <fgColor rgb="FFE8F5E9"/>
        <bgColor rgb="FFE8F5E9"/>
      </patternFill>
    </fill>
    <fill>
      <patternFill patternType="solid">
        <fgColor rgb="FFE8F4F8"/>
        <bgColor indexed="64"/>
      </patternFill>
    </fill>
    <fill>
      <patternFill patternType="solid">
        <fgColor rgb="00FFF2CC"/>
        <bgColor rgb="00FFF2CC"/>
      </patternFill>
    </fill>
    <fill>
      <patternFill patternType="solid">
        <fgColor rgb="00FFFFFF"/>
        <bgColor rgb="00FFFFFF"/>
      </patternFill>
    </fill>
  </fills>
  <borders count="6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2C3E50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/>
      <right/>
      <top/>
      <bottom style="thin">
        <color rgb="FFBDC3C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top"/>
    </xf>
    <xf numFmtId="0" fontId="2" fillId="4" borderId="2" applyAlignment="1" pivotButton="0" quotePrefix="0" xfId="0">
      <alignment horizontal="left" vertical="center" wrapText="1" indent="1"/>
    </xf>
    <xf numFmtId="0" fontId="2" fillId="4" borderId="2" applyAlignment="1" pivotButton="0" quotePrefix="0" xfId="0">
      <alignment horizontal="right" vertical="center" wrapText="1" indent="1"/>
    </xf>
    <xf numFmtId="164" fontId="2" fillId="4" borderId="2" applyAlignment="1" pivotButton="0" quotePrefix="0" xfId="0">
      <alignment horizontal="right" vertical="center" wrapText="1" indent="1"/>
    </xf>
    <xf numFmtId="0" fontId="2" fillId="0" borderId="2" applyAlignment="1" pivotButton="0" quotePrefix="0" xfId="0">
      <alignment horizontal="left" vertical="center" wrapText="1" indent="1"/>
    </xf>
    <xf numFmtId="0" fontId="2" fillId="0" borderId="2" applyAlignment="1" pivotButton="0" quotePrefix="0" xfId="0">
      <alignment horizontal="right" vertical="center" wrapText="1" indent="1"/>
    </xf>
    <xf numFmtId="164" fontId="2" fillId="0" borderId="2" applyAlignment="1" pivotButton="0" quotePrefix="0" xfId="0">
      <alignment horizontal="right" vertical="center" wrapText="1" indent="1"/>
    </xf>
    <xf numFmtId="0" fontId="0" fillId="5" borderId="2" pivotButton="0" quotePrefix="0" xfId="0"/>
    <xf numFmtId="164" fontId="5" fillId="5" borderId="2" applyAlignment="1" pivotButton="0" quotePrefix="0" xfId="0">
      <alignment horizontal="right" vertical="center" wrapText="1" indent="1"/>
    </xf>
    <xf numFmtId="0" fontId="6" fillId="3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1" fillId="7" borderId="4" applyAlignment="1" pivotButton="0" quotePrefix="0" xfId="0">
      <alignment horizontal="center" vertical="center"/>
    </xf>
    <xf numFmtId="0" fontId="11" fillId="8" borderId="4" applyAlignment="1" pivotButton="0" quotePrefix="0" xfId="0">
      <alignment horizontal="center" vertical="center"/>
    </xf>
    <xf numFmtId="9" fontId="11" fillId="8" borderId="4" applyAlignment="1" pivotButton="0" quotePrefix="0" xfId="0">
      <alignment horizontal="center" vertical="center"/>
    </xf>
    <xf numFmtId="0" fontId="14" fillId="5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164" fontId="12" fillId="4" borderId="2" applyAlignment="1" pivotButton="0" quotePrefix="0" xfId="0">
      <alignment horizontal="right" wrapText="1"/>
    </xf>
    <xf numFmtId="164" fontId="12" fillId="0" borderId="2" applyAlignment="1" pivotButton="0" quotePrefix="0" xfId="0">
      <alignment horizontal="right" wrapText="1"/>
    </xf>
    <xf numFmtId="164" fontId="12" fillId="4" borderId="2" applyAlignment="1" pivotButton="0" quotePrefix="0" xfId="0">
      <alignment horizontal="right" wrapText="1" indent="1"/>
    </xf>
    <xf numFmtId="164" fontId="12" fillId="0" borderId="2" applyAlignment="1" pivotButton="0" quotePrefix="0" xfId="0">
      <alignment horizontal="right" wrapText="1" indent="1"/>
    </xf>
    <xf numFmtId="164" fontId="14" fillId="5" borderId="2" applyAlignment="1" pivotButton="0" quotePrefix="0" xfId="0">
      <alignment horizontal="right" wrapText="1" indent="1"/>
    </xf>
    <xf numFmtId="0" fontId="12" fillId="4" borderId="2" applyAlignment="1" pivotButton="0" quotePrefix="0" xfId="0">
      <alignment horizontal="right" vertical="center" wrapText="1"/>
    </xf>
    <xf numFmtId="0" fontId="12" fillId="0" borderId="2" applyAlignment="1" pivotButton="0" quotePrefix="0" xfId="0">
      <alignment horizontal="right" vertical="center" wrapText="1"/>
    </xf>
    <xf numFmtId="0" fontId="5" fillId="5" borderId="2" applyAlignment="1" pivotButton="0" quotePrefix="0" xfId="0">
      <alignment horizontal="center" vertical="center" wrapText="1"/>
    </xf>
    <xf numFmtId="0" fontId="10" fillId="6" borderId="4" applyAlignment="1" pivotButton="0" quotePrefix="0" xfId="0">
      <alignment horizontal="left" vertical="center" wrapText="1" indent="1"/>
    </xf>
    <xf numFmtId="0" fontId="12" fillId="4" borderId="2" applyAlignment="1" pivotButton="0" quotePrefix="0" xfId="0">
      <alignment horizontal="left" vertical="center" wrapText="1" indent="1"/>
    </xf>
    <xf numFmtId="0" fontId="12" fillId="0" borderId="2" applyAlignment="1" pivotButton="0" quotePrefix="0" xfId="0">
      <alignment horizontal="left" vertical="center" wrapText="1" indent="1"/>
    </xf>
    <xf numFmtId="0" fontId="13" fillId="6" borderId="4" applyAlignment="1" pivotButton="0" quotePrefix="0" xfId="0">
      <alignment horizontal="left" vertical="center" wrapText="1" indent="1"/>
    </xf>
    <xf numFmtId="0" fontId="7" fillId="9" borderId="3" applyAlignment="1" pivotButton="0" quotePrefix="0" xfId="0">
      <alignment horizontal="center" vertical="center"/>
    </xf>
    <xf numFmtId="0" fontId="15" fillId="5" borderId="0" applyAlignment="1" pivotButton="0" quotePrefix="0" xfId="0">
      <alignment horizontal="center" vertical="center"/>
    </xf>
    <xf numFmtId="0" fontId="16" fillId="3" borderId="5" applyAlignment="1" pivotButton="0" quotePrefix="0" xfId="0">
      <alignment horizontal="center" vertical="center" wrapText="1"/>
    </xf>
    <xf numFmtId="0" fontId="15" fillId="4" borderId="5" applyAlignment="1" pivotButton="0" quotePrefix="0" xfId="0">
      <alignment horizontal="left" vertical="center" wrapText="1" indent="1"/>
    </xf>
    <xf numFmtId="0" fontId="2" fillId="4" borderId="5" applyAlignment="1" pivotButton="0" quotePrefix="0" xfId="0">
      <alignment horizontal="left" vertical="center" wrapText="1" indent="1"/>
    </xf>
    <xf numFmtId="0" fontId="2" fillId="10" borderId="5" applyAlignment="1" pivotButton="0" quotePrefix="0" xfId="0">
      <alignment horizontal="left" vertical="center" wrapText="1" indent="1"/>
    </xf>
    <xf numFmtId="0" fontId="15" fillId="11" borderId="5" applyAlignment="1" pivotButton="0" quotePrefix="0" xfId="0">
      <alignment horizontal="left" vertical="center" wrapText="1" indent="1"/>
    </xf>
    <xf numFmtId="0" fontId="2" fillId="11" borderId="5" applyAlignment="1" pivotButton="0" quotePrefix="0" xfId="0">
      <alignment horizontal="left" vertical="center" wrapText="1" indent="1"/>
    </xf>
    <xf numFmtId="165" fontId="2" fillId="4" borderId="5" applyAlignment="1" pivotButton="0" quotePrefix="0" xfId="0">
      <alignment horizontal="center" vertical="center" wrapText="1"/>
    </xf>
    <xf numFmtId="165" fontId="2" fillId="11" borderId="5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left" vertical="center"/>
    </xf>
    <xf numFmtId="0" fontId="19" fillId="4" borderId="5" applyAlignment="1" pivotButton="0" quotePrefix="0" xfId="0">
      <alignment horizontal="left" vertical="center" wrapText="1" indent="1"/>
    </xf>
    <xf numFmtId="0" fontId="18" fillId="4" borderId="5" applyAlignment="1" pivotButton="0" quotePrefix="0" xfId="0">
      <alignment horizontal="left" vertical="center" wrapText="1" indent="1"/>
    </xf>
    <xf numFmtId="3" fontId="18" fillId="4" borderId="5" applyAlignment="1" pivotButton="0" quotePrefix="0" xfId="0">
      <alignment horizontal="right" vertical="center" wrapText="1"/>
    </xf>
    <xf numFmtId="0" fontId="18" fillId="4" borderId="5" applyAlignment="1" pivotButton="0" quotePrefix="0" xfId="0">
      <alignment horizontal="center" vertical="center" wrapText="1"/>
    </xf>
    <xf numFmtId="0" fontId="18" fillId="4" borderId="5" applyAlignment="1" pivotButton="0" quotePrefix="0" xfId="0">
      <alignment horizontal="right" vertical="center" wrapText="1"/>
    </xf>
    <xf numFmtId="166" fontId="18" fillId="4" borderId="5" applyAlignment="1" pivotButton="0" quotePrefix="0" xfId="0">
      <alignment horizontal="right" vertical="center" wrapText="1"/>
    </xf>
    <xf numFmtId="0" fontId="19" fillId="11" borderId="5" applyAlignment="1" pivotButton="0" quotePrefix="0" xfId="0">
      <alignment horizontal="left" vertical="center" wrapText="1" indent="1"/>
    </xf>
    <xf numFmtId="0" fontId="18" fillId="11" borderId="5" applyAlignment="1" pivotButton="0" quotePrefix="0" xfId="0">
      <alignment horizontal="left" vertical="center" wrapText="1" indent="1"/>
    </xf>
    <xf numFmtId="3" fontId="18" fillId="11" borderId="5" applyAlignment="1" pivotButton="0" quotePrefix="0" xfId="0">
      <alignment horizontal="right" vertical="center" wrapText="1"/>
    </xf>
    <xf numFmtId="0" fontId="18" fillId="11" borderId="5" applyAlignment="1" pivotButton="0" quotePrefix="0" xfId="0">
      <alignment horizontal="center" vertical="center" wrapText="1"/>
    </xf>
    <xf numFmtId="0" fontId="18" fillId="11" borderId="5" applyAlignment="1" pivotButton="0" quotePrefix="0" xfId="0">
      <alignment horizontal="right" vertical="center" wrapText="1"/>
    </xf>
    <xf numFmtId="166" fontId="18" fillId="11" borderId="5" applyAlignment="1" pivotButton="0" quotePrefix="0" xfId="0">
      <alignment horizontal="right" vertical="center" wrapText="1"/>
    </xf>
    <xf numFmtId="0" fontId="20" fillId="5" borderId="5" applyAlignment="1" pivotButton="0" quotePrefix="0" xfId="0">
      <alignment horizontal="left" vertical="center" wrapText="1"/>
    </xf>
    <xf numFmtId="0" fontId="20" fillId="5" borderId="5" applyAlignment="1" pivotButton="0" quotePrefix="0" xfId="0">
      <alignment horizontal="right" vertical="center" wrapText="1"/>
    </xf>
    <xf numFmtId="166" fontId="2" fillId="4" borderId="5" applyAlignment="1" pivotButton="0" quotePrefix="0" xfId="0">
      <alignment horizontal="right" vertical="center" wrapText="1"/>
    </xf>
    <xf numFmtId="166" fontId="2" fillId="11" borderId="5" applyAlignment="1" pivotButton="0" quotePrefix="0" xfId="0">
      <alignment horizontal="right" vertical="center" wrapText="1"/>
    </xf>
    <xf numFmtId="0" fontId="5" fillId="5" borderId="5" applyAlignment="1" pivotButton="0" quotePrefix="0" xfId="0">
      <alignment horizontal="left" vertical="center" wrapText="1"/>
    </xf>
    <xf numFmtId="166" fontId="5" fillId="5" borderId="5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1238250" cy="314325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E24" sqref="E24"/>
    </sheetView>
  </sheetViews>
  <sheetFormatPr baseColWidth="8" defaultRowHeight="14.5"/>
  <cols>
    <col width="3" customWidth="1" min="1" max="1"/>
    <col width="25" customWidth="1" min="2" max="2"/>
    <col width="40" customWidth="1" min="3" max="3"/>
    <col width="3" customWidth="1" min="4" max="4"/>
  </cols>
  <sheetData>
    <row r="1" ht="15" customHeight="1">
      <c r="B1" s="1" t="n"/>
      <c r="C1" s="1" t="n"/>
    </row>
    <row r="2" ht="15" customHeight="1"/>
    <row r="3" ht="40" customHeight="1">
      <c r="B3" s="16" t="inlineStr">
        <is>
          <t>[DOCUMENT TITLE]</t>
        </is>
      </c>
    </row>
    <row r="4" ht="25" customHeight="1">
      <c r="B4" s="15" t="inlineStr">
        <is>
          <t>Level of Effort</t>
        </is>
      </c>
    </row>
    <row r="5" ht="30" customHeight="1">
      <c r="A5" t="inlineStr">
        <is>
          <t>IBM - Cloud - Openshift Container Platform</t>
        </is>
      </c>
    </row>
    <row r="6" ht="18" customHeight="1">
      <c r="B6" s="2" t="inlineStr">
        <is>
          <t>Generated:</t>
        </is>
      </c>
      <c r="C6" s="3" t="inlineStr">
        <is>
          <t>November 16, 2025</t>
        </is>
      </c>
    </row>
    <row r="7" ht="18" customHeight="1">
      <c r="B7" s="2" t="inlineStr">
        <is>
          <t>Solution:</t>
        </is>
      </c>
      <c r="C7" s="3" t="inlineStr">
        <is>
          <t>[Solution Name]</t>
        </is>
      </c>
    </row>
    <row r="8" ht="18" customHeight="1">
      <c r="B8" s="2" t="inlineStr">
        <is>
          <t>Customer:</t>
        </is>
      </c>
      <c r="C8" s="3" t="inlineStr">
        <is>
          <t>[Customer Name]</t>
        </is>
      </c>
    </row>
    <row r="9" ht="18" customHeight="1">
      <c r="B9" s="2" t="inlineStr">
        <is>
          <t>Version:</t>
        </is>
      </c>
      <c r="C9" s="3" t="inlineStr">
        <is>
          <t>1.0</t>
        </is>
      </c>
    </row>
    <row r="10" ht="18" customHeight="1">
      <c r="B10" s="2" t="inlineStr">
        <is>
          <t>Status:</t>
        </is>
      </c>
      <c r="C10" s="4" t="inlineStr">
        <is>
          <t>Draft</t>
        </is>
      </c>
    </row>
    <row r="11" ht="40" customHeight="1"/>
    <row r="12" ht="30" customHeight="1">
      <c r="C12" s="5" t="inlineStr">
        <is>
          <t>eoframework.org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33" customWidth="1" min="3" max="3"/>
    <col width="32" customWidth="1" min="4" max="4"/>
    <col width="32" customWidth="1" min="5" max="5"/>
    <col width="39" customWidth="1" min="6" max="6"/>
    <col width="44" customWidth="1" min="7" max="7"/>
  </cols>
  <sheetData>
    <row r="1" ht="32" customHeight="1">
      <c r="A1" s="35" t="inlineStr">
        <is>
          <t>SCOPE ASSUMPTIONS - BASELINE (MULTIPLIER 1.0)</t>
        </is>
      </c>
    </row>
    <row r="2" ht="32" customHeight="1">
      <c r="A2" s="36" t="inlineStr">
        <is>
          <t>Category</t>
        </is>
      </c>
      <c r="B2" s="36" t="inlineStr">
        <is>
          <t>Baseline Assumption</t>
        </is>
      </c>
      <c r="C2" s="36" t="inlineStr">
        <is>
          <t>Current Scope</t>
        </is>
      </c>
      <c r="D2" s="36" t="inlineStr">
        <is>
          <t>Small (1x)</t>
        </is>
      </c>
      <c r="E2" s="36" t="inlineStr">
        <is>
          <t>Medium (2x)</t>
        </is>
      </c>
      <c r="F2" s="36" t="inlineStr">
        <is>
          <t>Large (3x)</t>
        </is>
      </c>
      <c r="G2" s="36" t="inlineStr">
        <is>
          <t>Notes</t>
        </is>
      </c>
      <c r="H2" s="36" t="inlineStr"/>
    </row>
    <row r="3" ht="26" customHeight="1">
      <c r="A3" s="37" t="inlineStr">
        <is>
          <t>Solution Scope</t>
        </is>
      </c>
      <c r="B3" s="38" t="inlineStr">
        <is>
          <t>Cluster Size</t>
        </is>
      </c>
      <c r="C3" s="39" t="inlineStr">
        <is>
          <t>6-node cluster (3 control + 3 workers)</t>
        </is>
      </c>
      <c r="D3" s="38" t="inlineStr">
        <is>
          <t>6-node cluster</t>
        </is>
      </c>
      <c r="E3" s="38" t="inlineStr">
        <is>
          <t>12-node cluster</t>
        </is>
      </c>
      <c r="F3" s="38" t="inlineStr">
        <is>
          <t>24+ node cluster</t>
        </is>
      </c>
      <c r="G3" s="38" t="inlineStr">
        <is>
          <t>OpenShift cluster sizing for workloads</t>
        </is>
      </c>
      <c r="H3" s="38" t="inlineStr"/>
    </row>
    <row r="4" ht="26" customHeight="1">
      <c r="A4" s="40" t="inlineStr">
        <is>
          <t>Solution Scope</t>
        </is>
      </c>
      <c r="B4" s="41" t="inlineStr">
        <is>
          <t>Container Capacity</t>
        </is>
      </c>
      <c r="C4" s="39" t="inlineStr">
        <is>
          <t>500-1000 containers</t>
        </is>
      </c>
      <c r="D4" s="41" t="inlineStr">
        <is>
          <t>500-1000 containers</t>
        </is>
      </c>
      <c r="E4" s="41" t="inlineStr">
        <is>
          <t>2000-5000 containers</t>
        </is>
      </c>
      <c r="F4" s="41" t="inlineStr">
        <is>
          <t>10000+ containers</t>
        </is>
      </c>
      <c r="G4" s="41" t="inlineStr">
        <is>
          <t>Pod and container density</t>
        </is>
      </c>
      <c r="H4" s="41" t="inlineStr"/>
    </row>
    <row r="5" ht="26" customHeight="1">
      <c r="A5" s="37" t="inlineStr">
        <is>
          <t>Integration</t>
        </is>
      </c>
      <c r="B5" s="38" t="inlineStr">
        <is>
          <t>CI/CD Integrations</t>
        </is>
      </c>
      <c r="C5" s="39" t="inlineStr">
        <is>
          <t>OpenShift Pipelines + GitOps</t>
        </is>
      </c>
      <c r="D5" s="38" t="inlineStr">
        <is>
          <t>Tekton + ArgoCD</t>
        </is>
      </c>
      <c r="E5" s="38" t="inlineStr">
        <is>
          <t>Jenkins + external tools</t>
        </is>
      </c>
      <c r="F5" s="38" t="inlineStr">
        <is>
          <t>Complex multi-tool pipelines</t>
        </is>
      </c>
      <c r="G5" s="38" t="inlineStr">
        <is>
          <t>Pipeline and deployment automation</t>
        </is>
      </c>
      <c r="H5" s="38" t="inlineStr"/>
    </row>
    <row r="6" ht="26" customHeight="1">
      <c r="A6" s="40" t="inlineStr">
        <is>
          <t>Integration</t>
        </is>
      </c>
      <c r="B6" s="41" t="inlineStr">
        <is>
          <t>External Systems</t>
        </is>
      </c>
      <c r="C6" s="39" t="inlineStr">
        <is>
          <t>LDAP/AD + monitoring</t>
        </is>
      </c>
      <c r="D6" s="41" t="inlineStr">
        <is>
          <t>2-3 systems</t>
        </is>
      </c>
      <c r="E6" s="41" t="inlineStr">
        <is>
          <t>4-6 systems</t>
        </is>
      </c>
      <c r="F6" s="41" t="inlineStr">
        <is>
          <t>8+ systems or complex protocols</t>
        </is>
      </c>
      <c r="G6" s="41" t="inlineStr">
        <is>
          <t>Authentication monitoring storage integrations</t>
        </is>
      </c>
      <c r="H6" s="41" t="inlineStr"/>
    </row>
    <row r="7" ht="26" customHeight="1">
      <c r="A7" s="37" t="inlineStr">
        <is>
          <t>User Base</t>
        </is>
      </c>
      <c r="B7" s="38" t="inlineStr">
        <is>
          <t>Developer Count</t>
        </is>
      </c>
      <c r="C7" s="39" t="inlineStr">
        <is>
          <t>50 developers</t>
        </is>
      </c>
      <c r="D7" s="38" t="inlineStr">
        <is>
          <t>50 developers</t>
        </is>
      </c>
      <c r="E7" s="38" t="inlineStr">
        <is>
          <t>100-200 developers</t>
        </is>
      </c>
      <c r="F7" s="38" t="inlineStr">
        <is>
          <t>500+ developers</t>
        </is>
      </c>
      <c r="G7" s="38" t="inlineStr">
        <is>
          <t>Platform users and application teams</t>
        </is>
      </c>
      <c r="H7" s="38" t="inlineStr"/>
    </row>
    <row r="8" ht="26" customHeight="1">
      <c r="A8" s="40" t="inlineStr">
        <is>
          <t>User Base</t>
        </is>
      </c>
      <c r="B8" s="41" t="inlineStr">
        <is>
          <t>User Roles</t>
        </is>
      </c>
      <c r="C8" s="39" t="inlineStr">
        <is>
          <t>5 roles</t>
        </is>
      </c>
      <c r="D8" s="41" t="inlineStr">
        <is>
          <t>3-5 standard roles</t>
        </is>
      </c>
      <c r="E8" s="41" t="inlineStr">
        <is>
          <t>6-8 roles</t>
        </is>
      </c>
      <c r="F8" s="41" t="inlineStr">
        <is>
          <t>10+ roles with complex RBAC</t>
        </is>
      </c>
      <c r="G8" s="41" t="inlineStr">
        <is>
          <t>Developer admin viewer auditor operator</t>
        </is>
      </c>
      <c r="H8" s="41" t="inlineStr"/>
    </row>
    <row r="9" ht="26" customHeight="1">
      <c r="A9" s="37" t="inlineStr">
        <is>
          <t>Data Volume</t>
        </is>
      </c>
      <c r="B9" s="38" t="inlineStr">
        <is>
          <t>Application Count</t>
        </is>
      </c>
      <c r="C9" s="39" t="inlineStr">
        <is>
          <t>10 initial applications</t>
        </is>
      </c>
      <c r="D9" s="38" t="inlineStr">
        <is>
          <t>5-10 apps</t>
        </is>
      </c>
      <c r="E9" s="38" t="inlineStr">
        <is>
          <t>20-50 apps</t>
        </is>
      </c>
      <c r="F9" s="38" t="inlineStr">
        <is>
          <t>100+ applications</t>
        </is>
      </c>
      <c r="G9" s="38" t="inlineStr">
        <is>
          <t>Applications to containerize and migrate</t>
        </is>
      </c>
      <c r="H9" s="38" t="inlineStr"/>
    </row>
    <row r="10" ht="26" customHeight="1">
      <c r="A10" s="40" t="inlineStr">
        <is>
          <t>Data Volume</t>
        </is>
      </c>
      <c r="B10" s="41" t="inlineStr">
        <is>
          <t>Persistent Storage</t>
        </is>
      </c>
      <c r="C10" s="39" t="inlineStr">
        <is>
          <t>20 TB</t>
        </is>
      </c>
      <c r="D10" s="41" t="inlineStr">
        <is>
          <t>20 TB</t>
        </is>
      </c>
      <c r="E10" s="41" t="inlineStr">
        <is>
          <t>50 TB</t>
        </is>
      </c>
      <c r="F10" s="41" t="inlineStr">
        <is>
          <t>200+ TB</t>
        </is>
      </c>
      <c r="G10" s="41" t="inlineStr">
        <is>
          <t>Persistent volume storage requirements</t>
        </is>
      </c>
      <c r="H10" s="41" t="inlineStr"/>
    </row>
    <row r="11" ht="26" customHeight="1">
      <c r="A11" s="37" t="inlineStr">
        <is>
          <t>Technical Environment</t>
        </is>
      </c>
      <c r="B11" s="38" t="inlineStr">
        <is>
          <t>Deployment Platform</t>
        </is>
      </c>
      <c r="C11" s="39" t="inlineStr">
        <is>
          <t>VMware vSphere</t>
        </is>
      </c>
      <c r="D11" s="38" t="inlineStr">
        <is>
          <t>VMware or bare metal</t>
        </is>
      </c>
      <c r="E11" s="38" t="inlineStr">
        <is>
          <t>Multi-cloud (VMware + AWS)</t>
        </is>
      </c>
      <c r="F11" s="38" t="inlineStr">
        <is>
          <t>Complex multi-cloud hybrid</t>
        </is>
      </c>
      <c r="G11" s="38" t="inlineStr">
        <is>
          <t>Infrastructure platform for OpenShift</t>
        </is>
      </c>
      <c r="H11" s="38" t="inlineStr"/>
    </row>
    <row r="12" ht="26" customHeight="1">
      <c r="A12" s="40" t="inlineStr">
        <is>
          <t>Technical Environment</t>
        </is>
      </c>
      <c r="B12" s="41" t="inlineStr">
        <is>
          <t>Availability Requirements</t>
        </is>
      </c>
      <c r="C12" s="39" t="inlineStr">
        <is>
          <t>Multi-AZ HA</t>
        </is>
      </c>
      <c r="D12" s="41" t="inlineStr">
        <is>
          <t>Multi-AZ</t>
        </is>
      </c>
      <c r="E12" s="41" t="inlineStr">
        <is>
          <t>Multi-region</t>
        </is>
      </c>
      <c r="F12" s="41" t="inlineStr">
        <is>
          <t>Global with DR</t>
        </is>
      </c>
      <c r="G12" s="41" t="inlineStr">
        <is>
          <t>High availability configuration</t>
        </is>
      </c>
      <c r="H12" s="41" t="inlineStr"/>
    </row>
    <row r="13" ht="26" customHeight="1">
      <c r="A13" s="37" t="inlineStr">
        <is>
          <t>Technical Environment</t>
        </is>
      </c>
      <c r="B13" s="38" t="inlineStr">
        <is>
          <t>Infrastructure Complexity</t>
        </is>
      </c>
      <c r="C13" s="39" t="inlineStr">
        <is>
          <t>Standard 6-node cluster</t>
        </is>
      </c>
      <c r="D13" s="38" t="inlineStr">
        <is>
          <t>Standard cluster</t>
        </is>
      </c>
      <c r="E13" s="38" t="inlineStr">
        <is>
          <t>Advanced with service mesh</t>
        </is>
      </c>
      <c r="F13" s="38" t="inlineStr">
        <is>
          <t>Complex distributed platform</t>
        </is>
      </c>
      <c r="G13" s="38" t="inlineStr">
        <is>
          <t>OpenShift platform complexity</t>
        </is>
      </c>
      <c r="H13" s="38" t="inlineStr"/>
    </row>
    <row r="14" ht="26" customHeight="1">
      <c r="A14" s="40" t="inlineStr">
        <is>
          <t>Security &amp; Compliance</t>
        </is>
      </c>
      <c r="B14" s="41" t="inlineStr">
        <is>
          <t>Security Requirements</t>
        </is>
      </c>
      <c r="C14" s="39" t="inlineStr">
        <is>
          <t>RBAC + pod security policies</t>
        </is>
      </c>
      <c r="D14" s="41" t="inlineStr">
        <is>
          <t>Basic RBAC</t>
        </is>
      </c>
      <c r="E14" s="41" t="inlineStr">
        <is>
          <t>Industry standard (SOC2)</t>
        </is>
      </c>
      <c r="F14" s="41" t="inlineStr">
        <is>
          <t>Advanced (FedRAMP multi-framework)</t>
        </is>
      </c>
      <c r="G14" s="41" t="inlineStr">
        <is>
          <t>Container and platform security</t>
        </is>
      </c>
      <c r="H14" s="41" t="inlineStr"/>
    </row>
    <row r="15" ht="26" customHeight="1">
      <c r="A15" s="37" t="inlineStr">
        <is>
          <t>Security &amp; Compliance</t>
        </is>
      </c>
      <c r="B15" s="38" t="inlineStr">
        <is>
          <t>Compliance Frameworks</t>
        </is>
      </c>
      <c r="C15" s="39" t="inlineStr">
        <is>
          <t>SOC2 ISO 27001</t>
        </is>
      </c>
      <c r="D15" s="38" t="inlineStr">
        <is>
          <t>1-2 basic standards</t>
        </is>
      </c>
      <c r="E15" s="38" t="inlineStr">
        <is>
          <t>2-3 industry standards</t>
        </is>
      </c>
      <c r="F15" s="38" t="inlineStr">
        <is>
          <t>Multiple complex frameworks</t>
        </is>
      </c>
      <c r="G15" s="38" t="inlineStr">
        <is>
          <t>Compliance and governance requirements</t>
        </is>
      </c>
      <c r="H15" s="38" t="inlineStr"/>
    </row>
    <row r="16" ht="26" customHeight="1">
      <c r="A16" s="40" t="inlineStr">
        <is>
          <t>Performance</t>
        </is>
      </c>
      <c r="B16" s="41" t="inlineStr">
        <is>
          <t>Service Mesh</t>
        </is>
      </c>
      <c r="C16" s="39" t="inlineStr">
        <is>
          <t>Istio for microservices</t>
        </is>
      </c>
      <c r="D16" s="41" t="inlineStr">
        <is>
          <t>Optional Istio</t>
        </is>
      </c>
      <c r="E16" s="41" t="inlineStr">
        <is>
          <t>Full service mesh</t>
        </is>
      </c>
      <c r="F16" s="41" t="inlineStr">
        <is>
          <t>Advanced traffic management</t>
        </is>
      </c>
      <c r="G16" s="41" t="inlineStr">
        <is>
          <t>Service mesh complexity</t>
        </is>
      </c>
      <c r="H16" s="41" t="inlineStr"/>
    </row>
    <row r="17" ht="26" customHeight="1">
      <c r="A17" s="37" t="inlineStr">
        <is>
          <t>Performance</t>
        </is>
      </c>
      <c r="B17" s="38" t="inlineStr">
        <is>
          <t>Monitoring Stack</t>
        </is>
      </c>
      <c r="C17" s="39" t="inlineStr">
        <is>
          <t>Prometheus + Grafana</t>
        </is>
      </c>
      <c r="D17" s="38" t="inlineStr">
        <is>
          <t>Basic monitoring</t>
        </is>
      </c>
      <c r="E17" s="38" t="inlineStr">
        <is>
          <t>Standard observability</t>
        </is>
      </c>
      <c r="F17" s="38" t="inlineStr">
        <is>
          <t>Advanced with custom integrations</t>
        </is>
      </c>
      <c r="G17" s="38" t="inlineStr">
        <is>
          <t>Platform observability and metrics</t>
        </is>
      </c>
      <c r="H17" s="38" t="inlineStr"/>
    </row>
    <row r="18" ht="26" customHeight="1">
      <c r="A18" s="40" t="inlineStr">
        <is>
          <t>Environment</t>
        </is>
      </c>
      <c r="B18" s="41" t="inlineStr">
        <is>
          <t>Deployment Environments</t>
        </is>
      </c>
      <c r="C18" s="39" t="inlineStr">
        <is>
          <t>3 environments (dev staging prod)</t>
        </is>
      </c>
      <c r="D18" s="41" t="inlineStr">
        <is>
          <t>2 environments</t>
        </is>
      </c>
      <c r="E18" s="41" t="inlineStr">
        <is>
          <t>3 environments</t>
        </is>
      </c>
      <c r="F18" s="41" t="inlineStr">
        <is>
          <t>4+ environments with multi-cluster</t>
        </is>
      </c>
      <c r="G18" s="41" t="inlineStr">
        <is>
          <t>Environment management for platform</t>
        </is>
      </c>
      <c r="H18" s="41" t="inlineStr"/>
    </row>
  </sheetData>
  <autoFilter ref="A2:H18"/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  <col width="14" customWidth="1" min="3" max="3"/>
    <col width="173" customWidth="1" min="4" max="4"/>
  </cols>
  <sheetData>
    <row r="1" ht="32" customHeight="1">
      <c r="A1" s="35" t="inlineStr">
        <is>
          <t>ESTIMATE SETTINGS</t>
        </is>
      </c>
    </row>
    <row r="2" ht="32" customHeight="1">
      <c r="A2" s="36" t="inlineStr">
        <is>
          <t>Phase</t>
        </is>
      </c>
      <c r="B2" s="36" t="inlineStr">
        <is>
          <t>Variable Name</t>
        </is>
      </c>
      <c r="C2" s="36" t="inlineStr">
        <is>
          <t>Multiplier</t>
        </is>
      </c>
      <c r="D2" s="36" t="inlineStr">
        <is>
          <t>Description / Applies To Tasks</t>
        </is>
      </c>
      <c r="E2" s="36" t="inlineStr"/>
    </row>
    <row r="3" ht="26" customHeight="1">
      <c r="A3" s="37" t="inlineStr">
        <is>
          <t>Discovery</t>
        </is>
      </c>
      <c r="B3" s="38" t="inlineStr">
        <is>
          <t>DISCOVERY_MX</t>
        </is>
      </c>
      <c r="C3" s="42" t="n">
        <v>1</v>
      </c>
      <c r="D3" s="38" t="inlineStr">
        <is>
          <t>All Discovery phase tasks (Requirements Gathering, Infrastructure Assessment, Application Assessment, Compliance Review)</t>
        </is>
      </c>
      <c r="E3" s="38" t="inlineStr"/>
    </row>
    <row r="4" ht="26" customHeight="1">
      <c r="A4" s="40" t="inlineStr">
        <is>
          <t>Planning</t>
        </is>
      </c>
      <c r="B4" s="41" t="inlineStr">
        <is>
          <t>PLANNING_MX</t>
        </is>
      </c>
      <c r="C4" s="43" t="n">
        <v>1</v>
      </c>
      <c r="D4" s="41" t="inlineStr">
        <is>
          <t>All Planning phase tasks (OpenShift Design, Network Design, Storage Design, Security Design, Project Planning)</t>
        </is>
      </c>
      <c r="E4" s="41" t="inlineStr"/>
    </row>
    <row r="5" ht="26" customHeight="1">
      <c r="A5" s="37" t="inlineStr">
        <is>
          <t>Development</t>
        </is>
      </c>
      <c r="B5" s="38" t="inlineStr">
        <is>
          <t>DEVELOPMENT_MX</t>
        </is>
      </c>
      <c r="C5" s="42" t="n">
        <v>1</v>
      </c>
      <c r="D5" s="38" t="inlineStr">
        <is>
          <t>All Development phase tasks (Cluster Deployment, Storage Configuration, CI/CD Setup, Application Migration)</t>
        </is>
      </c>
      <c r="E5" s="38" t="inlineStr"/>
    </row>
    <row r="6" ht="26" customHeight="1">
      <c r="A6" s="40" t="inlineStr">
        <is>
          <t>Testing</t>
        </is>
      </c>
      <c r="B6" s="41" t="inlineStr">
        <is>
          <t>TESTING_MX</t>
        </is>
      </c>
      <c r="C6" s="43" t="n">
        <v>1</v>
      </c>
      <c r="D6" s="41" t="inlineStr">
        <is>
          <t>All Testing phase tasks (Unit Testing, Integration Testing, Performance Testing, Security Testing, UAT)</t>
        </is>
      </c>
      <c r="E6" s="41" t="inlineStr"/>
    </row>
    <row r="7" ht="26" customHeight="1">
      <c r="A7" s="37" t="inlineStr">
        <is>
          <t>Deployment</t>
        </is>
      </c>
      <c r="B7" s="38" t="inlineStr">
        <is>
          <t>DEPLOYMENT_MX</t>
        </is>
      </c>
      <c r="C7" s="42" t="n">
        <v>1</v>
      </c>
      <c r="D7" s="38" t="inlineStr">
        <is>
          <t>All Deployment phase tasks (Production Deployment, Go-Live Support)</t>
        </is>
      </c>
      <c r="E7" s="38" t="inlineStr"/>
    </row>
    <row r="8" ht="26" customHeight="1">
      <c r="A8" s="40" t="inlineStr">
        <is>
          <t>Training</t>
        </is>
      </c>
      <c r="B8" s="41" t="inlineStr">
        <is>
          <t>TRAINING_MX</t>
        </is>
      </c>
      <c r="C8" s="43" t="n">
        <v>1</v>
      </c>
      <c r="D8" s="41" t="inlineStr">
        <is>
          <t>All Training phase tasks (Developer Training, Administrator Training, Documentation)</t>
        </is>
      </c>
      <c r="E8" s="41" t="inlineStr"/>
    </row>
    <row r="9" ht="26" customHeight="1">
      <c r="A9" s="37" t="inlineStr">
        <is>
          <t>Closeout</t>
        </is>
      </c>
      <c r="B9" s="38" t="inlineStr">
        <is>
          <t>CLOSEOUT_MX</t>
        </is>
      </c>
      <c r="C9" s="42" t="n">
        <v>1</v>
      </c>
      <c r="D9" s="38" t="inlineStr">
        <is>
          <t>All Closeout phase tasks (Knowledge Transfer, Performance Baseline)</t>
        </is>
      </c>
      <c r="E9" s="38" t="inlineStr"/>
    </row>
    <row r="10" ht="26" customHeight="1">
      <c r="A10" s="40" t="inlineStr">
        <is>
          <t>Management</t>
        </is>
      </c>
      <c r="B10" s="41" t="inlineStr">
        <is>
          <t>MANAGEMENT_MX</t>
        </is>
      </c>
      <c r="C10" s="43" t="n">
        <v>1.5</v>
      </c>
      <c r="D10" s="41" t="inlineStr">
        <is>
          <t>Project Management overhead - 10% of actual engineering hours</t>
        </is>
      </c>
      <c r="E10" s="41" t="inlineStr"/>
    </row>
    <row r="11" ht="26" customHeight="1">
      <c r="A11" s="37" t="inlineStr">
        <is>
          <t>Leadership</t>
        </is>
      </c>
      <c r="B11" s="38" t="inlineStr">
        <is>
          <t>LEADERSHIP_MX</t>
        </is>
      </c>
      <c r="C11" s="42" t="n">
        <v>1.5</v>
      </c>
      <c r="D11" s="38" t="inlineStr">
        <is>
          <t>Quarterback/Technical Leadership overhead - 10% of actual engineering hours</t>
        </is>
      </c>
      <c r="E11" s="38" t="inlineStr"/>
    </row>
    <row r="13" ht="20" customHeight="1">
      <c r="A13" s="44" t="inlineStr">
        <is>
          <t>EO Sales Engineer Updates Multipliers Based on Customer Scope</t>
        </is>
      </c>
    </row>
  </sheetData>
  <autoFilter ref="A2:E11"/>
  <mergeCells count="2">
    <mergeCell ref="A1:E1"/>
    <mergeCell ref="A13:E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5" customWidth="1" min="2" max="2"/>
    <col width="58" customWidth="1" min="3" max="3"/>
    <col width="18" customWidth="1" min="4" max="4"/>
    <col width="12" customWidth="1" min="5" max="5"/>
    <col width="14" customWidth="1" min="6" max="6"/>
    <col width="12" customWidth="1" min="7" max="7"/>
    <col width="12" customWidth="1" min="8" max="8"/>
    <col width="15" customWidth="1" min="9" max="9"/>
    <col width="25" customWidth="1" min="10" max="10"/>
    <col width="40" customWidth="1" min="11" max="11"/>
  </cols>
  <sheetData>
    <row r="1" ht="32" customHeight="1">
      <c r="A1" s="35" t="inlineStr">
        <is>
          <t>Level of Effort</t>
        </is>
      </c>
    </row>
    <row r="2" ht="32" customHeight="1">
      <c r="A2" s="36" t="inlineStr">
        <is>
          <t>Phase</t>
        </is>
      </c>
      <c r="B2" s="36" t="inlineStr">
        <is>
          <t>Work Package</t>
        </is>
      </c>
      <c r="C2" s="36" t="inlineStr">
        <is>
          <t>Task Description</t>
        </is>
      </c>
      <c r="D2" s="36" t="inlineStr">
        <is>
          <t>Resource Type</t>
        </is>
      </c>
      <c r="E2" s="36" t="inlineStr">
        <is>
          <t>Base Hours</t>
        </is>
      </c>
      <c r="F2" s="36" t="inlineStr">
        <is>
          <t>Effort Multiplier</t>
        </is>
      </c>
      <c r="G2" s="36" t="inlineStr">
        <is>
          <t>Actual Hours</t>
        </is>
      </c>
      <c r="H2" s="36" t="inlineStr">
        <is>
          <t>Rate</t>
        </is>
      </c>
      <c r="I2" s="36" t="inlineStr">
        <is>
          <t>Cost Estimate</t>
        </is>
      </c>
      <c r="J2" s="36" t="inlineStr">
        <is>
          <t>Dependencies</t>
        </is>
      </c>
      <c r="K2" s="36" t="inlineStr">
        <is>
          <t>Notes</t>
        </is>
      </c>
    </row>
    <row r="3" ht="26" customHeight="1">
      <c r="A3" s="45" t="inlineStr">
        <is>
          <t>Discovery</t>
        </is>
      </c>
      <c r="B3" s="46" t="inlineStr">
        <is>
          <t>Requirements Gathering</t>
        </is>
      </c>
      <c r="C3" s="46" t="inlineStr">
        <is>
          <t>Conduct stakeholder interviews for OpenShift requirements</t>
        </is>
      </c>
      <c r="D3" s="46" t="inlineStr">
        <is>
          <t>EO Engineer</t>
        </is>
      </c>
      <c r="E3" s="47" t="n">
        <v>40</v>
      </c>
      <c r="F3" s="48">
        <f>'Estimate Settings'!$C$3</f>
        <v/>
      </c>
      <c r="G3" s="49">
        <f>$E3*$F3</f>
        <v/>
      </c>
      <c r="H3" s="50" t="n">
        <v>150</v>
      </c>
      <c r="I3" s="49">
        <f>TEXT($G3*$H3,"$#,##0")</f>
        <v/>
      </c>
      <c r="J3" s="46" t="inlineStr"/>
      <c r="K3" s="46" t="inlineStr">
        <is>
          <t>Includes platform requirements and application portfolio analysis</t>
        </is>
      </c>
    </row>
    <row r="4" ht="26" customHeight="1">
      <c r="A4" s="51" t="inlineStr">
        <is>
          <t>Discovery</t>
        </is>
      </c>
      <c r="B4" s="52" t="inlineStr">
        <is>
          <t>Infrastructure Assessment</t>
        </is>
      </c>
      <c r="C4" s="52" t="inlineStr">
        <is>
          <t>Analyze current infrastructure and OpenShift platform readiness</t>
        </is>
      </c>
      <c r="D4" s="52" t="inlineStr">
        <is>
          <t>EO Engineer</t>
        </is>
      </c>
      <c r="E4" s="53" t="n">
        <v>32</v>
      </c>
      <c r="F4" s="54">
        <f>'Estimate Settings'!$C$3</f>
        <v/>
      </c>
      <c r="G4" s="55">
        <f>$E4*$F4</f>
        <v/>
      </c>
      <c r="H4" s="56" t="n">
        <v>200</v>
      </c>
      <c r="I4" s="55">
        <f>TEXT($G4*$H4,"$#,##0")</f>
        <v/>
      </c>
      <c r="J4" s="52" t="inlineStr"/>
      <c r="K4" s="52" t="inlineStr">
        <is>
          <t>Customer must provide infrastructure details and capacity information</t>
        </is>
      </c>
    </row>
    <row r="5" ht="26" customHeight="1">
      <c r="A5" s="45" t="inlineStr">
        <is>
          <t>Discovery</t>
        </is>
      </c>
      <c r="B5" s="46" t="inlineStr">
        <is>
          <t>Application Assessment</t>
        </is>
      </c>
      <c r="C5" s="46" t="inlineStr">
        <is>
          <t>Evaluate applications for containerization and migration priority</t>
        </is>
      </c>
      <c r="D5" s="46" t="inlineStr">
        <is>
          <t>EO Engineer</t>
        </is>
      </c>
      <c r="E5" s="47" t="n">
        <v>32</v>
      </c>
      <c r="F5" s="48">
        <f>'Estimate Settings'!$C$3</f>
        <v/>
      </c>
      <c r="G5" s="49">
        <f>$E5*$F5</f>
        <v/>
      </c>
      <c r="H5" s="50" t="n">
        <v>200</v>
      </c>
      <c r="I5" s="49">
        <f>TEXT($G5*$H5,"$#,##0")</f>
        <v/>
      </c>
      <c r="J5" s="46" t="inlineStr"/>
      <c r="K5" s="46" t="inlineStr">
        <is>
          <t>Customer must provide application inventory and architecture documentation</t>
        </is>
      </c>
    </row>
    <row r="6" ht="26" customHeight="1">
      <c r="A6" s="51" t="inlineStr">
        <is>
          <t>Discovery</t>
        </is>
      </c>
      <c r="B6" s="52" t="inlineStr">
        <is>
          <t>Compliance Review</t>
        </is>
      </c>
      <c r="C6" s="52" t="inlineStr">
        <is>
          <t>Assess security governance and compliance requirements</t>
        </is>
      </c>
      <c r="D6" s="52" t="inlineStr">
        <is>
          <t>EO Engineer</t>
        </is>
      </c>
      <c r="E6" s="53" t="n">
        <v>16</v>
      </c>
      <c r="F6" s="54">
        <f>'Estimate Settings'!$C$3</f>
        <v/>
      </c>
      <c r="G6" s="55">
        <f>$E6*$F6</f>
        <v/>
      </c>
      <c r="H6" s="56" t="n">
        <v>175</v>
      </c>
      <c r="I6" s="55">
        <f>TEXT($G6*$H6,"$#,##0")</f>
        <v/>
      </c>
      <c r="J6" s="52" t="inlineStr"/>
      <c r="K6" s="52" t="inlineStr">
        <is>
          <t>Identifies regulatory requirements and security controls</t>
        </is>
      </c>
    </row>
    <row r="7" ht="26" customHeight="1">
      <c r="A7" s="45" t="inlineStr">
        <is>
          <t>Planning</t>
        </is>
      </c>
      <c r="B7" s="46" t="inlineStr">
        <is>
          <t>OpenShift Architecture Design</t>
        </is>
      </c>
      <c r="C7" s="46" t="inlineStr">
        <is>
          <t>Design OpenShift cluster architecture and platform configuration</t>
        </is>
      </c>
      <c r="D7" s="46" t="inlineStr">
        <is>
          <t>EO Engineer</t>
        </is>
      </c>
      <c r="E7" s="47" t="n">
        <v>48</v>
      </c>
      <c r="F7" s="48">
        <f>'Estimate Settings'!$C$4</f>
        <v/>
      </c>
      <c r="G7" s="49">
        <f>$E7*$F7</f>
        <v/>
      </c>
      <c r="H7" s="50" t="n">
        <v>200</v>
      </c>
      <c r="I7" s="49">
        <f>TEXT($G7*$H7,"$#,##0")</f>
        <v/>
      </c>
      <c r="J7" s="46" t="inlineStr">
        <is>
          <t>Requirements Gathering</t>
        </is>
      </c>
      <c r="K7" s="46" t="inlineStr">
        <is>
          <t>Deliverable: OpenShift architecture with HA control plane and worker nodes</t>
        </is>
      </c>
    </row>
    <row r="8" ht="26" customHeight="1">
      <c r="A8" s="51" t="inlineStr">
        <is>
          <t>Planning</t>
        </is>
      </c>
      <c r="B8" s="52" t="inlineStr">
        <is>
          <t>Network Architecture Design</t>
        </is>
      </c>
      <c r="C8" s="52" t="inlineStr">
        <is>
          <t>Design OVN-Kubernetes SDN networking and ingress strategy</t>
        </is>
      </c>
      <c r="D8" s="52" t="inlineStr">
        <is>
          <t>EO Engineer</t>
        </is>
      </c>
      <c r="E8" s="53" t="n">
        <v>32</v>
      </c>
      <c r="F8" s="54">
        <f>'Estimate Settings'!$C$4</f>
        <v/>
      </c>
      <c r="G8" s="55">
        <f>$E8*$F8</f>
        <v/>
      </c>
      <c r="H8" s="56" t="n">
        <v>180</v>
      </c>
      <c r="I8" s="55">
        <f>TEXT($G8*$H8,"$#,##0")</f>
        <v/>
      </c>
      <c r="J8" s="52" t="inlineStr">
        <is>
          <t>OpenShift Architecture Design</t>
        </is>
      </c>
      <c r="K8" s="52" t="inlineStr">
        <is>
          <t>Deliverable: Network design with policies and load balancer configuration</t>
        </is>
      </c>
    </row>
    <row r="9" ht="26" customHeight="1">
      <c r="A9" s="45" t="inlineStr">
        <is>
          <t>Planning</t>
        </is>
      </c>
      <c r="B9" s="46" t="inlineStr">
        <is>
          <t>Storage Design</t>
        </is>
      </c>
      <c r="C9" s="46" t="inlineStr">
        <is>
          <t>Design persistent storage with ODF or external storage integration</t>
        </is>
      </c>
      <c r="D9" s="46" t="inlineStr">
        <is>
          <t>EO Engineer</t>
        </is>
      </c>
      <c r="E9" s="47" t="n">
        <v>24</v>
      </c>
      <c r="F9" s="48">
        <f>'Estimate Settings'!$C$4</f>
        <v/>
      </c>
      <c r="G9" s="49">
        <f>$E9*$F9</f>
        <v/>
      </c>
      <c r="H9" s="50" t="n">
        <v>175</v>
      </c>
      <c r="I9" s="49">
        <f>TEXT($G9*$H9,"$#,##0")</f>
        <v/>
      </c>
      <c r="J9" s="46" t="inlineStr">
        <is>
          <t>OpenShift Architecture Design</t>
        </is>
      </c>
      <c r="K9" s="46" t="inlineStr">
        <is>
          <t>Block file object storage for containerized applications</t>
        </is>
      </c>
    </row>
    <row r="10" ht="26" customHeight="1">
      <c r="A10" s="51" t="inlineStr">
        <is>
          <t>Planning</t>
        </is>
      </c>
      <c r="B10" s="52" t="inlineStr">
        <is>
          <t>Security Architecture</t>
        </is>
      </c>
      <c r="C10" s="52" t="inlineStr">
        <is>
          <t>Design RBAC pod security policies and authentication integration</t>
        </is>
      </c>
      <c r="D10" s="52" t="inlineStr">
        <is>
          <t>EO Engineer</t>
        </is>
      </c>
      <c r="E10" s="53" t="n">
        <v>24</v>
      </c>
      <c r="F10" s="54">
        <f>'Estimate Settings'!$C$4</f>
        <v/>
      </c>
      <c r="G10" s="55">
        <f>$E10*$F10</f>
        <v/>
      </c>
      <c r="H10" s="56" t="n">
        <v>175</v>
      </c>
      <c r="I10" s="55">
        <f>TEXT($G10*$H10,"$#,##0")</f>
        <v/>
      </c>
      <c r="J10" s="52" t="inlineStr">
        <is>
          <t>Compliance Review</t>
        </is>
      </c>
      <c r="K10" s="52" t="inlineStr">
        <is>
          <t>LDAP/AD integration and security controls design</t>
        </is>
      </c>
    </row>
    <row r="11" ht="26" customHeight="1">
      <c r="A11" s="45" t="inlineStr">
        <is>
          <t>Planning</t>
        </is>
      </c>
      <c r="B11" s="46" t="inlineStr">
        <is>
          <t>Project Planning</t>
        </is>
      </c>
      <c r="C11" s="46" t="inlineStr">
        <is>
          <t>Develop implementation timeline and resource allocation</t>
        </is>
      </c>
      <c r="D11" s="46" t="inlineStr">
        <is>
          <t>EO Engineer</t>
        </is>
      </c>
      <c r="E11" s="47" t="n">
        <v>24</v>
      </c>
      <c r="F11" s="48">
        <f>'Estimate Settings'!$C$4</f>
        <v/>
      </c>
      <c r="G11" s="49">
        <f>$E11*$F11</f>
        <v/>
      </c>
      <c r="H11" s="50" t="n">
        <v>140</v>
      </c>
      <c r="I11" s="49">
        <f>TEXT($G11*$H11,"$#,##0")</f>
        <v/>
      </c>
      <c r="J11" s="46" t="inlineStr">
        <is>
          <t>OpenShift Architecture Design</t>
        </is>
      </c>
      <c r="K11" s="46" t="inlineStr">
        <is>
          <t>Deliverable: Project plan with phased rollout schedule</t>
        </is>
      </c>
    </row>
    <row r="12" ht="26" customHeight="1">
      <c r="A12" s="51" t="inlineStr">
        <is>
          <t>Development</t>
        </is>
      </c>
      <c r="B12" s="52" t="inlineStr">
        <is>
          <t>Cluster Deployment</t>
        </is>
      </c>
      <c r="C12" s="52" t="inlineStr">
        <is>
          <t>Deploy 6-node OpenShift cluster with HA control plane</t>
        </is>
      </c>
      <c r="D12" s="52" t="inlineStr">
        <is>
          <t>EO Engineer</t>
        </is>
      </c>
      <c r="E12" s="53" t="n">
        <v>56</v>
      </c>
      <c r="F12" s="54">
        <f>'Estimate Settings'!$C$5</f>
        <v/>
      </c>
      <c r="G12" s="55">
        <f>$E12*$F12</f>
        <v/>
      </c>
      <c r="H12" s="56" t="n">
        <v>160</v>
      </c>
      <c r="I12" s="55">
        <f>TEXT($G12*$H12,"$#,##0")</f>
        <v/>
      </c>
      <c r="J12" s="52" t="inlineStr">
        <is>
          <t>OpenShift Architecture Design</t>
        </is>
      </c>
      <c r="K12" s="52" t="inlineStr">
        <is>
          <t>Includes cluster installation bootstrap and validation</t>
        </is>
      </c>
    </row>
    <row r="13" ht="26" customHeight="1">
      <c r="A13" s="45" t="inlineStr">
        <is>
          <t>Development</t>
        </is>
      </c>
      <c r="B13" s="46" t="inlineStr">
        <is>
          <t>Storage Configuration</t>
        </is>
      </c>
      <c r="C13" s="46" t="inlineStr">
        <is>
          <t>Configure OpenShift Data Foundation or external storage</t>
        </is>
      </c>
      <c r="D13" s="46" t="inlineStr">
        <is>
          <t>EO Engineer</t>
        </is>
      </c>
      <c r="E13" s="47" t="n">
        <v>40</v>
      </c>
      <c r="F13" s="48">
        <f>'Estimate Settings'!$C$5</f>
        <v/>
      </c>
      <c r="G13" s="49">
        <f>$E13*$F13</f>
        <v/>
      </c>
      <c r="H13" s="50" t="n">
        <v>150</v>
      </c>
      <c r="I13" s="49">
        <f>TEXT($G13*$H13,"$#,##0")</f>
        <v/>
      </c>
      <c r="J13" s="46" t="inlineStr">
        <is>
          <t>Cluster Deployment</t>
        </is>
      </c>
      <c r="K13" s="46" t="inlineStr">
        <is>
          <t>Storage classes persistent volumes and volume snapshots</t>
        </is>
      </c>
    </row>
    <row r="14" ht="26" customHeight="1">
      <c r="A14" s="51" t="inlineStr">
        <is>
          <t>Development</t>
        </is>
      </c>
      <c r="B14" s="52" t="inlineStr">
        <is>
          <t>Networking Setup</t>
        </is>
      </c>
      <c r="C14" s="52" t="inlineStr">
        <is>
          <t>Configure OVN-Kubernetes SDN routes and load balancers</t>
        </is>
      </c>
      <c r="D14" s="52" t="inlineStr">
        <is>
          <t>EO Engineer</t>
        </is>
      </c>
      <c r="E14" s="53" t="n">
        <v>32</v>
      </c>
      <c r="F14" s="54">
        <f>'Estimate Settings'!$C$5</f>
        <v/>
      </c>
      <c r="G14" s="55">
        <f>$E14*$F14</f>
        <v/>
      </c>
      <c r="H14" s="56" t="n">
        <v>145</v>
      </c>
      <c r="I14" s="55">
        <f>TEXT($G14*$H14,"$#,##0")</f>
        <v/>
      </c>
      <c r="J14" s="52" t="inlineStr">
        <is>
          <t>Cluster Deployment</t>
        </is>
      </c>
      <c r="K14" s="52" t="inlineStr">
        <is>
          <t>Network policies ingress controllers and external access</t>
        </is>
      </c>
    </row>
    <row r="15" ht="26" customHeight="1">
      <c r="A15" s="45" t="inlineStr">
        <is>
          <t>Development</t>
        </is>
      </c>
      <c r="B15" s="46" t="inlineStr">
        <is>
          <t>Authentication Integration</t>
        </is>
      </c>
      <c r="C15" s="46" t="inlineStr">
        <is>
          <t>Integrate LDAP/AD for SSO and configure RBAC</t>
        </is>
      </c>
      <c r="D15" s="46" t="inlineStr">
        <is>
          <t>EO Engineer</t>
        </is>
      </c>
      <c r="E15" s="47" t="n">
        <v>32</v>
      </c>
      <c r="F15" s="48">
        <f>'Estimate Settings'!$C$5</f>
        <v/>
      </c>
      <c r="G15" s="49">
        <f>$E15*$F15</f>
        <v/>
      </c>
      <c r="H15" s="50" t="n">
        <v>155</v>
      </c>
      <c r="I15" s="49">
        <f>TEXT($G15*$H15,"$#,##0")</f>
        <v/>
      </c>
      <c r="J15" s="46" t="inlineStr">
        <is>
          <t>Security Architecture</t>
        </is>
      </c>
      <c r="K15" s="46" t="inlineStr">
        <is>
          <t>OAuth provider configuration and role bindings</t>
        </is>
      </c>
    </row>
    <row r="16" ht="26" customHeight="1">
      <c r="A16" s="51" t="inlineStr">
        <is>
          <t>Development</t>
        </is>
      </c>
      <c r="B16" s="52" t="inlineStr">
        <is>
          <t>Monitoring and Logging</t>
        </is>
      </c>
      <c r="C16" s="52" t="inlineStr">
        <is>
          <t>Deploy Prometheus Grafana and EFK logging stack</t>
        </is>
      </c>
      <c r="D16" s="52" t="inlineStr">
        <is>
          <t>EO Engineer</t>
        </is>
      </c>
      <c r="E16" s="53" t="n">
        <v>32</v>
      </c>
      <c r="F16" s="54">
        <f>'Estimate Settings'!$C$5</f>
        <v/>
      </c>
      <c r="G16" s="55">
        <f>$E16*$F16</f>
        <v/>
      </c>
      <c r="H16" s="56" t="n">
        <v>140</v>
      </c>
      <c r="I16" s="55">
        <f>TEXT($G16*$H16,"$#,##0")</f>
        <v/>
      </c>
      <c r="J16" s="52" t="inlineStr">
        <is>
          <t>Cluster Deployment</t>
        </is>
      </c>
      <c r="K16" s="52" t="inlineStr">
        <is>
          <t>Platform and application observability configuration</t>
        </is>
      </c>
    </row>
    <row r="17" ht="26" customHeight="1">
      <c r="A17" s="45" t="inlineStr">
        <is>
          <t>Development</t>
        </is>
      </c>
      <c r="B17" s="46" t="inlineStr">
        <is>
          <t>CI/CD Pipeline Setup</t>
        </is>
      </c>
      <c r="C17" s="46" t="inlineStr">
        <is>
          <t>Configure OpenShift Pipelines (Tekton) and GitOps (ArgoCD)</t>
        </is>
      </c>
      <c r="D17" s="46" t="inlineStr">
        <is>
          <t>EO Engineer</t>
        </is>
      </c>
      <c r="E17" s="47" t="n">
        <v>48</v>
      </c>
      <c r="F17" s="48">
        <f>'Estimate Settings'!$C$5</f>
        <v/>
      </c>
      <c r="G17" s="49">
        <f>$E17*$F17</f>
        <v/>
      </c>
      <c r="H17" s="50" t="n">
        <v>150</v>
      </c>
      <c r="I17" s="49">
        <f>TEXT($G17*$H17,"$#,##0")</f>
        <v/>
      </c>
      <c r="J17" s="46" t="inlineStr">
        <is>
          <t>Cluster Deployment</t>
        </is>
      </c>
      <c r="K17" s="46" t="inlineStr">
        <is>
          <t>Pipeline templates and GitOps workflow automation</t>
        </is>
      </c>
    </row>
    <row r="18" ht="26" customHeight="1">
      <c r="A18" s="51" t="inlineStr">
        <is>
          <t>Development</t>
        </is>
      </c>
      <c r="B18" s="52" t="inlineStr">
        <is>
          <t>Container Registry</t>
        </is>
      </c>
      <c r="C18" s="52" t="inlineStr">
        <is>
          <t>Configure integrated Quay registry with vulnerability scanning</t>
        </is>
      </c>
      <c r="D18" s="52" t="inlineStr">
        <is>
          <t>EO Engineer</t>
        </is>
      </c>
      <c r="E18" s="53" t="n">
        <v>24</v>
      </c>
      <c r="F18" s="54">
        <f>'Estimate Settings'!$C$5</f>
        <v/>
      </c>
      <c r="G18" s="55">
        <f>$E18*$F18</f>
        <v/>
      </c>
      <c r="H18" s="56" t="n">
        <v>140</v>
      </c>
      <c r="I18" s="55">
        <f>TEXT($G18*$H18,"$#,##0")</f>
        <v/>
      </c>
      <c r="J18" s="52" t="inlineStr">
        <is>
          <t>Cluster Deployment</t>
        </is>
      </c>
      <c r="K18" s="52" t="inlineStr">
        <is>
          <t>Image registry security scanning and retention policies</t>
        </is>
      </c>
    </row>
    <row r="19" ht="26" customHeight="1">
      <c r="A19" s="45" t="inlineStr">
        <is>
          <t>Development</t>
        </is>
      </c>
      <c r="B19" s="46" t="inlineStr">
        <is>
          <t>Application Containerization</t>
        </is>
      </c>
      <c r="C19" s="46" t="inlineStr">
        <is>
          <t>Containerize 10 pilot applications with Dockerfiles and manifests</t>
        </is>
      </c>
      <c r="D19" s="46" t="inlineStr">
        <is>
          <t>EO Engineer</t>
        </is>
      </c>
      <c r="E19" s="47" t="n">
        <v>80</v>
      </c>
      <c r="F19" s="48">
        <f>'Estimate Settings'!$C$5</f>
        <v/>
      </c>
      <c r="G19" s="49">
        <f>$E19*$F19</f>
        <v/>
      </c>
      <c r="H19" s="50" t="n">
        <v>130</v>
      </c>
      <c r="I19" s="49">
        <f>TEXT($G19*$H19,"$#,##0")</f>
        <v/>
      </c>
      <c r="J19" s="46" t="inlineStr">
        <is>
          <t>CI/CD Pipeline Setup</t>
        </is>
      </c>
      <c r="K19" s="46" t="inlineStr">
        <is>
          <t>Customer must provide application access and development support</t>
        </is>
      </c>
    </row>
    <row r="20" ht="26" customHeight="1">
      <c r="A20" s="51" t="inlineStr">
        <is>
          <t>Development</t>
        </is>
      </c>
      <c r="B20" s="52" t="inlineStr">
        <is>
          <t>Service Mesh Deployment</t>
        </is>
      </c>
      <c r="C20" s="52" t="inlineStr">
        <is>
          <t>Deploy Istio service mesh for microservices traffic management</t>
        </is>
      </c>
      <c r="D20" s="52" t="inlineStr">
        <is>
          <t>EO Engineer</t>
        </is>
      </c>
      <c r="E20" s="53" t="n">
        <v>32</v>
      </c>
      <c r="F20" s="54">
        <f>'Estimate Settings'!$C$5</f>
        <v/>
      </c>
      <c r="G20" s="55">
        <f>$E20*$F20</f>
        <v/>
      </c>
      <c r="H20" s="56" t="n">
        <v>155</v>
      </c>
      <c r="I20" s="55">
        <f>TEXT($G20*$H20,"$#,##0")</f>
        <v/>
      </c>
      <c r="J20" s="52" t="inlineStr">
        <is>
          <t>Application Containerization</t>
        </is>
      </c>
      <c r="K20" s="52" t="inlineStr">
        <is>
          <t>mTLS traffic routing and observability integration</t>
        </is>
      </c>
    </row>
    <row r="21" ht="26" customHeight="1">
      <c r="A21" s="45" t="inlineStr">
        <is>
          <t>Testing</t>
        </is>
      </c>
      <c r="B21" s="46" t="inlineStr">
        <is>
          <t>Unit Testing</t>
        </is>
      </c>
      <c r="C21" s="46" t="inlineStr">
        <is>
          <t>Develop automated tests for platform components</t>
        </is>
      </c>
      <c r="D21" s="46" t="inlineStr">
        <is>
          <t>EO Engineer</t>
        </is>
      </c>
      <c r="E21" s="47" t="n">
        <v>24</v>
      </c>
      <c r="F21" s="48">
        <f>'Estimate Settings'!$C$6</f>
        <v/>
      </c>
      <c r="G21" s="49">
        <f>$E21*$F21</f>
        <v/>
      </c>
      <c r="H21" s="50" t="n">
        <v>120</v>
      </c>
      <c r="I21" s="49">
        <f>TEXT($G21*$H21,"$#,##0")</f>
        <v/>
      </c>
      <c r="J21" s="46" t="inlineStr">
        <is>
          <t>Service Mesh Deployment</t>
        </is>
      </c>
      <c r="K21" s="46" t="inlineStr">
        <is>
          <t>Automated validation of cluster configuration</t>
        </is>
      </c>
    </row>
    <row r="22" ht="26" customHeight="1">
      <c r="A22" s="51" t="inlineStr">
        <is>
          <t>Testing</t>
        </is>
      </c>
      <c r="B22" s="52" t="inlineStr">
        <is>
          <t>Integration Testing</t>
        </is>
      </c>
      <c r="C22" s="52" t="inlineStr">
        <is>
          <t>Test application deployments CI/CD workflows and integrations</t>
        </is>
      </c>
      <c r="D22" s="52" t="inlineStr">
        <is>
          <t>EO Engineer</t>
        </is>
      </c>
      <c r="E22" s="53" t="n">
        <v>40</v>
      </c>
      <c r="F22" s="54">
        <f>'Estimate Settings'!$C$6</f>
        <v/>
      </c>
      <c r="G22" s="55">
        <f>$E22*$F22</f>
        <v/>
      </c>
      <c r="H22" s="56" t="n">
        <v>120</v>
      </c>
      <c r="I22" s="55">
        <f>TEXT($G22*$H22,"$#,##0")</f>
        <v/>
      </c>
      <c r="J22" s="52" t="inlineStr">
        <is>
          <t>Unit Testing</t>
        </is>
      </c>
      <c r="K22" s="52" t="inlineStr">
        <is>
          <t>Customer must provide test scenarios and validation criteria</t>
        </is>
      </c>
    </row>
    <row r="23" ht="26" customHeight="1">
      <c r="A23" s="45" t="inlineStr">
        <is>
          <t>Testing</t>
        </is>
      </c>
      <c r="B23" s="46" t="inlineStr">
        <is>
          <t>Performance Testing</t>
        </is>
      </c>
      <c r="C23" s="46" t="inlineStr">
        <is>
          <t>Test cluster performance with load and capacity testing</t>
        </is>
      </c>
      <c r="D23" s="46" t="inlineStr">
        <is>
          <t>EO Engineer</t>
        </is>
      </c>
      <c r="E23" s="47" t="n">
        <v>32</v>
      </c>
      <c r="F23" s="48">
        <f>'Estimate Settings'!$C$6</f>
        <v/>
      </c>
      <c r="G23" s="49">
        <f>$E23*$F23</f>
        <v/>
      </c>
      <c r="H23" s="50" t="n">
        <v>140</v>
      </c>
      <c r="I23" s="49">
        <f>TEXT($G23*$H23,"$#,##0")</f>
        <v/>
      </c>
      <c r="J23" s="46" t="inlineStr">
        <is>
          <t>Integration Testing</t>
        </is>
      </c>
      <c r="K23" s="46" t="inlineStr">
        <is>
          <t>Load testing with realistic application workloads</t>
        </is>
      </c>
    </row>
    <row r="24" ht="26" customHeight="1">
      <c r="A24" s="51" t="inlineStr">
        <is>
          <t>Testing</t>
        </is>
      </c>
      <c r="B24" s="52" t="inlineStr">
        <is>
          <t>Security Testing</t>
        </is>
      </c>
      <c r="C24" s="52" t="inlineStr">
        <is>
          <t>Perform security validation of RBAC policies and network controls</t>
        </is>
      </c>
      <c r="D24" s="52" t="inlineStr">
        <is>
          <t>EO Engineer</t>
        </is>
      </c>
      <c r="E24" s="53" t="n">
        <v>24</v>
      </c>
      <c r="F24" s="54">
        <f>'Estimate Settings'!$C$6</f>
        <v/>
      </c>
      <c r="G24" s="55">
        <f>$E24*$F24</f>
        <v/>
      </c>
      <c r="H24" s="56" t="n">
        <v>175</v>
      </c>
      <c r="I24" s="55">
        <f>TEXT($G24*$H24,"$#,##0")</f>
        <v/>
      </c>
      <c r="J24" s="52" t="inlineStr">
        <is>
          <t>Performance Testing</t>
        </is>
      </c>
      <c r="K24" s="52" t="inlineStr">
        <is>
          <t>Includes vulnerability scanning and compliance validation</t>
        </is>
      </c>
    </row>
    <row r="25" ht="26" customHeight="1">
      <c r="A25" s="45" t="inlineStr">
        <is>
          <t>Testing</t>
        </is>
      </c>
      <c r="B25" s="46" t="inlineStr">
        <is>
          <t>User Acceptance Testing</t>
        </is>
      </c>
      <c r="C25" s="46" t="inlineStr">
        <is>
          <t>Coordinate UAT with development teams and stakeholders</t>
        </is>
      </c>
      <c r="D25" s="46" t="inlineStr">
        <is>
          <t>EO Engineer</t>
        </is>
      </c>
      <c r="E25" s="47" t="n">
        <v>32</v>
      </c>
      <c r="F25" s="48">
        <f>'Estimate Settings'!$C$6</f>
        <v/>
      </c>
      <c r="G25" s="49">
        <f>$E25*$F25</f>
        <v/>
      </c>
      <c r="H25" s="50" t="n">
        <v>150</v>
      </c>
      <c r="I25" s="49">
        <f>TEXT($G25*$H25,"$#,##0")</f>
        <v/>
      </c>
      <c r="J25" s="46" t="inlineStr">
        <is>
          <t>Security Testing</t>
        </is>
      </c>
      <c r="K25" s="46" t="inlineStr">
        <is>
          <t>Developer validation of platform capabilities and workflows</t>
        </is>
      </c>
    </row>
    <row r="26" ht="26" customHeight="1">
      <c r="A26" s="51" t="inlineStr">
        <is>
          <t>Deployment</t>
        </is>
      </c>
      <c r="B26" s="52" t="inlineStr">
        <is>
          <t>Production Deployment</t>
        </is>
      </c>
      <c r="C26" s="52" t="inlineStr">
        <is>
          <t>Deploy OpenShift platform to production with validation</t>
        </is>
      </c>
      <c r="D26" s="52" t="inlineStr">
        <is>
          <t>EO Engineer</t>
        </is>
      </c>
      <c r="E26" s="53" t="n">
        <v>32</v>
      </c>
      <c r="F26" s="54">
        <f>'Estimate Settings'!$C$7</f>
        <v/>
      </c>
      <c r="G26" s="55">
        <f>$E26*$F26</f>
        <v/>
      </c>
      <c r="H26" s="56" t="n">
        <v>160</v>
      </c>
      <c r="I26" s="55">
        <f>TEXT($G26*$H26,"$#,##0")</f>
        <v/>
      </c>
      <c r="J26" s="52" t="inlineStr">
        <is>
          <t>User Acceptance Testing</t>
        </is>
      </c>
      <c r="K26" s="52" t="inlineStr">
        <is>
          <t>Production cluster deployment with smoke testing</t>
        </is>
      </c>
    </row>
    <row r="27" ht="26" customHeight="1">
      <c r="A27" s="45" t="inlineStr">
        <is>
          <t>Deployment</t>
        </is>
      </c>
      <c r="B27" s="46" t="inlineStr">
        <is>
          <t>Go-Live Support</t>
        </is>
      </c>
      <c r="C27" s="46" t="inlineStr">
        <is>
          <t>Provide support during initial production application deployments</t>
        </is>
      </c>
      <c r="D27" s="46" t="inlineStr">
        <is>
          <t>EO Engineer</t>
        </is>
      </c>
      <c r="E27" s="47" t="n">
        <v>80</v>
      </c>
      <c r="F27" s="48">
        <f>'Estimate Settings'!$C$7</f>
        <v/>
      </c>
      <c r="G27" s="49">
        <f>$E27*$F27</f>
        <v/>
      </c>
      <c r="H27" s="50" t="n">
        <v>110</v>
      </c>
      <c r="I27" s="49">
        <f>TEXT($G27*$H27,"$#,##0")</f>
        <v/>
      </c>
      <c r="J27" s="46" t="inlineStr">
        <is>
          <t>Production Deployment</t>
        </is>
      </c>
      <c r="K27" s="46" t="inlineStr">
        <is>
          <t>Daily monitoring rapid issue response during hypercare period</t>
        </is>
      </c>
    </row>
    <row r="28" ht="26" customHeight="1">
      <c r="A28" s="51" t="inlineStr">
        <is>
          <t>Training</t>
        </is>
      </c>
      <c r="B28" s="52" t="inlineStr">
        <is>
          <t>Developer Training</t>
        </is>
      </c>
      <c r="C28" s="52" t="inlineStr">
        <is>
          <t>Train developers on OpenShift containerization and CI/CD</t>
        </is>
      </c>
      <c r="D28" s="52" t="inlineStr">
        <is>
          <t>EO Engineer</t>
        </is>
      </c>
      <c r="E28" s="53" t="n">
        <v>40</v>
      </c>
      <c r="F28" s="54">
        <f>'Estimate Settings'!$C$8</f>
        <v/>
      </c>
      <c r="G28" s="55">
        <f>$E28*$F28</f>
        <v/>
      </c>
      <c r="H28" s="56" t="n">
        <v>130</v>
      </c>
      <c r="I28" s="55">
        <f>TEXT($G28*$H28,"$#,##0")</f>
        <v/>
      </c>
      <c r="J28" s="52" t="inlineStr">
        <is>
          <t>Production Deployment</t>
        </is>
      </c>
      <c r="K28" s="52" t="inlineStr">
        <is>
          <t>Includes hands-on training with Tekton ArgoCD and platform workflows</t>
        </is>
      </c>
    </row>
    <row r="29" ht="26" customHeight="1">
      <c r="A29" s="45" t="inlineStr">
        <is>
          <t>Training</t>
        </is>
      </c>
      <c r="B29" s="46" t="inlineStr">
        <is>
          <t>Administrator Training</t>
        </is>
      </c>
      <c r="C29" s="46" t="inlineStr">
        <is>
          <t>Train platform administrators on OpenShift operations</t>
        </is>
      </c>
      <c r="D29" s="46" t="inlineStr">
        <is>
          <t>EO Engineer</t>
        </is>
      </c>
      <c r="E29" s="47" t="n">
        <v>40</v>
      </c>
      <c r="F29" s="48">
        <f>'Estimate Settings'!$C$8</f>
        <v/>
      </c>
      <c r="G29" s="49">
        <f>$E29*$F29</f>
        <v/>
      </c>
      <c r="H29" s="50" t="n">
        <v>130</v>
      </c>
      <c r="I29" s="49">
        <f>TEXT($G29*$H29,"$#,##0")</f>
        <v/>
      </c>
      <c r="J29" s="46" t="inlineStr">
        <is>
          <t>Developer Training</t>
        </is>
      </c>
      <c r="K29" s="46" t="inlineStr">
        <is>
          <t>Platform management monitoring troubleshooting and upgrades</t>
        </is>
      </c>
    </row>
    <row r="30" ht="26" customHeight="1">
      <c r="A30" s="51" t="inlineStr">
        <is>
          <t>Training</t>
        </is>
      </c>
      <c r="B30" s="52" t="inlineStr">
        <is>
          <t>Documentation</t>
        </is>
      </c>
      <c r="C30" s="52" t="inlineStr">
        <is>
          <t>Create runbooks user guides and operational documentation</t>
        </is>
      </c>
      <c r="D30" s="52" t="inlineStr">
        <is>
          <t>EO Engineer</t>
        </is>
      </c>
      <c r="E30" s="53" t="n">
        <v>32</v>
      </c>
      <c r="F30" s="54">
        <f>'Estimate Settings'!$C$8</f>
        <v/>
      </c>
      <c r="G30" s="55">
        <f>$E30*$F30</f>
        <v/>
      </c>
      <c r="H30" s="56" t="n">
        <v>110</v>
      </c>
      <c r="I30" s="55">
        <f>TEXT($G30*$H30,"$#,##0")</f>
        <v/>
      </c>
      <c r="J30" s="52" t="inlineStr">
        <is>
          <t>Administrator Training</t>
        </is>
      </c>
      <c r="K30" s="52" t="inlineStr">
        <is>
          <t>Deliverable: Operations runbooks troubleshooting guides and procedures</t>
        </is>
      </c>
    </row>
    <row r="31" ht="26" customHeight="1">
      <c r="A31" s="45" t="inlineStr">
        <is>
          <t>Closeout</t>
        </is>
      </c>
      <c r="B31" s="46" t="inlineStr">
        <is>
          <t>Knowledge Transfer</t>
        </is>
      </c>
      <c r="C31" s="46" t="inlineStr">
        <is>
          <t>Transfer platform ownership to operations team</t>
        </is>
      </c>
      <c r="D31" s="46" t="inlineStr">
        <is>
          <t>EO Engineer</t>
        </is>
      </c>
      <c r="E31" s="47" t="n">
        <v>24</v>
      </c>
      <c r="F31" s="48">
        <f>'Estimate Settings'!$C$9</f>
        <v/>
      </c>
      <c r="G31" s="49">
        <f>$E31*$F31</f>
        <v/>
      </c>
      <c r="H31" s="50" t="n">
        <v>140</v>
      </c>
      <c r="I31" s="49">
        <f>TEXT($G31*$H31,"$#,##0")</f>
        <v/>
      </c>
      <c r="J31" s="46" t="inlineStr">
        <is>
          <t>Documentation</t>
        </is>
      </c>
      <c r="K31" s="46" t="inlineStr">
        <is>
          <t>Comprehensive handover including architecture procedures and escalation</t>
        </is>
      </c>
    </row>
    <row r="32" ht="26" customHeight="1">
      <c r="A32" s="51" t="inlineStr">
        <is>
          <t>Closeout</t>
        </is>
      </c>
      <c r="B32" s="52" t="inlineStr">
        <is>
          <t>Performance Baseline</t>
        </is>
      </c>
      <c r="C32" s="52" t="inlineStr">
        <is>
          <t>Establish platform performance metrics and monitoring baselines</t>
        </is>
      </c>
      <c r="D32" s="52" t="inlineStr">
        <is>
          <t>EO Engineer</t>
        </is>
      </c>
      <c r="E32" s="53" t="n">
        <v>16</v>
      </c>
      <c r="F32" s="54">
        <f>'Estimate Settings'!$C$9</f>
        <v/>
      </c>
      <c r="G32" s="55">
        <f>$E32*$F32</f>
        <v/>
      </c>
      <c r="H32" s="56" t="n">
        <v>130</v>
      </c>
      <c r="I32" s="55">
        <f>TEXT($G32*$H32,"$#,##0")</f>
        <v/>
      </c>
      <c r="J32" s="52" t="inlineStr">
        <is>
          <t>Knowledge Transfer</t>
        </is>
      </c>
      <c r="K32" s="52" t="inlineStr">
        <is>
          <t>Establishes SLAs performance metrics and operational dashboards</t>
        </is>
      </c>
    </row>
    <row r="33" ht="26" customHeight="1">
      <c r="A33" s="45" t="inlineStr">
        <is>
          <t>Management</t>
        </is>
      </c>
      <c r="B33" s="46" t="inlineStr">
        <is>
          <t>Technical Leadership</t>
        </is>
      </c>
      <c r="C33" s="46" t="inlineStr">
        <is>
          <t>Quarterback technical oversight and architecture review</t>
        </is>
      </c>
      <c r="D33" s="46" t="inlineStr">
        <is>
          <t>EO Quarterback</t>
        </is>
      </c>
      <c r="E33" s="49">
        <f>ROUND(SUM($G$3:$G$32)*0.10,0)</f>
        <v/>
      </c>
      <c r="F33" s="48">
        <f>'Estimate Settings'!$C$11</f>
        <v/>
      </c>
      <c r="G33" s="49">
        <f>$E33*$F33</f>
        <v/>
      </c>
      <c r="H33" s="50" t="n">
        <v>200</v>
      </c>
      <c r="I33" s="49">
        <f>TEXT($G33*$H33,"$#,##0")</f>
        <v/>
      </c>
      <c r="J33" s="46" t="inlineStr"/>
      <c r="K33" s="46" t="inlineStr">
        <is>
          <t>OpenShift architecture review and technical escalation support</t>
        </is>
      </c>
    </row>
    <row r="34" ht="26" customHeight="1">
      <c r="A34" s="51" t="inlineStr">
        <is>
          <t>Management</t>
        </is>
      </c>
      <c r="B34" s="52" t="inlineStr">
        <is>
          <t>Project Management</t>
        </is>
      </c>
      <c r="C34" s="52" t="inlineStr">
        <is>
          <t>Project coordination planning and management activities</t>
        </is>
      </c>
      <c r="D34" s="52" t="inlineStr">
        <is>
          <t>EO Project Manager</t>
        </is>
      </c>
      <c r="E34" s="55">
        <f>ROUND(SUM($G$3:$G$32)*0.10,0)</f>
        <v/>
      </c>
      <c r="F34" s="54">
        <f>'Estimate Settings'!$C$10</f>
        <v/>
      </c>
      <c r="G34" s="55">
        <f>$E34*$F34</f>
        <v/>
      </c>
      <c r="H34" s="56" t="n">
        <v>150</v>
      </c>
      <c r="I34" s="55">
        <f>TEXT($G34*$H34,"$#,##0")</f>
        <v/>
      </c>
      <c r="J34" s="52" t="inlineStr"/>
      <c r="K34" s="52" t="inlineStr">
        <is>
          <t>Includes weekly status risk management and stakeholder coordination</t>
        </is>
      </c>
    </row>
    <row r="35" ht="26" customHeight="1">
      <c r="A35" s="57" t="inlineStr"/>
      <c r="B35" s="57" t="inlineStr"/>
      <c r="C35" s="57" t="inlineStr"/>
      <c r="D35" s="57" t="inlineStr"/>
      <c r="E35" s="57" t="inlineStr"/>
      <c r="F35" s="58" t="inlineStr">
        <is>
          <t>TOTAL HOURS</t>
        </is>
      </c>
      <c r="G35" s="58">
        <f>SUM($G$3:$G$34)</f>
        <v/>
      </c>
      <c r="H35" s="58" t="inlineStr">
        <is>
          <t>TOTAL COST</t>
        </is>
      </c>
      <c r="I35" s="58">
        <f>TEXT(SUMPRODUCT($G$3:$G$34,$H$3:$H$34),"$#,##0")</f>
        <v/>
      </c>
      <c r="J35" s="57" t="inlineStr"/>
      <c r="K35" s="57" t="inlineStr">
        <is>
          <t>EO Sales Engineer: Update phase multipliers in Estimate Settings based on cluster size and complexity</t>
        </is>
      </c>
    </row>
  </sheetData>
  <autoFilter ref="A2:K35"/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7" customWidth="1" min="1" max="1"/>
    <col width="17" customWidth="1" min="2" max="2"/>
    <col width="100" customWidth="1" min="3" max="3"/>
  </cols>
  <sheetData>
    <row r="1" ht="32" customHeight="1">
      <c r="A1" s="35" t="inlineStr">
        <is>
          <t>Credits - Applied to Total Cost (Year 1 Only)</t>
        </is>
      </c>
    </row>
    <row r="2" ht="32" customHeight="1">
      <c r="A2" s="36" t="inlineStr">
        <is>
          <t>Credit Type</t>
        </is>
      </c>
      <c r="B2" s="36" t="inlineStr">
        <is>
          <t>Credit Amount</t>
        </is>
      </c>
      <c r="C2" s="36" t="inlineStr">
        <is>
          <t>Credit Comments</t>
        </is>
      </c>
    </row>
    <row r="3" ht="26" customHeight="1">
      <c r="A3" s="37" t="inlineStr">
        <is>
          <t>Red Hat Partner Services Credit</t>
        </is>
      </c>
      <c r="B3" s="59" t="n">
        <v>-5000</v>
      </c>
      <c r="C3" s="38" t="inlineStr">
        <is>
          <t>Red Hat partner credit for OpenShift implementation and architecture services</t>
        </is>
      </c>
    </row>
    <row r="4" ht="26" customHeight="1">
      <c r="A4" s="40" t="inlineStr">
        <is>
          <t>Implementation Discount</t>
        </is>
      </c>
      <c r="B4" s="60" t="n">
        <v>0</v>
      </c>
      <c r="C4" s="41" t="inlineStr">
        <is>
          <t>No implementation discount applicable</t>
        </is>
      </c>
    </row>
    <row r="5" ht="26" customHeight="1">
      <c r="A5" s="61" t="inlineStr">
        <is>
          <t>TOTAL</t>
        </is>
      </c>
      <c r="B5" s="62">
        <f>SUMPRODUCT($G$3:$G$34,$H$3:$H$34)-5000</f>
        <v/>
      </c>
      <c r="C5" s="61" t="n"/>
    </row>
  </sheetData>
  <autoFilter ref="A2:C5"/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2025-11-16T20:54:40Z</dcterms:created>
  <dcterms:modified xmlns:dcterms="http://purl.org/dc/terms/" xmlns:xsi="http://www.w3.org/2001/XMLSchema-instance" xsi:type="dcterms:W3CDTF">2025-11-25T04:30:11Z</dcterms:modified>
  <cp:lastModifiedBy>Kishan Siram</cp:lastModifiedBy>
</cp:coreProperties>
</file>