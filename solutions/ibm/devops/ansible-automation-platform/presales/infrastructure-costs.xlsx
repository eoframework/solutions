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Costs'!$A$2:$K$20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Ansible Automation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Managed Infrastructure</t>
        </is>
      </c>
      <c r="B3" s="38" t="inlineStr">
        <is>
          <t>Total Managed Nodes</t>
        </is>
      </c>
      <c r="C3" s="39" t="inlineStr">
        <is>
          <t>100 nodes</t>
        </is>
      </c>
      <c r="D3" s="39" t="inlineStr">
        <is>
          <t>500 nodes</t>
        </is>
      </c>
      <c r="E3" s="39" t="inlineStr">
        <is>
          <t>1500 nodes</t>
        </is>
      </c>
      <c r="F3" s="38" t="inlineStr">
        <is>
          <t>Servers and network devices under automation</t>
        </is>
      </c>
    </row>
    <row r="4" ht="26" customHeight="1">
      <c r="A4" s="40" t="inlineStr">
        <is>
          <t>Managed Infrastructure</t>
        </is>
      </c>
      <c r="B4" s="41" t="inlineStr">
        <is>
          <t>Linux Servers</t>
        </is>
      </c>
      <c r="C4" s="42" t="inlineStr">
        <is>
          <t>75 servers</t>
        </is>
      </c>
      <c r="D4" s="42" t="inlineStr">
        <is>
          <t>375 servers</t>
        </is>
      </c>
      <c r="E4" s="42" t="inlineStr">
        <is>
          <t>1125 servers</t>
        </is>
      </c>
      <c r="F4" s="41" t="inlineStr">
        <is>
          <t>RHEL CentOS Ubuntu managed hosts</t>
        </is>
      </c>
    </row>
    <row r="5" ht="26" customHeight="1">
      <c r="A5" s="37" t="inlineStr">
        <is>
          <t>Managed Infrastructure</t>
        </is>
      </c>
      <c r="B5" s="38" t="inlineStr">
        <is>
          <t>Windows Servers</t>
        </is>
      </c>
      <c r="C5" s="39" t="inlineStr">
        <is>
          <t>15 servers</t>
        </is>
      </c>
      <c r="D5" s="39" t="inlineStr">
        <is>
          <t>75 servers</t>
        </is>
      </c>
      <c r="E5" s="39" t="inlineStr">
        <is>
          <t>225 servers</t>
        </is>
      </c>
      <c r="F5" s="38" t="inlineStr">
        <is>
          <t>Windows Server automation via WinRM</t>
        </is>
      </c>
    </row>
    <row r="6" ht="26" customHeight="1">
      <c r="A6" s="40" t="inlineStr">
        <is>
          <t>Managed Infrastructure</t>
        </is>
      </c>
      <c r="B6" s="41" t="inlineStr">
        <is>
          <t>Network Devices</t>
        </is>
      </c>
      <c r="C6" s="42" t="inlineStr">
        <is>
          <t>10 devices</t>
        </is>
      </c>
      <c r="D6" s="42" t="inlineStr">
        <is>
          <t>50 devices</t>
        </is>
      </c>
      <c r="E6" s="42" t="inlineStr">
        <is>
          <t>150 devices</t>
        </is>
      </c>
      <c r="F6" s="41" t="inlineStr">
        <is>
          <t>Switches routers firewalls via APIs</t>
        </is>
      </c>
    </row>
    <row r="7" ht="26" customHeight="1">
      <c r="A7" s="37" t="inlineStr">
        <is>
          <t>Automation Platform</t>
        </is>
      </c>
      <c r="B7" s="38" t="inlineStr">
        <is>
          <t>Automation Controller Nodes</t>
        </is>
      </c>
      <c r="C7" s="39" t="inlineStr">
        <is>
          <t>1 controller</t>
        </is>
      </c>
      <c r="D7" s="39" t="inlineStr">
        <is>
          <t>2 controllers (HA)</t>
        </is>
      </c>
      <c r="E7" s="39" t="inlineStr">
        <is>
          <t>4 controllers (clustered)</t>
        </is>
      </c>
      <c r="F7" s="38" t="inlineStr">
        <is>
          <t>Platform capacity and availability</t>
        </is>
      </c>
    </row>
    <row r="8" ht="26" customHeight="1">
      <c r="A8" s="40" t="inlineStr">
        <is>
          <t>Automation Platform</t>
        </is>
      </c>
      <c r="B8" s="41" t="inlineStr">
        <is>
          <t>Execution Nodes</t>
        </is>
      </c>
      <c r="C8" s="42" t="inlineStr">
        <is>
          <t>1 node</t>
        </is>
      </c>
      <c r="D8" s="42" t="inlineStr">
        <is>
          <t>2 nodes</t>
        </is>
      </c>
      <c r="E8" s="42" t="inlineStr">
        <is>
          <t>4 nodes</t>
        </is>
      </c>
      <c r="F8" s="41" t="inlineStr">
        <is>
          <t>Distributed job execution capacity</t>
        </is>
      </c>
    </row>
    <row r="9" ht="26" customHeight="1">
      <c r="A9" s="37" t="inlineStr">
        <is>
          <t>Automation Platform</t>
        </is>
      </c>
      <c r="B9" s="38" t="inlineStr">
        <is>
          <t>Concurrent Jobs</t>
        </is>
      </c>
      <c r="C9" s="39" t="inlineStr">
        <is>
          <t>10 jobs</t>
        </is>
      </c>
      <c r="D9" s="39" t="inlineStr">
        <is>
          <t>50 jobs</t>
        </is>
      </c>
      <c r="E9" s="39" t="inlineStr">
        <is>
          <t>200 jobs</t>
        </is>
      </c>
      <c r="F9" s="38" t="inlineStr">
        <is>
          <t>Peak concurrent automation execution</t>
        </is>
      </c>
    </row>
    <row r="10" ht="26" customHeight="1">
      <c r="A10" s="40" t="inlineStr">
        <is>
          <t>Automation Content</t>
        </is>
      </c>
      <c r="B10" s="41" t="inlineStr">
        <is>
          <t>Custom Playbooks</t>
        </is>
      </c>
      <c r="C10" s="42" t="inlineStr">
        <is>
          <t>20 playbooks</t>
        </is>
      </c>
      <c r="D10" s="42" t="inlineStr">
        <is>
          <t>100 playbooks</t>
        </is>
      </c>
      <c r="E10" s="42" t="inlineStr">
        <is>
          <t>300+ playbooks</t>
        </is>
      </c>
      <c r="F10" s="41" t="inlineStr">
        <is>
          <t>Organization-specific automation content</t>
        </is>
      </c>
    </row>
    <row r="11" ht="26" customHeight="1">
      <c r="A11" s="37" t="inlineStr">
        <is>
          <t>Automation Users</t>
        </is>
      </c>
      <c r="B11" s="38" t="inlineStr">
        <is>
          <t>Platform Users</t>
        </is>
      </c>
      <c r="C11" s="39" t="inlineStr">
        <is>
          <t>5 users</t>
        </is>
      </c>
      <c r="D11" s="39" t="inlineStr">
        <is>
          <t>20 users</t>
        </is>
      </c>
      <c r="E11" s="39" t="inlineStr">
        <is>
          <t>75 users</t>
        </is>
      </c>
      <c r="F11" s="38" t="inlineStr">
        <is>
          <t>Automation developers and operators</t>
        </is>
      </c>
    </row>
    <row r="12" ht="26" customHeight="1">
      <c r="A12" s="40" t="inlineStr">
        <is>
          <t>Support Level</t>
        </is>
      </c>
      <c r="B12" s="41" t="inlineStr">
        <is>
          <t>Red Hat Support</t>
        </is>
      </c>
      <c r="C12" s="42" t="inlineStr">
        <is>
          <t>Standard Support</t>
        </is>
      </c>
      <c r="D12" s="42" t="inlineStr">
        <is>
          <t>Premium Support</t>
        </is>
      </c>
      <c r="E12" s="42" t="inlineStr">
        <is>
          <t>Premium Support</t>
        </is>
      </c>
      <c r="F12" s="41" t="inlineStr">
        <is>
          <t>SLA and response time requirements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Infrastructure</t>
        </is>
      </c>
      <c r="B3" s="44" t="inlineStr">
        <is>
          <t>Automation Controller VMs</t>
        </is>
      </c>
      <c r="C3" s="44" t="inlineStr">
        <is>
          <t>Controller cluster VMs (2x 8 vCPU 32GB RAM)</t>
        </is>
      </c>
      <c r="D3" s="45" t="n">
        <v>2</v>
      </c>
      <c r="E3" s="44" t="inlineStr">
        <is>
          <t>VMs</t>
        </is>
      </c>
      <c r="F3" s="46" t="n">
        <v>750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HA controller pair on AWS EC2 or Azure</t>
        </is>
      </c>
    </row>
    <row r="4" ht="26" customHeight="1">
      <c r="A4" s="47" t="inlineStr">
        <is>
          <t>Cloud Infrastructure</t>
        </is>
      </c>
      <c r="B4" s="48" t="inlineStr">
        <is>
          <t>Execution Node VMs</t>
        </is>
      </c>
      <c r="C4" s="48" t="inlineStr">
        <is>
          <t>Execution nodes for distributed jobs (2x 4 vCPU 16GB RAM)</t>
        </is>
      </c>
      <c r="D4" s="49" t="n">
        <v>2</v>
      </c>
      <c r="E4" s="48" t="inlineStr">
        <is>
          <t>VMs</t>
        </is>
      </c>
      <c r="F4" s="50" t="n">
        <v>300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Scale execution capacity</t>
        </is>
      </c>
    </row>
    <row r="5" ht="26" customHeight="1">
      <c r="A5" s="43" t="inlineStr">
        <is>
          <t>Cloud Infrastructure</t>
        </is>
      </c>
      <c r="B5" s="44" t="inlineStr">
        <is>
          <t>PostgreSQL Database</t>
        </is>
      </c>
      <c r="C5" s="44" t="inlineStr">
        <is>
          <t>RDS PostgreSQL for controller database</t>
        </is>
      </c>
      <c r="D5" s="45" t="n">
        <v>1</v>
      </c>
      <c r="E5" s="44" t="inlineStr">
        <is>
          <t>Instance/Month</t>
        </is>
      </c>
      <c r="F5" s="46" t="n">
        <v>150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Managed database service</t>
        </is>
      </c>
    </row>
    <row r="6" ht="26" customHeight="1">
      <c r="A6" s="47" t="inlineStr">
        <is>
          <t>Cloud Infrastructure</t>
        </is>
      </c>
      <c r="B6" s="48" t="inlineStr">
        <is>
          <t>Load Balancer</t>
        </is>
      </c>
      <c r="C6" s="48" t="inlineStr">
        <is>
          <t>Application load balancer for controller HA</t>
        </is>
      </c>
      <c r="D6" s="49" t="n">
        <v>1</v>
      </c>
      <c r="E6" s="48" t="inlineStr">
        <is>
          <t>ALB/Month</t>
        </is>
      </c>
      <c r="F6" s="50" t="n">
        <v>50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Distribute traffic to controllers</t>
        </is>
      </c>
    </row>
    <row r="7" ht="26" customHeight="1">
      <c r="A7" s="43" t="inlineStr">
        <is>
          <t>Cloud Infrastructure</t>
        </is>
      </c>
      <c r="B7" s="44" t="inlineStr">
        <is>
          <t>Storage Volumes</t>
        </is>
      </c>
      <c r="C7" s="44" t="inlineStr">
        <is>
          <t>EBS volumes for VMs and backups (500GB)</t>
        </is>
      </c>
      <c r="D7" s="45" t="n">
        <v>500</v>
      </c>
      <c r="E7" s="44" t="inlineStr">
        <is>
          <t>GB/Month</t>
        </is>
      </c>
      <c r="F7" s="46" t="n">
        <v>0.1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Persistent storage and snapshots</t>
        </is>
      </c>
    </row>
    <row r="8" ht="26" customHeight="1">
      <c r="A8" s="47" t="inlineStr">
        <is>
          <t>Cloud Infrastructure</t>
        </is>
      </c>
      <c r="B8" s="48" t="inlineStr">
        <is>
          <t>Backup Storage</t>
        </is>
      </c>
      <c r="C8" s="48" t="inlineStr">
        <is>
          <t>S3 backup storage for configurations and logs</t>
        </is>
      </c>
      <c r="D8" s="49" t="n">
        <v>1</v>
      </c>
      <c r="E8" s="48" t="inlineStr">
        <is>
          <t>TB/Month</t>
        </is>
      </c>
      <c r="F8" s="50" t="n">
        <v>23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Disaster recovery and audit retention</t>
        </is>
      </c>
    </row>
    <row r="9" ht="26" customHeight="1">
      <c r="A9" s="43" t="inlineStr">
        <is>
          <t>Software Licenses</t>
        </is>
      </c>
      <c r="B9" s="44" t="inlineStr">
        <is>
          <t>Ansible Automation Platform</t>
        </is>
      </c>
      <c r="C9" s="44" t="inlineStr">
        <is>
          <t>AAP subscription for 500 managed nodes</t>
        </is>
      </c>
      <c r="D9" s="45" t="n">
        <v>1</v>
      </c>
      <c r="E9" s="44" t="inlineStr">
        <is>
          <t>500-Node Tier</t>
        </is>
      </c>
      <c r="F9" s="46" t="n">
        <v>100000</v>
      </c>
      <c r="G9" s="46">
        <f>D9*F9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Annual subscription licensing</t>
        </is>
      </c>
    </row>
    <row r="10" ht="26" customHeight="1">
      <c r="A10" s="47" t="inlineStr">
        <is>
          <t>Software Licenses</t>
        </is>
      </c>
      <c r="B10" s="48" t="inlineStr">
        <is>
          <t>Red Hat Satellite (Optional)</t>
        </is>
      </c>
      <c r="C10" s="48" t="inlineStr">
        <is>
          <t>RHEL patch and config management integration</t>
        </is>
      </c>
      <c r="D10" s="49" t="n">
        <v>1</v>
      </c>
      <c r="E10" s="48" t="inlineStr">
        <is>
          <t>Subscription</t>
        </is>
      </c>
      <c r="F10" s="50" t="n">
        <v>15000</v>
      </c>
      <c r="G10" s="50">
        <f>D10*F10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Optional - lifecycle management</t>
        </is>
      </c>
    </row>
    <row r="11" ht="26" customHeight="1">
      <c r="A11" s="43" t="inlineStr">
        <is>
          <t>Support &amp; Maintenance</t>
        </is>
      </c>
      <c r="B11" s="44" t="inlineStr">
        <is>
          <t>Red Hat Premium Support</t>
        </is>
      </c>
      <c r="C11" s="44" t="inlineStr">
        <is>
          <t>24x7 Premium Support with SLA</t>
        </is>
      </c>
      <c r="D11" s="45" t="n">
        <v>1</v>
      </c>
      <c r="E11" s="44" t="inlineStr">
        <is>
          <t>Annual Contract</t>
        </is>
      </c>
      <c r="F11" s="46" t="n">
        <v>15000</v>
      </c>
      <c r="G11" s="46">
        <f>D11*F11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Production support coverage</t>
        </is>
      </c>
    </row>
    <row r="12" ht="26" customHeight="1">
      <c r="A12" s="47" t="inlineStr">
        <is>
          <t>Support &amp; Maintenance</t>
        </is>
      </c>
      <c r="B12" s="48" t="inlineStr">
        <is>
          <t>Cloud Infrastructure Support</t>
        </is>
      </c>
      <c r="C12" s="48" t="inlineStr">
        <is>
          <t>AWS/Azure infrastructure support (10% of cloud cost)</t>
        </is>
      </c>
      <c r="D12" s="49" t="n">
        <v>1</v>
      </c>
      <c r="E12" s="48" t="inlineStr">
        <is>
          <t>Annual Support</t>
        </is>
      </c>
      <c r="F12" s="50" t="n">
        <v>2652</v>
      </c>
      <c r="G12" s="50">
        <f>D12*F12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Cloud provider support tier</t>
        </is>
      </c>
    </row>
    <row r="13" ht="26" customHeight="1">
      <c r="A13" s="43" t="inlineStr">
        <is>
          <t>Professional Services</t>
        </is>
      </c>
      <c r="B13" s="44" t="inlineStr">
        <is>
          <t>Architecture &amp; Design</t>
        </is>
      </c>
      <c r="C13" s="44" t="inlineStr">
        <is>
          <t>Solution design and automation strategy (40 hours)</t>
        </is>
      </c>
      <c r="D13" s="45" t="n">
        <v>40</v>
      </c>
      <c r="E13" s="44" t="inlineStr">
        <is>
          <t>Hours</t>
        </is>
      </c>
      <c r="F13" s="46" t="n">
        <v>200</v>
      </c>
      <c r="G13" s="46">
        <f>D13*F13</f>
        <v/>
      </c>
      <c r="H13" s="46">
        <f>0</f>
        <v/>
      </c>
      <c r="I13" s="46">
        <f>0</f>
        <v/>
      </c>
      <c r="J13" s="46">
        <f>G13+H13+I13</f>
        <v/>
      </c>
      <c r="K13" s="44" t="inlineStr">
        <is>
          <t>Pre-implementation planning</t>
        </is>
      </c>
    </row>
    <row r="14" ht="26" customHeight="1">
      <c r="A14" s="47" t="inlineStr">
        <is>
          <t>Professional Services</t>
        </is>
      </c>
      <c r="B14" s="48" t="inlineStr">
        <is>
          <t>Platform Implementation</t>
        </is>
      </c>
      <c r="C14" s="48" t="inlineStr">
        <is>
          <t>AAP installation and configuration (80 hours)</t>
        </is>
      </c>
      <c r="D14" s="49" t="n">
        <v>80</v>
      </c>
      <c r="E14" s="48" t="inlineStr">
        <is>
          <t>Hours</t>
        </is>
      </c>
      <c r="F14" s="50" t="n">
        <v>200</v>
      </c>
      <c r="G14" s="50">
        <f>D14*F14</f>
        <v/>
      </c>
      <c r="H14" s="50">
        <f>0</f>
        <v/>
      </c>
      <c r="I14" s="50">
        <f>0</f>
        <v/>
      </c>
      <c r="J14" s="50">
        <f>G14+H14+I14</f>
        <v/>
      </c>
      <c r="K14" s="48" t="inlineStr">
        <is>
          <t>Controller cluster deployment</t>
        </is>
      </c>
    </row>
    <row r="15" ht="26" customHeight="1">
      <c r="A15" s="43" t="inlineStr">
        <is>
          <t>Professional Services</t>
        </is>
      </c>
      <c r="B15" s="44" t="inlineStr">
        <is>
          <t>Playbook Development</t>
        </is>
      </c>
      <c r="C15" s="44" t="inlineStr">
        <is>
          <t>Custom playbook creation for use cases (120 hours)</t>
        </is>
      </c>
      <c r="D15" s="45" t="n">
        <v>120</v>
      </c>
      <c r="E15" s="44" t="inlineStr">
        <is>
          <t>Hours</t>
        </is>
      </c>
      <c r="F15" s="46" t="n">
        <v>200</v>
      </c>
      <c r="G15" s="46">
        <f>D15*F15</f>
        <v/>
      </c>
      <c r="H15" s="46">
        <f>0</f>
        <v/>
      </c>
      <c r="I15" s="46">
        <f>0</f>
        <v/>
      </c>
      <c r="J15" s="46">
        <f>G15+H15+I15</f>
        <v/>
      </c>
      <c r="K15" s="44" t="inlineStr">
        <is>
          <t>Automation content development</t>
        </is>
      </c>
    </row>
    <row r="16" ht="26" customHeight="1">
      <c r="A16" s="47" t="inlineStr">
        <is>
          <t>Professional Services</t>
        </is>
      </c>
      <c r="B16" s="48" t="inlineStr">
        <is>
          <t>Integration Services</t>
        </is>
      </c>
      <c r="C16" s="48" t="inlineStr">
        <is>
          <t>ITSM and CMDB integration (60 hours)</t>
        </is>
      </c>
      <c r="D16" s="49" t="n">
        <v>60</v>
      </c>
      <c r="E16" s="48" t="inlineStr">
        <is>
          <t>Hours</t>
        </is>
      </c>
      <c r="F16" s="50" t="n">
        <v>200</v>
      </c>
      <c r="G16" s="50">
        <f>D16*F16</f>
        <v/>
      </c>
      <c r="H16" s="50">
        <f>0</f>
        <v/>
      </c>
      <c r="I16" s="50">
        <f>0</f>
        <v/>
      </c>
      <c r="J16" s="50">
        <f>G16+H16+I16</f>
        <v/>
      </c>
      <c r="K16" s="48" t="inlineStr">
        <is>
          <t>ServiceNow monitoring integration</t>
        </is>
      </c>
    </row>
    <row r="17" ht="26" customHeight="1">
      <c r="A17" s="43" t="inlineStr">
        <is>
          <t>Professional Services</t>
        </is>
      </c>
      <c r="B17" s="44" t="inlineStr">
        <is>
          <t>Ansible Developer Training</t>
        </is>
      </c>
      <c r="C17" s="44" t="inlineStr">
        <is>
          <t>Developer training for playbook authors (32 hours 10 users)</t>
        </is>
      </c>
      <c r="D17" s="45" t="n">
        <v>32</v>
      </c>
      <c r="E17" s="44" t="inlineStr">
        <is>
          <t>Hours</t>
        </is>
      </c>
      <c r="F17" s="46" t="n">
        <v>200</v>
      </c>
      <c r="G17" s="46">
        <f>D17*F17</f>
        <v/>
      </c>
      <c r="H17" s="46">
        <f>0</f>
        <v/>
      </c>
      <c r="I17" s="46">
        <f>0</f>
        <v/>
      </c>
      <c r="J17" s="46">
        <f>G17+H17+I17</f>
        <v/>
      </c>
      <c r="K17" s="44" t="inlineStr">
        <is>
          <t>Automation development skills</t>
        </is>
      </c>
    </row>
    <row r="18" ht="26" customHeight="1">
      <c r="A18" s="47" t="inlineStr">
        <is>
          <t>Professional Services</t>
        </is>
      </c>
      <c r="B18" s="48" t="inlineStr">
        <is>
          <t>Ansible Administrator Training</t>
        </is>
      </c>
      <c r="C18" s="48" t="inlineStr">
        <is>
          <t>Platform admin training (24 hours 3 admins)</t>
        </is>
      </c>
      <c r="D18" s="49" t="n">
        <v>24</v>
      </c>
      <c r="E18" s="48" t="inlineStr">
        <is>
          <t>Hours</t>
        </is>
      </c>
      <c r="F18" s="50" t="n">
        <v>200</v>
      </c>
      <c r="G18" s="50">
        <f>D18*F18</f>
        <v/>
      </c>
      <c r="H18" s="50">
        <f>0</f>
        <v/>
      </c>
      <c r="I18" s="50">
        <f>0</f>
        <v/>
      </c>
      <c r="J18" s="50">
        <f>G18+H18+I18</f>
        <v/>
      </c>
      <c r="K18" s="48" t="inlineStr">
        <is>
          <t>Day-2 operations training</t>
        </is>
      </c>
    </row>
    <row r="19" ht="26" customHeight="1">
      <c r="A19" s="43" t="inlineStr">
        <is>
          <t>Professional Services</t>
        </is>
      </c>
      <c r="B19" s="44" t="inlineStr">
        <is>
          <t>Post-Go-Live Support</t>
        </is>
      </c>
      <c r="C19" s="44" t="inlineStr">
        <is>
          <t>Hypercare support for 30 days (60 hours)</t>
        </is>
      </c>
      <c r="D19" s="45" t="n">
        <v>60</v>
      </c>
      <c r="E19" s="44" t="inlineStr">
        <is>
          <t>Hours</t>
        </is>
      </c>
      <c r="F19" s="46" t="n">
        <v>200</v>
      </c>
      <c r="G19" s="46">
        <f>D19*F19</f>
        <v/>
      </c>
      <c r="H19" s="46">
        <f>0</f>
        <v/>
      </c>
      <c r="I19" s="46">
        <f>0</f>
        <v/>
      </c>
      <c r="J19" s="46">
        <f>G19+H19+I19</f>
        <v/>
      </c>
      <c r="K19" s="44" t="inlineStr">
        <is>
          <t>Stabilization period support</t>
        </is>
      </c>
    </row>
    <row r="20" ht="26" customHeight="1">
      <c r="A20" s="51" t="inlineStr">
        <is>
          <t>TOTAL</t>
        </is>
      </c>
      <c r="B20" s="52" t="n"/>
      <c r="C20" s="52" t="n"/>
      <c r="D20" s="52" t="n"/>
      <c r="E20" s="52" t="n"/>
      <c r="F20" s="52" t="n"/>
      <c r="G20" s="53">
        <f>SUM(G3:G19)</f>
        <v/>
      </c>
      <c r="H20" s="53">
        <f>SUM(H3:H19)</f>
        <v/>
      </c>
      <c r="I20" s="53">
        <f>SUM(I3:I19)</f>
        <v/>
      </c>
      <c r="J20" s="53">
        <f>SUM(J3:J19)</f>
        <v/>
      </c>
      <c r="K20" s="52" t="n"/>
    </row>
  </sheetData>
  <autoFilter ref="A2:K2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Red Hat Partner Discount</t>
        </is>
      </c>
      <c r="C3" s="46" t="n">
        <v>-10000</v>
      </c>
      <c r="D3" s="44" t="inlineStr">
        <is>
          <t>Partner discount on first year AAP subscription</t>
        </is>
      </c>
    </row>
    <row r="4" ht="26" customHeight="1">
      <c r="A4" s="47" t="inlineStr">
        <is>
          <t>Professional Services</t>
        </is>
      </c>
      <c r="B4" s="48" t="inlineStr">
        <is>
          <t>Training Credit</t>
        </is>
      </c>
      <c r="C4" s="50" t="n">
        <v>-3000</v>
      </c>
      <c r="D4" s="48" t="inlineStr">
        <is>
          <t>Red Hat training voucher credits</t>
        </is>
      </c>
    </row>
    <row r="5" ht="26" customHeight="1">
      <c r="A5" s="43" t="inlineStr">
        <is>
          <t>Cloud Infrastructure</t>
        </is>
      </c>
      <c r="B5" s="44" t="inlineStr">
        <is>
          <t>AWS Credit</t>
        </is>
      </c>
      <c r="C5" s="46" t="n">
        <v>-2000</v>
      </c>
      <c r="D5" s="44" t="inlineStr">
        <is>
          <t>AWS promotional credits for new workloads</t>
        </is>
      </c>
    </row>
    <row r="6" ht="26" customHeight="1">
      <c r="A6" s="47" t="inlineStr">
        <is>
          <t>Support &amp; Maintenance</t>
        </is>
      </c>
      <c r="B6" s="48" t="inlineStr">
        <is>
          <t>Support Credit</t>
        </is>
      </c>
      <c r="C6" s="50" t="n">
        <v>0</v>
      </c>
      <c r="D6" s="48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2025-11-22T19:38:57Z</dcterms:modified>
  <cp:lastModifiedBy>Kishan Siram</cp:lastModifiedBy>
</cp:coreProperties>
</file>