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Assumptions'!$A$2:$H$19</definedName>
    <definedName name="_xlnm._FilterDatabase" localSheetId="2" hidden="1">'Estimate Settings'!$A$2:$E$11</definedName>
    <definedName name="_xlnm._FilterDatabase" localSheetId="3" hidden="1">'LOE'!$A$2:$K$37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IBM - Devops - Ansible Automation Platform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Solution Scope</t>
        </is>
      </c>
      <c r="B3" s="38" t="inlineStr">
        <is>
          <t>Server Count</t>
        </is>
      </c>
      <c r="C3" s="39" t="inlineStr">
        <is>
          <t>500 servers (Linux/Windows)</t>
        </is>
      </c>
      <c r="D3" s="38" t="inlineStr">
        <is>
          <t>500 servers</t>
        </is>
      </c>
      <c r="E3" s="38" t="inlineStr">
        <is>
          <t>1000 servers</t>
        </is>
      </c>
      <c r="F3" s="38" t="inlineStr">
        <is>
          <t>2000+ servers</t>
        </is>
      </c>
      <c r="G3" s="38" t="inlineStr">
        <is>
          <t>Managed server inventory size</t>
        </is>
      </c>
      <c r="H3" s="38" t="inlineStr"/>
    </row>
    <row r="4" ht="26" customHeight="1">
      <c r="A4" s="40" t="inlineStr">
        <is>
          <t>Solution Scope</t>
        </is>
      </c>
      <c r="B4" s="41" t="inlineStr">
        <is>
          <t>Network Device Count</t>
        </is>
      </c>
      <c r="C4" s="39" t="inlineStr">
        <is>
          <t>100 network devices</t>
        </is>
      </c>
      <c r="D4" s="41" t="inlineStr">
        <is>
          <t>100 devices</t>
        </is>
      </c>
      <c r="E4" s="41" t="inlineStr">
        <is>
          <t>200 devices</t>
        </is>
      </c>
      <c r="F4" s="41" t="inlineStr">
        <is>
          <t>500+ devices</t>
        </is>
      </c>
      <c r="G4" s="41" t="inlineStr">
        <is>
          <t>Routers switches firewalls</t>
        </is>
      </c>
      <c r="H4" s="41" t="inlineStr"/>
    </row>
    <row r="5" ht="26" customHeight="1">
      <c r="A5" s="37" t="inlineStr">
        <is>
          <t>Solution Scope</t>
        </is>
      </c>
      <c r="B5" s="38" t="inlineStr">
        <is>
          <t>Playbook Count</t>
        </is>
      </c>
      <c r="C5" s="39" t="inlineStr">
        <is>
          <t>100 custom automation playbooks</t>
        </is>
      </c>
      <c r="D5" s="38" t="inlineStr">
        <is>
          <t>100 playbooks</t>
        </is>
      </c>
      <c r="E5" s="38" t="inlineStr">
        <is>
          <t>250 playbooks</t>
        </is>
      </c>
      <c r="F5" s="38" t="inlineStr">
        <is>
          <t>500+ playbooks</t>
        </is>
      </c>
      <c r="G5" s="38" t="inlineStr">
        <is>
          <t>Server network cloud compliance automation</t>
        </is>
      </c>
      <c r="H5" s="38" t="inlineStr"/>
    </row>
    <row r="6" ht="26" customHeight="1">
      <c r="A6" s="40" t="inlineStr">
        <is>
          <t>Integration</t>
        </is>
      </c>
      <c r="B6" s="41" t="inlineStr">
        <is>
          <t>ITSM Integration</t>
        </is>
      </c>
      <c r="C6" s="39" t="inlineStr">
        <is>
          <t>ServiceNow ticket-driven workflows</t>
        </is>
      </c>
      <c r="D6" s="41" t="inlineStr">
        <is>
          <t>ServiceNow</t>
        </is>
      </c>
      <c r="E6" s="41" t="inlineStr">
        <is>
          <t>ServiceNow + JIRA</t>
        </is>
      </c>
      <c r="F6" s="41" t="inlineStr">
        <is>
          <t>Multiple ITSM platforms complex workflows</t>
        </is>
      </c>
      <c r="G6" s="41" t="inlineStr">
        <is>
          <t>Service ticket automation integration</t>
        </is>
      </c>
      <c r="H6" s="41" t="inlineStr"/>
    </row>
    <row r="7" ht="26" customHeight="1">
      <c r="A7" s="37" t="inlineStr">
        <is>
          <t>Integration</t>
        </is>
      </c>
      <c r="B7" s="38" t="inlineStr">
        <is>
          <t>External Systems</t>
        </is>
      </c>
      <c r="C7" s="39" t="inlineStr">
        <is>
          <t>Monitoring systems + credential vault</t>
        </is>
      </c>
      <c r="D7" s="38" t="inlineStr">
        <is>
          <t>2-3 systems</t>
        </is>
      </c>
      <c r="E7" s="38" t="inlineStr">
        <is>
          <t>4-6 systems</t>
        </is>
      </c>
      <c r="F7" s="38" t="inlineStr">
        <is>
          <t>8+ systems or complex integrations</t>
        </is>
      </c>
      <c r="G7" s="38" t="inlineStr">
        <is>
          <t>Monitoring vaults CMDBs cloud providers</t>
        </is>
      </c>
      <c r="H7" s="38" t="inlineStr"/>
    </row>
    <row r="8" ht="26" customHeight="1">
      <c r="A8" s="40" t="inlineStr">
        <is>
          <t>User Base</t>
        </is>
      </c>
      <c r="B8" s="41" t="inlineStr">
        <is>
          <t>Automation Users</t>
        </is>
      </c>
      <c r="C8" s="39" t="inlineStr">
        <is>
          <t>50 operations staff</t>
        </is>
      </c>
      <c r="D8" s="41" t="inlineStr">
        <is>
          <t>50 users</t>
        </is>
      </c>
      <c r="E8" s="41" t="inlineStr">
        <is>
          <t>100-200 users</t>
        </is>
      </c>
      <c r="F8" s="41" t="inlineStr">
        <is>
          <t>500+ users</t>
        </is>
      </c>
      <c r="G8" s="41" t="inlineStr">
        <is>
          <t>Platform users and automation developers</t>
        </is>
      </c>
      <c r="H8" s="41" t="inlineStr"/>
    </row>
    <row r="9" ht="26" customHeight="1">
      <c r="A9" s="37" t="inlineStr">
        <is>
          <t>User Base</t>
        </is>
      </c>
      <c r="B9" s="38" t="inlineStr">
        <is>
          <t>User Roles</t>
        </is>
      </c>
      <c r="C9" s="39" t="inlineStr">
        <is>
          <t>5 roles (operator admin developer approver auditor)</t>
        </is>
      </c>
      <c r="D9" s="38" t="inlineStr">
        <is>
          <t>5 standard roles</t>
        </is>
      </c>
      <c r="E9" s="38" t="inlineStr">
        <is>
          <t>8-10 roles</t>
        </is>
      </c>
      <c r="F9" s="38" t="inlineStr">
        <is>
          <t>15+ roles with complex RBAC</t>
        </is>
      </c>
      <c r="G9" s="38" t="inlineStr">
        <is>
          <t>Role-based access control requirements</t>
        </is>
      </c>
      <c r="H9" s="38" t="inlineStr"/>
    </row>
    <row r="10" ht="26" customHeight="1">
      <c r="A10" s="40" t="inlineStr">
        <is>
          <t>Data Volume</t>
        </is>
      </c>
      <c r="B10" s="41" t="inlineStr">
        <is>
          <t>Automation Executions</t>
        </is>
      </c>
      <c r="C10" s="39" t="inlineStr">
        <is>
          <t>10000+ job runs per month</t>
        </is>
      </c>
      <c r="D10" s="41" t="inlineStr">
        <is>
          <t>10K jobs/month</t>
        </is>
      </c>
      <c r="E10" s="41" t="inlineStr">
        <is>
          <t>50K jobs/month</t>
        </is>
      </c>
      <c r="F10" s="41" t="inlineStr">
        <is>
          <t>200K+ jobs/month</t>
        </is>
      </c>
      <c r="G10" s="41" t="inlineStr">
        <is>
          <t>Monthly automation job execution volume</t>
        </is>
      </c>
      <c r="H10" s="41" t="inlineStr"/>
    </row>
    <row r="11" ht="26" customHeight="1">
      <c r="A11" s="37" t="inlineStr">
        <is>
          <t>Data Volume</t>
        </is>
      </c>
      <c r="B11" s="38" t="inlineStr">
        <is>
          <t>Inventory Management</t>
        </is>
      </c>
      <c r="C11" s="39" t="inlineStr">
        <is>
          <t>600 managed nodes total</t>
        </is>
      </c>
      <c r="D11" s="38" t="inlineStr">
        <is>
          <t>600 nodes</t>
        </is>
      </c>
      <c r="E11" s="38" t="inlineStr">
        <is>
          <t>1500 nodes</t>
        </is>
      </c>
      <c r="F11" s="38" t="inlineStr">
        <is>
          <t>5000+ nodes</t>
        </is>
      </c>
      <c r="G11" s="38" t="inlineStr">
        <is>
          <t>Total managed infrastructure inventory</t>
        </is>
      </c>
      <c r="H11" s="38" t="inlineStr"/>
    </row>
    <row r="12" ht="26" customHeight="1">
      <c r="A12" s="40" t="inlineStr">
        <is>
          <t>Technical Environment</t>
        </is>
      </c>
      <c r="B12" s="41" t="inlineStr">
        <is>
          <t>Deployment Platform</t>
        </is>
      </c>
      <c r="C12" s="39" t="inlineStr">
        <is>
          <t>AWS/Azure cloud infrastructure</t>
        </is>
      </c>
      <c r="D12" s="41" t="inlineStr">
        <is>
          <t>Single cloud provider</t>
        </is>
      </c>
      <c r="E12" s="41" t="inlineStr">
        <is>
          <t>Multi-cloud (AWS + Azure)</t>
        </is>
      </c>
      <c r="F12" s="41" t="inlineStr">
        <is>
          <t>Complex hybrid cloud + on-prem</t>
        </is>
      </c>
      <c r="G12" s="41" t="inlineStr">
        <is>
          <t>Infrastructure hosting for automation platform</t>
        </is>
      </c>
      <c r="H12" s="41" t="inlineStr"/>
    </row>
    <row r="13" ht="26" customHeight="1">
      <c r="A13" s="37" t="inlineStr">
        <is>
          <t>Technical Environment</t>
        </is>
      </c>
      <c r="B13" s="38" t="inlineStr">
        <is>
          <t>Availability Requirements</t>
        </is>
      </c>
      <c r="C13" s="39" t="inlineStr">
        <is>
          <t>HA controller cluster (99.5% uptime)</t>
        </is>
      </c>
      <c r="D13" s="38" t="inlineStr">
        <is>
          <t>Multi-node HA</t>
        </is>
      </c>
      <c r="E13" s="38" t="inlineStr">
        <is>
          <t>Multi-region HA</t>
        </is>
      </c>
      <c r="F13" s="38" t="inlineStr">
        <is>
          <t>Global with DR</t>
        </is>
      </c>
      <c r="G13" s="38" t="inlineStr">
        <is>
          <t>Platform availability configuration</t>
        </is>
      </c>
      <c r="H13" s="38" t="inlineStr"/>
    </row>
    <row r="14" ht="26" customHeight="1">
      <c r="A14" s="40" t="inlineStr">
        <is>
          <t>Technical Environment</t>
        </is>
      </c>
      <c r="B14" s="41" t="inlineStr">
        <is>
          <t>Infrastructure Complexity</t>
        </is>
      </c>
      <c r="C14" s="39" t="inlineStr">
        <is>
          <t>Controller HA + distributed execution nodes</t>
        </is>
      </c>
      <c r="D14" s="41" t="inlineStr">
        <is>
          <t>Standard HA cluster</t>
        </is>
      </c>
      <c r="E14" s="41" t="inlineStr">
        <is>
          <t>Advanced with geo-distributed nodes</t>
        </is>
      </c>
      <c r="F14" s="41" t="inlineStr">
        <is>
          <t>Complex multi-region federated platform</t>
        </is>
      </c>
      <c r="G14" s="41" t="inlineStr">
        <is>
          <t>Automation platform infrastructure complexity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Security Requirements</t>
        </is>
      </c>
      <c r="C15" s="39" t="inlineStr">
        <is>
          <t>RBAC + credential vault integration</t>
        </is>
      </c>
      <c r="D15" s="38" t="inlineStr">
        <is>
          <t>Basic RBAC + vault</t>
        </is>
      </c>
      <c r="E15" s="38" t="inlineStr">
        <is>
          <t>Industry standard (SOC2)</t>
        </is>
      </c>
      <c r="F15" s="38" t="inlineStr">
        <is>
          <t>Advanced (FedRAMP multi-framework)</t>
        </is>
      </c>
      <c r="G15" s="38" t="inlineStr">
        <is>
          <t>Platform and automation security</t>
        </is>
      </c>
      <c r="H15" s="38" t="inlineStr"/>
    </row>
    <row r="16" ht="26" customHeight="1">
      <c r="A16" s="40" t="inlineStr">
        <is>
          <t>Security &amp; Compliance</t>
        </is>
      </c>
      <c r="B16" s="41" t="inlineStr">
        <is>
          <t>Compliance Frameworks</t>
        </is>
      </c>
      <c r="C16" s="39" t="inlineStr">
        <is>
          <t>SOC2 ISO 27001</t>
        </is>
      </c>
      <c r="D16" s="41" t="inlineStr">
        <is>
          <t>1-2 basic standards</t>
        </is>
      </c>
      <c r="E16" s="41" t="inlineStr">
        <is>
          <t>2-3 industry standards</t>
        </is>
      </c>
      <c r="F16" s="41" t="inlineStr">
        <is>
          <t>Multiple complex frameworks</t>
        </is>
      </c>
      <c r="G16" s="41" t="inlineStr">
        <is>
          <t>Compliance and governance requirements</t>
        </is>
      </c>
      <c r="H16" s="41" t="inlineStr"/>
    </row>
    <row r="17" ht="26" customHeight="1">
      <c r="A17" s="37" t="inlineStr">
        <is>
          <t>Performance</t>
        </is>
      </c>
      <c r="B17" s="38" t="inlineStr">
        <is>
          <t>Execution Capacity</t>
        </is>
      </c>
      <c r="C17" s="39" t="inlineStr">
        <is>
          <t>100 concurrent job executions</t>
        </is>
      </c>
      <c r="D17" s="38" t="inlineStr">
        <is>
          <t>100 concurrent jobs</t>
        </is>
      </c>
      <c r="E17" s="38" t="inlineStr">
        <is>
          <t>500 concurrent jobs</t>
        </is>
      </c>
      <c r="F17" s="38" t="inlineStr">
        <is>
          <t>2000+ concurrent jobs</t>
        </is>
      </c>
      <c r="G17" s="38" t="inlineStr">
        <is>
          <t>Platform concurrent automation capacity</t>
        </is>
      </c>
      <c r="H17" s="38" t="inlineStr"/>
    </row>
    <row r="18" ht="26" customHeight="1">
      <c r="A18" s="40" t="inlineStr">
        <is>
          <t>Performance</t>
        </is>
      </c>
      <c r="B18" s="41" t="inlineStr">
        <is>
          <t>Automation Orchestration</t>
        </is>
      </c>
      <c r="C18" s="39" t="inlineStr">
        <is>
          <t>Event-driven automation + scheduled jobs</t>
        </is>
      </c>
      <c r="D18" s="41" t="inlineStr">
        <is>
          <t>Basic event-driven</t>
        </is>
      </c>
      <c r="E18" s="41" t="inlineStr">
        <is>
          <t>Advanced orchestration</t>
        </is>
      </c>
      <c r="F18" s="41" t="inlineStr">
        <is>
          <t>Complex workflow automation</t>
        </is>
      </c>
      <c r="G18" s="41" t="inlineStr">
        <is>
          <t>Automation execution patterns</t>
        </is>
      </c>
      <c r="H18" s="41" t="inlineStr"/>
    </row>
    <row r="19" ht="26" customHeight="1">
      <c r="A19" s="37" t="inlineStr">
        <is>
          <t>Environment</t>
        </is>
      </c>
      <c r="B19" s="38" t="inlineStr">
        <is>
          <t>Deployment Environments</t>
        </is>
      </c>
      <c r="C19" s="39" t="inlineStr">
        <is>
          <t>2 environments (dev/staging + prod)</t>
        </is>
      </c>
      <c r="D19" s="38" t="inlineStr">
        <is>
          <t>2 environments</t>
        </is>
      </c>
      <c r="E19" s="38" t="inlineStr">
        <is>
          <t>3 environments</t>
        </is>
      </c>
      <c r="F19" s="38" t="inlineStr">
        <is>
          <t>4+ environments multi-cluster</t>
        </is>
      </c>
      <c r="G19" s="38" t="inlineStr">
        <is>
          <t>Environment management for automation platform</t>
        </is>
      </c>
      <c r="H19" s="38" t="inlineStr"/>
    </row>
  </sheetData>
  <autoFilter ref="A2:H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Infrastructure Assessment, Automation Assessment, Compliance Review)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(Automation Platform Design, Network Design, Integration Design, Security Design, Project Planning)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(Platform Deployment, Playbook Development, ServiceNow Integration, Event-Driven Automation)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(Unit Testing, Integration Testing, Performance Testing, Security Testing, UAT)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Go-Live Support)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Developer Training, Documentation)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1.5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1.5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for automation platform requirements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150</v>
      </c>
      <c r="I3" s="49">
        <f>TEXT($G3*$H3,"$#,##0")</f>
        <v/>
      </c>
      <c r="J3" s="46" t="inlineStr"/>
      <c r="K3" s="46" t="inlineStr">
        <is>
          <t>Includes automation use cases and infrastructure inventory analysis</t>
        </is>
      </c>
    </row>
    <row r="4" ht="26" customHeight="1">
      <c r="A4" s="51" t="inlineStr">
        <is>
          <t>Discovery</t>
        </is>
      </c>
      <c r="B4" s="52" t="inlineStr">
        <is>
          <t>Infrastructure Assessment</t>
        </is>
      </c>
      <c r="C4" s="52" t="inlineStr">
        <is>
          <t>Analyze current IT operations and manual process inefficiencies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infrastructure details and operational workflows</t>
        </is>
      </c>
    </row>
    <row r="5" ht="26" customHeight="1">
      <c r="A5" s="45" t="inlineStr">
        <is>
          <t>Discovery</t>
        </is>
      </c>
      <c r="B5" s="46" t="inlineStr">
        <is>
          <t>Automation Assessment</t>
        </is>
      </c>
      <c r="C5" s="46" t="inlineStr">
        <is>
          <t>Evaluate automation opportunities and prioritize high-value use cases</t>
        </is>
      </c>
      <c r="D5" s="46" t="inlineStr">
        <is>
          <t>EO Engineer</t>
        </is>
      </c>
      <c r="E5" s="47" t="n">
        <v>32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Customer must provide process documentation and pain points</t>
        </is>
      </c>
    </row>
    <row r="6" ht="26" customHeight="1">
      <c r="A6" s="51" t="inlineStr">
        <is>
          <t>Discovery</t>
        </is>
      </c>
      <c r="B6" s="52" t="inlineStr">
        <is>
          <t>Compliance Review</t>
        </is>
      </c>
      <c r="C6" s="52" t="inlineStr">
        <is>
          <t>Assess security governance and compliance requirements for automation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regulatory requirements and security controls</t>
        </is>
      </c>
    </row>
    <row r="7" ht="26" customHeight="1">
      <c r="A7" s="45" t="inlineStr">
        <is>
          <t>Planning</t>
        </is>
      </c>
      <c r="B7" s="46" t="inlineStr">
        <is>
          <t>Automation Platform Design</t>
        </is>
      </c>
      <c r="C7" s="46" t="inlineStr">
        <is>
          <t>Design Ansible platform architecture with HA controller and execution nodes</t>
        </is>
      </c>
      <c r="D7" s="46" t="inlineStr">
        <is>
          <t>EO Engineer</t>
        </is>
      </c>
      <c r="E7" s="47" t="n">
        <v>48</v>
      </c>
      <c r="F7" s="48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Requirements Gathering</t>
        </is>
      </c>
      <c r="K7" s="46" t="inlineStr">
        <is>
          <t>Deliverable: Ansible architecture with HA controller cluster and distributed execution</t>
        </is>
      </c>
    </row>
    <row r="8" ht="26" customHeight="1">
      <c r="A8" s="51" t="inlineStr">
        <is>
          <t>Planning</t>
        </is>
      </c>
      <c r="B8" s="52" t="inlineStr">
        <is>
          <t>Network Architecture Design</t>
        </is>
      </c>
      <c r="C8" s="52" t="inlineStr">
        <is>
          <t>Design network connectivity for automation controller and managed infrastructure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180</v>
      </c>
      <c r="I8" s="55">
        <f>TEXT($G8*$H8,"$#,##0")</f>
        <v/>
      </c>
      <c r="J8" s="52" t="inlineStr">
        <is>
          <t>Automation Platform Design</t>
        </is>
      </c>
      <c r="K8" s="52" t="inlineStr">
        <is>
          <t>Deliverable: Network design with firewall rules and connectivity</t>
        </is>
      </c>
    </row>
    <row r="9" ht="26" customHeight="1">
      <c r="A9" s="45" t="inlineStr">
        <is>
          <t>Planning</t>
        </is>
      </c>
      <c r="B9" s="46" t="inlineStr">
        <is>
          <t>Integration Design</t>
        </is>
      </c>
      <c r="C9" s="46" t="inlineStr">
        <is>
          <t>Design ServiceNow integration and event-driven automation workflows</t>
        </is>
      </c>
      <c r="D9" s="46" t="inlineStr">
        <is>
          <t>EO Engineer</t>
        </is>
      </c>
      <c r="E9" s="47" t="n">
        <v>32</v>
      </c>
      <c r="F9" s="48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Automation Platform Design</t>
        </is>
      </c>
      <c r="K9" s="46" t="inlineStr">
        <is>
          <t>ITSM ticket-driven automation and monitoring webhooks</t>
        </is>
      </c>
    </row>
    <row r="10" ht="26" customHeight="1">
      <c r="A10" s="51" t="inlineStr">
        <is>
          <t>Planning</t>
        </is>
      </c>
      <c r="B10" s="52" t="inlineStr">
        <is>
          <t>Security Architecture</t>
        </is>
      </c>
      <c r="C10" s="52" t="inlineStr">
        <is>
          <t>Design RBAC credential vault integration and audit controls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175</v>
      </c>
      <c r="I10" s="55">
        <f>TEXT($G10*$H10,"$#,##0")</f>
        <v/>
      </c>
      <c r="J10" s="52" t="inlineStr">
        <is>
          <t>Compliance Review</t>
        </is>
      </c>
      <c r="K10" s="52" t="inlineStr">
        <is>
          <t>HashiCorp Vault or CyberArk integration and security controls design</t>
        </is>
      </c>
    </row>
    <row r="11" ht="26" customHeight="1">
      <c r="A11" s="45" t="inlineStr">
        <is>
          <t>Planning</t>
        </is>
      </c>
      <c r="B11" s="46" t="inlineStr">
        <is>
          <t>Project Planning</t>
        </is>
      </c>
      <c r="C11" s="46" t="inlineStr">
        <is>
          <t>Develop playbook roadmap timeline and resource allocation</t>
        </is>
      </c>
      <c r="D11" s="46" t="inlineStr">
        <is>
          <t>EO Engineer</t>
        </is>
      </c>
      <c r="E11" s="47" t="n">
        <v>24</v>
      </c>
      <c r="F11" s="48">
        <f>'Estimate Settings'!$C$4</f>
        <v/>
      </c>
      <c r="G11" s="49">
        <f>$E11*$F11</f>
        <v/>
      </c>
      <c r="H11" s="50" t="n">
        <v>140</v>
      </c>
      <c r="I11" s="49">
        <f>TEXT($G11*$H11,"$#,##0")</f>
        <v/>
      </c>
      <c r="J11" s="46" t="inlineStr">
        <is>
          <t>Automation Platform Design</t>
        </is>
      </c>
      <c r="K11" s="46" t="inlineStr">
        <is>
          <t>Deliverable: Project plan with phased automation rollout schedule</t>
        </is>
      </c>
    </row>
    <row r="12" ht="26" customHeight="1">
      <c r="A12" s="51" t="inlineStr">
        <is>
          <t>Development</t>
        </is>
      </c>
      <c r="B12" s="52" t="inlineStr">
        <is>
          <t>Platform Deployment</t>
        </is>
      </c>
      <c r="C12" s="52" t="inlineStr">
        <is>
          <t>Deploy Ansible Automation Platform with HA controller cluster</t>
        </is>
      </c>
      <c r="D12" s="52" t="inlineStr">
        <is>
          <t>EO Engineer</t>
        </is>
      </c>
      <c r="E12" s="53" t="n">
        <v>40</v>
      </c>
      <c r="F12" s="54">
        <f>'Estimate Settings'!$C$5</f>
        <v/>
      </c>
      <c r="G12" s="55">
        <f>$E12*$F12</f>
        <v/>
      </c>
      <c r="H12" s="56" t="n">
        <v>160</v>
      </c>
      <c r="I12" s="55">
        <f>TEXT($G12*$H12,"$#,##0")</f>
        <v/>
      </c>
      <c r="J12" s="52" t="inlineStr">
        <is>
          <t>Automation Platform Design</t>
        </is>
      </c>
      <c r="K12" s="52" t="inlineStr">
        <is>
          <t>Includes controller deployment PostgreSQL setup and execution nodes</t>
        </is>
      </c>
    </row>
    <row r="13" ht="26" customHeight="1">
      <c r="A13" s="45" t="inlineStr">
        <is>
          <t>Development</t>
        </is>
      </c>
      <c r="B13" s="46" t="inlineStr">
        <is>
          <t>Execution Node Configuration</t>
        </is>
      </c>
      <c r="C13" s="46" t="inlineStr">
        <is>
          <t>Configure distributed execution nodes for scalable job processing</t>
        </is>
      </c>
      <c r="D13" s="46" t="inlineStr">
        <is>
          <t>EO Engineer</t>
        </is>
      </c>
      <c r="E13" s="47" t="n">
        <v>24</v>
      </c>
      <c r="F13" s="48">
        <f>'Estimate Settings'!$C$5</f>
        <v/>
      </c>
      <c r="G13" s="49">
        <f>$E13*$F13</f>
        <v/>
      </c>
      <c r="H13" s="50" t="n">
        <v>150</v>
      </c>
      <c r="I13" s="49">
        <f>TEXT($G13*$H13,"$#,##0")</f>
        <v/>
      </c>
      <c r="J13" s="46" t="inlineStr">
        <is>
          <t>Platform Deployment</t>
        </is>
      </c>
      <c r="K13" s="46" t="inlineStr">
        <is>
          <t>4+ execution nodes with auto-scaling and geographic distribution</t>
        </is>
      </c>
    </row>
    <row r="14" ht="26" customHeight="1">
      <c r="A14" s="51" t="inlineStr">
        <is>
          <t>Development</t>
        </is>
      </c>
      <c r="B14" s="52" t="inlineStr">
        <is>
          <t>Authentication Integration</t>
        </is>
      </c>
      <c r="C14" s="52" t="inlineStr">
        <is>
          <t>Integrate LDAP/AD for SSO and configure RBAC teams and organizations</t>
        </is>
      </c>
      <c r="D14" s="52" t="inlineStr">
        <is>
          <t>EO Engineer</t>
        </is>
      </c>
      <c r="E14" s="53" t="n">
        <v>24</v>
      </c>
      <c r="F14" s="54">
        <f>'Estimate Settings'!$C$5</f>
        <v/>
      </c>
      <c r="G14" s="55">
        <f>$E14*$F14</f>
        <v/>
      </c>
      <c r="H14" s="56" t="n">
        <v>155</v>
      </c>
      <c r="I14" s="55">
        <f>TEXT($G14*$H14,"$#,##0")</f>
        <v/>
      </c>
      <c r="J14" s="52" t="inlineStr">
        <is>
          <t>Security Architecture</t>
        </is>
      </c>
      <c r="K14" s="52" t="inlineStr">
        <is>
          <t>OAuth provider configuration and role-based permissions</t>
        </is>
      </c>
    </row>
    <row r="15" ht="26" customHeight="1">
      <c r="A15" s="45" t="inlineStr">
        <is>
          <t>Development</t>
        </is>
      </c>
      <c r="B15" s="46" t="inlineStr">
        <is>
          <t>Credential Vault Integration</t>
        </is>
      </c>
      <c r="C15" s="46" t="inlineStr">
        <is>
          <t>Integrate HashiCorp Vault or CyberArk for secure credential management</t>
        </is>
      </c>
      <c r="D15" s="46" t="inlineStr">
        <is>
          <t>EO Engineer</t>
        </is>
      </c>
      <c r="E15" s="47" t="n">
        <v>32</v>
      </c>
      <c r="F15" s="48">
        <f>'Estimate Settings'!$C$5</f>
        <v/>
      </c>
      <c r="G15" s="49">
        <f>$E15*$F15</f>
        <v/>
      </c>
      <c r="H15" s="50" t="n">
        <v>155</v>
      </c>
      <c r="I15" s="49">
        <f>TEXT($G15*$H15,"$#,##0")</f>
        <v/>
      </c>
      <c r="J15" s="46" t="inlineStr">
        <is>
          <t>Security Architecture</t>
        </is>
      </c>
      <c r="K15" s="46" t="inlineStr">
        <is>
          <t>External vault for SSH keys API tokens and secrets</t>
        </is>
      </c>
    </row>
    <row r="16" ht="26" customHeight="1">
      <c r="A16" s="51" t="inlineStr">
        <is>
          <t>Development</t>
        </is>
      </c>
      <c r="B16" s="52" t="inlineStr">
        <is>
          <t>Private Automation Hub</t>
        </is>
      </c>
      <c r="C16" s="52" t="inlineStr">
        <is>
          <t>Deploy and configure Private Automation Hub for organization content</t>
        </is>
      </c>
      <c r="D16" s="52" t="inlineStr">
        <is>
          <t>EO Engineer</t>
        </is>
      </c>
      <c r="E16" s="53" t="n">
        <v>24</v>
      </c>
      <c r="F16" s="54">
        <f>'Estimate Settings'!$C$5</f>
        <v/>
      </c>
      <c r="G16" s="55">
        <f>$E16*$F16</f>
        <v/>
      </c>
      <c r="H16" s="56" t="n">
        <v>140</v>
      </c>
      <c r="I16" s="55">
        <f>TEXT($G16*$H16,"$#,##0")</f>
        <v/>
      </c>
      <c r="J16" s="52" t="inlineStr">
        <is>
          <t>Platform Deployment</t>
        </is>
      </c>
      <c r="K16" s="52" t="inlineStr">
        <is>
          <t>Organization playbook repository and collection management</t>
        </is>
      </c>
    </row>
    <row r="17" ht="26" customHeight="1">
      <c r="A17" s="45" t="inlineStr">
        <is>
          <t>Development</t>
        </is>
      </c>
      <c r="B17" s="46" t="inlineStr">
        <is>
          <t>Server Playbooks</t>
        </is>
      </c>
      <c r="C17" s="46" t="inlineStr">
        <is>
          <t>Develop 50 server automation playbooks (provisioning patching configuration)</t>
        </is>
      </c>
      <c r="D17" s="46" t="inlineStr">
        <is>
          <t>EO Engineer</t>
        </is>
      </c>
      <c r="E17" s="47" t="n">
        <v>120</v>
      </c>
      <c r="F17" s="48">
        <f>'Estimate Settings'!$C$5</f>
        <v/>
      </c>
      <c r="G17" s="49">
        <f>$E17*$F17</f>
        <v/>
      </c>
      <c r="H17" s="50" t="n">
        <v>130</v>
      </c>
      <c r="I17" s="49">
        <f>TEXT($G17*$H17,"$#,##0")</f>
        <v/>
      </c>
      <c r="J17" s="46" t="inlineStr">
        <is>
          <t>Platform Deployment</t>
        </is>
      </c>
      <c r="K17" s="46" t="inlineStr">
        <is>
          <t>Linux and Windows server automation with idempotency and error handling</t>
        </is>
      </c>
    </row>
    <row r="18" ht="26" customHeight="1">
      <c r="A18" s="51" t="inlineStr">
        <is>
          <t>Development</t>
        </is>
      </c>
      <c r="B18" s="52" t="inlineStr">
        <is>
          <t>Network Playbooks</t>
        </is>
      </c>
      <c r="C18" s="52" t="inlineStr">
        <is>
          <t>Develop 30 network device playbooks (configuration backup compliance)</t>
        </is>
      </c>
      <c r="D18" s="52" t="inlineStr">
        <is>
          <t>EO Engineer</t>
        </is>
      </c>
      <c r="E18" s="53" t="n">
        <v>80</v>
      </c>
      <c r="F18" s="54">
        <f>'Estimate Settings'!$C$5</f>
        <v/>
      </c>
      <c r="G18" s="55">
        <f>$E18*$F18</f>
        <v/>
      </c>
      <c r="H18" s="56" t="n">
        <v>135</v>
      </c>
      <c r="I18" s="55">
        <f>TEXT($G18*$H18,"$#,##0")</f>
        <v/>
      </c>
      <c r="J18" s="52" t="inlineStr">
        <is>
          <t>Platform Deployment</t>
        </is>
      </c>
      <c r="K18" s="52" t="inlineStr">
        <is>
          <t>Cisco Juniper Arista device automation with rollback capabilities</t>
        </is>
      </c>
    </row>
    <row r="19" ht="26" customHeight="1">
      <c r="A19" s="45" t="inlineStr">
        <is>
          <t>Development</t>
        </is>
      </c>
      <c r="B19" s="46" t="inlineStr">
        <is>
          <t>Compliance Playbooks</t>
        </is>
      </c>
      <c r="C19" s="46" t="inlineStr">
        <is>
          <t>Develop 20 compliance and cloud automation playbooks</t>
        </is>
      </c>
      <c r="D19" s="46" t="inlineStr">
        <is>
          <t>EO Engineer</t>
        </is>
      </c>
      <c r="E19" s="47" t="n">
        <v>60</v>
      </c>
      <c r="F19" s="48">
        <f>'Estimate Settings'!$C$5</f>
        <v/>
      </c>
      <c r="G19" s="49">
        <f>$E19*$F19</f>
        <v/>
      </c>
      <c r="H19" s="50" t="n">
        <v>130</v>
      </c>
      <c r="I19" s="49">
        <f>TEXT($G19*$H19,"$#,##0")</f>
        <v/>
      </c>
      <c r="J19" s="46" t="inlineStr">
        <is>
          <t>Platform Deployment</t>
        </is>
      </c>
      <c r="K19" s="46" t="inlineStr">
        <is>
          <t>Security hardening vulnerability remediation and audit reporting</t>
        </is>
      </c>
    </row>
    <row r="20" ht="26" customHeight="1">
      <c r="A20" s="51" t="inlineStr">
        <is>
          <t>Development</t>
        </is>
      </c>
      <c r="B20" s="52" t="inlineStr">
        <is>
          <t>ServiceNow Integration</t>
        </is>
      </c>
      <c r="C20" s="52" t="inlineStr">
        <is>
          <t>Configure ServiceNow connector for ticket-driven automation workflows</t>
        </is>
      </c>
      <c r="D20" s="52" t="inlineStr">
        <is>
          <t>EO Engineer</t>
        </is>
      </c>
      <c r="E20" s="53" t="n">
        <v>32</v>
      </c>
      <c r="F20" s="54">
        <f>'Estimate Settings'!$C$5</f>
        <v/>
      </c>
      <c r="G20" s="55">
        <f>$E20*$F20</f>
        <v/>
      </c>
      <c r="H20" s="56" t="n">
        <v>150</v>
      </c>
      <c r="I20" s="55">
        <f>TEXT($G20*$H20,"$#,##0")</f>
        <v/>
      </c>
      <c r="J20" s="52" t="inlineStr">
        <is>
          <t>Integration Design</t>
        </is>
      </c>
      <c r="K20" s="52" t="inlineStr">
        <is>
          <t>Ticket creation job trigger and status update workflows</t>
        </is>
      </c>
    </row>
    <row r="21" ht="26" customHeight="1">
      <c r="A21" s="45" t="inlineStr">
        <is>
          <t>Development</t>
        </is>
      </c>
      <c r="B21" s="46" t="inlineStr">
        <is>
          <t>Event-Driven Automation</t>
        </is>
      </c>
      <c r="C21" s="46" t="inlineStr">
        <is>
          <t>Deploy Event-Driven Ansible for monitoring webhook auto-remediation</t>
        </is>
      </c>
      <c r="D21" s="46" t="inlineStr">
        <is>
          <t>EO Engineer</t>
        </is>
      </c>
      <c r="E21" s="47" t="n">
        <v>32</v>
      </c>
      <c r="F21" s="48">
        <f>'Estimate Settings'!$C$5</f>
        <v/>
      </c>
      <c r="G21" s="49">
        <f>$E21*$F21</f>
        <v/>
      </c>
      <c r="H21" s="50" t="n">
        <v>145</v>
      </c>
      <c r="I21" s="49">
        <f>TEXT($G21*$H21,"$#,##0")</f>
        <v/>
      </c>
      <c r="J21" s="46" t="inlineStr">
        <is>
          <t>Platform Deployment</t>
        </is>
      </c>
      <c r="K21" s="46" t="inlineStr">
        <is>
          <t>Monitoring system integration for automated incident response</t>
        </is>
      </c>
    </row>
    <row r="22" ht="26" customHeight="1">
      <c r="A22" s="51" t="inlineStr">
        <is>
          <t>Development</t>
        </is>
      </c>
      <c r="B22" s="52" t="inlineStr">
        <is>
          <t>Self-Service Portal</t>
        </is>
      </c>
      <c r="C22" s="52" t="inlineStr">
        <is>
          <t>Configure automation catalog for operations team self-service</t>
        </is>
      </c>
      <c r="D22" s="52" t="inlineStr">
        <is>
          <t>EO Engineer</t>
        </is>
      </c>
      <c r="E22" s="53" t="n">
        <v>24</v>
      </c>
      <c r="F22" s="54">
        <f>'Estimate Settings'!$C$5</f>
        <v/>
      </c>
      <c r="G22" s="55">
        <f>$E22*$F22</f>
        <v/>
      </c>
      <c r="H22" s="56" t="n">
        <v>140</v>
      </c>
      <c r="I22" s="55">
        <f>TEXT($G22*$H22,"$#,##0")</f>
        <v/>
      </c>
      <c r="J22" s="52" t="inlineStr">
        <is>
          <t>Platform Deployment</t>
        </is>
      </c>
      <c r="K22" s="52" t="inlineStr">
        <is>
          <t>Job templates surveys and approval workflows</t>
        </is>
      </c>
    </row>
    <row r="23" ht="26" customHeight="1">
      <c r="A23" s="45" t="inlineStr">
        <is>
          <t>Testing</t>
        </is>
      </c>
      <c r="B23" s="46" t="inlineStr">
        <is>
          <t>Unit Testing</t>
        </is>
      </c>
      <c r="C23" s="46" t="inlineStr">
        <is>
          <t>Develop automated tests for playbooks with test inventory</t>
        </is>
      </c>
      <c r="D23" s="46" t="inlineStr">
        <is>
          <t>EO Engineer</t>
        </is>
      </c>
      <c r="E23" s="47" t="n">
        <v>32</v>
      </c>
      <c r="F23" s="48">
        <f>'Estimate Settings'!$C$6</f>
        <v/>
      </c>
      <c r="G23" s="49">
        <f>$E23*$F23</f>
        <v/>
      </c>
      <c r="H23" s="50" t="n">
        <v>120</v>
      </c>
      <c r="I23" s="49">
        <f>TEXT($G23*$H23,"$#,##0")</f>
        <v/>
      </c>
      <c r="J23" s="46" t="inlineStr">
        <is>
          <t>Server Playbooks</t>
        </is>
      </c>
      <c r="K23" s="46" t="inlineStr">
        <is>
          <t>Molecule testing framework and playbook validation</t>
        </is>
      </c>
    </row>
    <row r="24" ht="26" customHeight="1">
      <c r="A24" s="51" t="inlineStr">
        <is>
          <t>Testing</t>
        </is>
      </c>
      <c r="B24" s="52" t="inlineStr">
        <is>
          <t>Integration Testing</t>
        </is>
      </c>
      <c r="C24" s="52" t="inlineStr">
        <is>
          <t>Test ServiceNow integration monitoring webhooks and vault connectivity</t>
        </is>
      </c>
      <c r="D24" s="52" t="inlineStr">
        <is>
          <t>EO Engineer</t>
        </is>
      </c>
      <c r="E24" s="53" t="n">
        <v>40</v>
      </c>
      <c r="F24" s="54">
        <f>'Estimate Settings'!$C$6</f>
        <v/>
      </c>
      <c r="G24" s="55">
        <f>$E24*$F24</f>
        <v/>
      </c>
      <c r="H24" s="56" t="n">
        <v>120</v>
      </c>
      <c r="I24" s="55">
        <f>TEXT($G24*$H24,"$#,##0")</f>
        <v/>
      </c>
      <c r="J24" s="52" t="inlineStr">
        <is>
          <t>ServiceNow Integration</t>
        </is>
      </c>
      <c r="K24" s="52" t="inlineStr">
        <is>
          <t>Customer must provide test credentials and integration endpoints</t>
        </is>
      </c>
    </row>
    <row r="25" ht="26" customHeight="1">
      <c r="A25" s="45" t="inlineStr">
        <is>
          <t>Testing</t>
        </is>
      </c>
      <c r="B25" s="46" t="inlineStr">
        <is>
          <t>Performance Testing</t>
        </is>
      </c>
      <c r="C25" s="46" t="inlineStr">
        <is>
          <t>Test concurrent job execution capacity and platform scaling</t>
        </is>
      </c>
      <c r="D25" s="46" t="inlineStr">
        <is>
          <t>EO Engineer</t>
        </is>
      </c>
      <c r="E25" s="47" t="n">
        <v>24</v>
      </c>
      <c r="F25" s="48">
        <f>'Estimate Settings'!$C$6</f>
        <v/>
      </c>
      <c r="G25" s="49">
        <f>$E25*$F25</f>
        <v/>
      </c>
      <c r="H25" s="50" t="n">
        <v>140</v>
      </c>
      <c r="I25" s="49">
        <f>TEXT($G25*$H25,"$#,##0")</f>
        <v/>
      </c>
      <c r="J25" s="46" t="inlineStr">
        <is>
          <t>Integration Testing</t>
        </is>
      </c>
      <c r="K25" s="46" t="inlineStr">
        <is>
          <t>Load testing with 100 concurrent automation jobs</t>
        </is>
      </c>
    </row>
    <row r="26" ht="26" customHeight="1">
      <c r="A26" s="51" t="inlineStr">
        <is>
          <t>Testing</t>
        </is>
      </c>
      <c r="B26" s="52" t="inlineStr">
        <is>
          <t>Security Testing</t>
        </is>
      </c>
      <c r="C26" s="52" t="inlineStr">
        <is>
          <t>Perform RBAC validation credential handling and audit logging verification</t>
        </is>
      </c>
      <c r="D26" s="52" t="inlineStr">
        <is>
          <t>EO Engineer</t>
        </is>
      </c>
      <c r="E26" s="53" t="n">
        <v>16</v>
      </c>
      <c r="F26" s="54">
        <f>'Estimate Settings'!$C$6</f>
        <v/>
      </c>
      <c r="G26" s="55">
        <f>$E26*$F26</f>
        <v/>
      </c>
      <c r="H26" s="56" t="n">
        <v>175</v>
      </c>
      <c r="I26" s="55">
        <f>TEXT($G26*$H26,"$#,##0")</f>
        <v/>
      </c>
      <c r="J26" s="52" t="inlineStr">
        <is>
          <t>Performance Testing</t>
        </is>
      </c>
      <c r="K26" s="52" t="inlineStr">
        <is>
          <t>Includes vulnerability scanning and compliance validation</t>
        </is>
      </c>
    </row>
    <row r="27" ht="26" customHeight="1">
      <c r="A27" s="45" t="inlineStr">
        <is>
          <t>Testing</t>
        </is>
      </c>
      <c r="B27" s="46" t="inlineStr">
        <is>
          <t>User Acceptance Testing</t>
        </is>
      </c>
      <c r="C27" s="46" t="inlineStr">
        <is>
          <t>Coordinate UAT with operations teams for automation workflows</t>
        </is>
      </c>
      <c r="D27" s="46" t="inlineStr">
        <is>
          <t>EO Engineer</t>
        </is>
      </c>
      <c r="E27" s="47" t="n">
        <v>32</v>
      </c>
      <c r="F27" s="48">
        <f>'Estimate Settings'!$C$6</f>
        <v/>
      </c>
      <c r="G27" s="49">
        <f>$E27*$F27</f>
        <v/>
      </c>
      <c r="H27" s="50" t="n">
        <v>150</v>
      </c>
      <c r="I27" s="49">
        <f>TEXT($G27*$H27,"$#,##0")</f>
        <v/>
      </c>
      <c r="J27" s="46" t="inlineStr">
        <is>
          <t>Security Testing</t>
        </is>
      </c>
      <c r="K27" s="46" t="inlineStr">
        <is>
          <t>Operations team validation of playbooks and workflows</t>
        </is>
      </c>
    </row>
    <row r="28" ht="26" customHeight="1">
      <c r="A28" s="51" t="inlineStr">
        <is>
          <t>Deployment</t>
        </is>
      </c>
      <c r="B28" s="52" t="inlineStr">
        <is>
          <t>Production Deployment</t>
        </is>
      </c>
      <c r="C28" s="52" t="inlineStr">
        <is>
          <t>Deploy Ansible platform to production with validation and monitoring</t>
        </is>
      </c>
      <c r="D28" s="52" t="inlineStr">
        <is>
          <t>EO Engineer</t>
        </is>
      </c>
      <c r="E28" s="53" t="n">
        <v>24</v>
      </c>
      <c r="F28" s="54">
        <f>'Estimate Settings'!$C$7</f>
        <v/>
      </c>
      <c r="G28" s="55">
        <f>$E28*$F28</f>
        <v/>
      </c>
      <c r="H28" s="56" t="n">
        <v>160</v>
      </c>
      <c r="I28" s="55">
        <f>TEXT($G28*$H28,"$#,##0")</f>
        <v/>
      </c>
      <c r="J28" s="52" t="inlineStr">
        <is>
          <t>User Acceptance Testing</t>
        </is>
      </c>
      <c r="K28" s="52" t="inlineStr">
        <is>
          <t>Production cluster deployment with smoke testing</t>
        </is>
      </c>
    </row>
    <row r="29" ht="26" customHeight="1">
      <c r="A29" s="45" t="inlineStr">
        <is>
          <t>Deployment</t>
        </is>
      </c>
      <c r="B29" s="46" t="inlineStr">
        <is>
          <t>Go-Live Support</t>
        </is>
      </c>
      <c r="C29" s="46" t="inlineStr">
        <is>
          <t>Provide support during initial production automation rollout</t>
        </is>
      </c>
      <c r="D29" s="46" t="inlineStr">
        <is>
          <t>EO Engineer</t>
        </is>
      </c>
      <c r="E29" s="47" t="n">
        <v>80</v>
      </c>
      <c r="F29" s="48">
        <f>'Estimate Settings'!$C$7</f>
        <v/>
      </c>
      <c r="G29" s="49">
        <f>$E29*$F29</f>
        <v/>
      </c>
      <c r="H29" s="50" t="n">
        <v>110</v>
      </c>
      <c r="I29" s="49">
        <f>TEXT($G29*$H29,"$#,##0")</f>
        <v/>
      </c>
      <c r="J29" s="46" t="inlineStr">
        <is>
          <t>Production Deployment</t>
        </is>
      </c>
      <c r="K29" s="46" t="inlineStr">
        <is>
          <t>Daily monitoring rapid issue response during hypercare period</t>
        </is>
      </c>
    </row>
    <row r="30" ht="26" customHeight="1">
      <c r="A30" s="51" t="inlineStr">
        <is>
          <t>Training</t>
        </is>
      </c>
      <c r="B30" s="52" t="inlineStr">
        <is>
          <t>Administrator Training</t>
        </is>
      </c>
      <c r="C30" s="52" t="inlineStr">
        <is>
          <t>Train platform administrators on Ansible controller management</t>
        </is>
      </c>
      <c r="D30" s="52" t="inlineStr">
        <is>
          <t>EO Engineer</t>
        </is>
      </c>
      <c r="E30" s="53" t="n">
        <v>32</v>
      </c>
      <c r="F30" s="54">
        <f>'Estimate Settings'!$C$8</f>
        <v/>
      </c>
      <c r="G30" s="55">
        <f>$E30*$F30</f>
        <v/>
      </c>
      <c r="H30" s="56" t="n">
        <v>130</v>
      </c>
      <c r="I30" s="55">
        <f>TEXT($G30*$H30,"$#,##0")</f>
        <v/>
      </c>
      <c r="J30" s="52" t="inlineStr">
        <is>
          <t>Production Deployment</t>
        </is>
      </c>
      <c r="K30" s="52" t="inlineStr">
        <is>
          <t>Platform management RBAC user administration monitoring troubleshooting</t>
        </is>
      </c>
    </row>
    <row r="31" ht="26" customHeight="1">
      <c r="A31" s="45" t="inlineStr">
        <is>
          <t>Training</t>
        </is>
      </c>
      <c r="B31" s="46" t="inlineStr">
        <is>
          <t>Developer Training</t>
        </is>
      </c>
      <c r="C31" s="46" t="inlineStr">
        <is>
          <t>Train automation developers on playbook development best practices</t>
        </is>
      </c>
      <c r="D31" s="46" t="inlineStr">
        <is>
          <t>EO Engineer</t>
        </is>
      </c>
      <c r="E31" s="47" t="n">
        <v>32</v>
      </c>
      <c r="F31" s="48">
        <f>'Estimate Settings'!$C$8</f>
        <v/>
      </c>
      <c r="G31" s="49">
        <f>$E31*$F31</f>
        <v/>
      </c>
      <c r="H31" s="50" t="n">
        <v>130</v>
      </c>
      <c r="I31" s="49">
        <f>TEXT($G31*$H31,"$#,##0")</f>
        <v/>
      </c>
      <c r="J31" s="46" t="inlineStr">
        <is>
          <t>Administrator Training</t>
        </is>
      </c>
      <c r="K31" s="46" t="inlineStr">
        <is>
          <t>Playbook authoring testing Git workflows and coding standards</t>
        </is>
      </c>
    </row>
    <row r="32" ht="26" customHeight="1">
      <c r="A32" s="51" t="inlineStr">
        <is>
          <t>Training</t>
        </is>
      </c>
      <c r="B32" s="52" t="inlineStr">
        <is>
          <t>Documentation</t>
        </is>
      </c>
      <c r="C32" s="52" t="inlineStr">
        <is>
          <t>Create playbook catalog runbooks and operational documentation</t>
        </is>
      </c>
      <c r="D32" s="52" t="inlineStr">
        <is>
          <t>EO Engineer</t>
        </is>
      </c>
      <c r="E32" s="53" t="n">
        <v>24</v>
      </c>
      <c r="F32" s="54">
        <f>'Estimate Settings'!$C$8</f>
        <v/>
      </c>
      <c r="G32" s="55">
        <f>$E32*$F32</f>
        <v/>
      </c>
      <c r="H32" s="56" t="n">
        <v>110</v>
      </c>
      <c r="I32" s="55">
        <f>TEXT($G32*$H32,"$#,##0")</f>
        <v/>
      </c>
      <c r="J32" s="52" t="inlineStr">
        <is>
          <t>Developer Training</t>
        </is>
      </c>
      <c r="K32" s="52" t="inlineStr">
        <is>
          <t>Deliverable: Operations runbooks playbook usage guides and best practices</t>
        </is>
      </c>
    </row>
    <row r="33" ht="26" customHeight="1">
      <c r="A33" s="45" t="inlineStr">
        <is>
          <t>Closeout</t>
        </is>
      </c>
      <c r="B33" s="46" t="inlineStr">
        <is>
          <t>Knowledge Transfer</t>
        </is>
      </c>
      <c r="C33" s="46" t="inlineStr">
        <is>
          <t>Transfer platform ownership to automation and operations teams</t>
        </is>
      </c>
      <c r="D33" s="46" t="inlineStr">
        <is>
          <t>EO Engineer</t>
        </is>
      </c>
      <c r="E33" s="47" t="n">
        <v>16</v>
      </c>
      <c r="F33" s="48">
        <f>'Estimate Settings'!$C$9</f>
        <v/>
      </c>
      <c r="G33" s="49">
        <f>$E33*$F33</f>
        <v/>
      </c>
      <c r="H33" s="50" t="n">
        <v>140</v>
      </c>
      <c r="I33" s="49">
        <f>TEXT($G33*$H33,"$#,##0")</f>
        <v/>
      </c>
      <c r="J33" s="46" t="inlineStr">
        <is>
          <t>Documentation</t>
        </is>
      </c>
      <c r="K33" s="46" t="inlineStr">
        <is>
          <t>Comprehensive handover including architecture procedures and escalation</t>
        </is>
      </c>
    </row>
    <row r="34" ht="26" customHeight="1">
      <c r="A34" s="51" t="inlineStr">
        <is>
          <t>Closeout</t>
        </is>
      </c>
      <c r="B34" s="52" t="inlineStr">
        <is>
          <t>Performance Baseline</t>
        </is>
      </c>
      <c r="C34" s="52" t="inlineStr">
        <is>
          <t>Establish automation metrics monitoring baselines and KPIs</t>
        </is>
      </c>
      <c r="D34" s="52" t="inlineStr">
        <is>
          <t>EO Engineer</t>
        </is>
      </c>
      <c r="E34" s="53" t="n">
        <v>8</v>
      </c>
      <c r="F34" s="54">
        <f>'Estimate Settings'!$C$9</f>
        <v/>
      </c>
      <c r="G34" s="55">
        <f>$E34*$F34</f>
        <v/>
      </c>
      <c r="H34" s="56" t="n">
        <v>130</v>
      </c>
      <c r="I34" s="55">
        <f>TEXT($G34*$H34,"$#,##0")</f>
        <v/>
      </c>
      <c r="J34" s="52" t="inlineStr">
        <is>
          <t>Knowledge Transfer</t>
        </is>
      </c>
      <c r="K34" s="52" t="inlineStr">
        <is>
          <t>Establishes SLAs automation success rate and operational dashboards</t>
        </is>
      </c>
    </row>
    <row r="35" ht="26" customHeight="1">
      <c r="A35" s="45" t="inlineStr">
        <is>
          <t>Management</t>
        </is>
      </c>
      <c r="B35" s="46" t="inlineStr">
        <is>
          <t>Technical Leadership</t>
        </is>
      </c>
      <c r="C35" s="46" t="inlineStr">
        <is>
          <t>Quarterback technical oversight and architecture review</t>
        </is>
      </c>
      <c r="D35" s="46" t="inlineStr">
        <is>
          <t>EO Quarterback</t>
        </is>
      </c>
      <c r="E35" s="49">
        <f>ROUND(SUM($G$3:$G$32)*0.10,0)</f>
        <v/>
      </c>
      <c r="F35" s="48">
        <f>'Estimate Settings'!$C$11</f>
        <v/>
      </c>
      <c r="G35" s="49">
        <f>$E35*$F35</f>
        <v/>
      </c>
      <c r="H35" s="50" t="n">
        <v>200</v>
      </c>
      <c r="I35" s="49">
        <f>TEXT($G35*$H35,"$#,##0")</f>
        <v/>
      </c>
      <c r="J35" s="46" t="inlineStr"/>
      <c r="K35" s="46" t="inlineStr">
        <is>
          <t>Ansible architecture review and technical escalation support</t>
        </is>
      </c>
    </row>
    <row r="36" ht="26" customHeight="1">
      <c r="A36" s="51" t="inlineStr">
        <is>
          <t>Management</t>
        </is>
      </c>
      <c r="B36" s="52" t="inlineStr">
        <is>
          <t>Project Management</t>
        </is>
      </c>
      <c r="C36" s="52" t="inlineStr">
        <is>
          <t>Project coordination planning and management activities</t>
        </is>
      </c>
      <c r="D36" s="52" t="inlineStr">
        <is>
          <t>EO Project Manager</t>
        </is>
      </c>
      <c r="E36" s="55">
        <f>ROUND(SUM($G$3:$G$32)*0.10,0)</f>
        <v/>
      </c>
      <c r="F36" s="54">
        <f>'Estimate Settings'!$C$10</f>
        <v/>
      </c>
      <c r="G36" s="55">
        <f>$E36*$F36</f>
        <v/>
      </c>
      <c r="H36" s="56" t="n">
        <v>150</v>
      </c>
      <c r="I36" s="55">
        <f>TEXT($G36*$H36,"$#,##0")</f>
        <v/>
      </c>
      <c r="J36" s="52" t="inlineStr"/>
      <c r="K36" s="52" t="inlineStr">
        <is>
          <t>Includes weekly status risk management and stakeholder coordination</t>
        </is>
      </c>
    </row>
    <row r="37" ht="26" customHeight="1">
      <c r="A37" s="57" t="inlineStr"/>
      <c r="B37" s="57" t="inlineStr"/>
      <c r="C37" s="57" t="inlineStr"/>
      <c r="D37" s="57" t="inlineStr"/>
      <c r="E37" s="57" t="inlineStr"/>
      <c r="F37" s="58" t="inlineStr">
        <is>
          <t>TOTAL HOURS</t>
        </is>
      </c>
      <c r="G37" s="58">
        <f>SUM($G$3:$G$34)</f>
        <v/>
      </c>
      <c r="H37" s="58" t="inlineStr">
        <is>
          <t>TOTAL COST</t>
        </is>
      </c>
      <c r="I37" s="58">
        <f>TEXT(SUMPRODUCT($G$3:$G$34,$H$3:$H$34),"$#,##0")</f>
        <v/>
      </c>
      <c r="J37" s="57" t="inlineStr"/>
      <c r="K37" s="57" t="inlineStr">
        <is>
          <t>EO Sales Engineer: Update phase multipliers in Estimate Settings based on server count and playbook complexity</t>
        </is>
      </c>
    </row>
  </sheetData>
  <autoFilter ref="A2:K37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Red Hat Partner Services Credit</t>
        </is>
      </c>
      <c r="B3" s="59" t="n">
        <v>-3000</v>
      </c>
      <c r="C3" s="38" t="inlineStr">
        <is>
          <t>Red Hat partner credit for Ansible platform implementation and playbook development</t>
        </is>
      </c>
    </row>
    <row r="4" ht="26" customHeight="1">
      <c r="A4" s="40" t="inlineStr">
        <is>
          <t>AWS/Azure Cloud Credit</t>
        </is>
      </c>
      <c r="B4" s="60" t="n">
        <v>-2000</v>
      </c>
      <c r="C4" s="41" t="inlineStr">
        <is>
          <t>Cloud provider promotional credit for new automation platform workloads</t>
        </is>
      </c>
    </row>
    <row r="5" ht="26" customHeight="1">
      <c r="A5" s="61" t="inlineStr">
        <is>
          <t>TOTAL</t>
        </is>
      </c>
      <c r="B5" s="62">
        <f>SUMPRODUCT($G$3:$G$34,$H$3:$H$34)-5000</f>
        <v/>
      </c>
      <c r="C5" s="61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2025-11-22T19:14:04Z</dcterms:modified>
  <cp:lastModifiedBy>Kishan Siram</cp:lastModifiedBy>
</cp:coreProperties>
</file>