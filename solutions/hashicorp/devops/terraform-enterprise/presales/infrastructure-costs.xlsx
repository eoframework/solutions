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Guidelines'!$A$2:$F$14</definedName>
    <definedName name="_xlnm._FilterDatabase" localSheetId="2" hidden="1">'Infrastructure Costs'!$A$2:$K$25</definedName>
    <definedName name="_xlnm._FilterDatabase" localSheetId="3" hidden="1">'Credits'!$A$2:$D$6</definedName>
    <definedName name="_xlnm._FilterDatabase" localSheetId="4" hidden="1">'3-Year Summary'!$A$2:$G$8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Terraform Enterprise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Terraform Enterprise</t>
        </is>
      </c>
      <c r="B3" s="38" t="inlineStr">
        <is>
          <t>User Licenses</t>
        </is>
      </c>
      <c r="C3" s="39" t="inlineStr">
        <is>
          <t>25 users</t>
        </is>
      </c>
      <c r="D3" s="39" t="inlineStr">
        <is>
          <t>100 users</t>
        </is>
      </c>
      <c r="E3" s="39" t="inlineStr">
        <is>
          <t>500+ users</t>
        </is>
      </c>
      <c r="F3" s="38" t="inlineStr">
        <is>
          <t>Named user seats for platform access</t>
        </is>
      </c>
    </row>
    <row r="4" ht="26" customHeight="1">
      <c r="A4" s="40" t="inlineStr">
        <is>
          <t>Terraform Enterprise</t>
        </is>
      </c>
      <c r="B4" s="41" t="inlineStr">
        <is>
          <t>Workspaces</t>
        </is>
      </c>
      <c r="C4" s="42" t="inlineStr">
        <is>
          <t>50 workspaces</t>
        </is>
      </c>
      <c r="D4" s="42" t="inlineStr">
        <is>
          <t>250 workspaces</t>
        </is>
      </c>
      <c r="E4" s="42" t="inlineStr">
        <is>
          <t>1000+ workspaces</t>
        </is>
      </c>
      <c r="F4" s="41" t="inlineStr">
        <is>
          <t>Isolated Terraform environments</t>
        </is>
      </c>
    </row>
    <row r="5" ht="26" customHeight="1">
      <c r="A5" s="37" t="inlineStr">
        <is>
          <t>Terraform Enterprise</t>
        </is>
      </c>
      <c r="B5" s="38" t="inlineStr">
        <is>
          <t>Concurrent Runs</t>
        </is>
      </c>
      <c r="C5" s="39" t="inlineStr">
        <is>
          <t>10 concurrent</t>
        </is>
      </c>
      <c r="D5" s="39" t="inlineStr">
        <is>
          <t>25 concurrent</t>
        </is>
      </c>
      <c r="E5" s="39" t="inlineStr">
        <is>
          <t>100+ concurrent</t>
        </is>
      </c>
      <c r="F5" s="38" t="inlineStr">
        <is>
          <t>Parallel Terraform plan/apply operations</t>
        </is>
      </c>
    </row>
    <row r="6" ht="26" customHeight="1">
      <c r="A6" s="40" t="inlineStr">
        <is>
          <t>Terraform Enterprise</t>
        </is>
      </c>
      <c r="B6" s="41" t="inlineStr">
        <is>
          <t>Monthly Runs</t>
        </is>
      </c>
      <c r="C6" s="42" t="inlineStr">
        <is>
          <t>5K runs/month</t>
        </is>
      </c>
      <c r="D6" s="42" t="inlineStr">
        <is>
          <t>25K runs/month</t>
        </is>
      </c>
      <c r="E6" s="42" t="inlineStr">
        <is>
          <t>100K+ runs/month</t>
        </is>
      </c>
      <c r="F6" s="41" t="inlineStr">
        <is>
          <t>Total Terraform operations per month</t>
        </is>
      </c>
    </row>
    <row r="7" ht="26" customHeight="1">
      <c r="A7" s="37" t="inlineStr">
        <is>
          <t>Infrastructure Hosting</t>
        </is>
      </c>
      <c r="B7" s="38" t="inlineStr">
        <is>
          <t>Deployment Model</t>
        </is>
      </c>
      <c r="C7" s="39" t="inlineStr">
        <is>
          <t>Single region</t>
        </is>
      </c>
      <c r="D7" s="39" t="inlineStr">
        <is>
          <t>Multi-region active-passive</t>
        </is>
      </c>
      <c r="E7" s="39" t="inlineStr">
        <is>
          <t>Multi-region active-active</t>
        </is>
      </c>
      <c r="F7" s="38" t="inlineStr">
        <is>
          <t>High availability architecture</t>
        </is>
      </c>
    </row>
    <row r="8" ht="26" customHeight="1">
      <c r="A8" s="40" t="inlineStr">
        <is>
          <t>Infrastructure Hosting</t>
        </is>
      </c>
      <c r="B8" s="41" t="inlineStr">
        <is>
          <t>Kubernetes Cluster</t>
        </is>
      </c>
      <c r="C8" s="42" t="inlineStr">
        <is>
          <t>Small (3 nodes)</t>
        </is>
      </c>
      <c r="D8" s="42" t="inlineStr">
        <is>
          <t>Medium (6 nodes)</t>
        </is>
      </c>
      <c r="E8" s="42" t="inlineStr">
        <is>
          <t>Large (12+ nodes)</t>
        </is>
      </c>
      <c r="F8" s="41" t="inlineStr">
        <is>
          <t>Platform hosting infrastructure</t>
        </is>
      </c>
    </row>
    <row r="9" ht="26" customHeight="1">
      <c r="A9" s="37" t="inlineStr">
        <is>
          <t>Infrastructure Hosting</t>
        </is>
      </c>
      <c r="B9" s="38" t="inlineStr">
        <is>
          <t>Database Tier</t>
        </is>
      </c>
      <c r="C9" s="39" t="inlineStr">
        <is>
          <t>Standard PostgreSQL</t>
        </is>
      </c>
      <c r="D9" s="39" t="inlineStr">
        <is>
          <t>High performance</t>
        </is>
      </c>
      <c r="E9" s="39" t="inlineStr">
        <is>
          <t>Enterprise HA cluster</t>
        </is>
      </c>
      <c r="F9" s="38" t="inlineStr">
        <is>
          <t>State database performance</t>
        </is>
      </c>
    </row>
    <row r="10" ht="26" customHeight="1">
      <c r="A10" s="40" t="inlineStr">
        <is>
          <t>Infrastructure Hosting</t>
        </is>
      </c>
      <c r="B10" s="41" t="inlineStr">
        <is>
          <t>Storage Volume</t>
        </is>
      </c>
      <c r="C10" s="42" t="inlineStr">
        <is>
          <t>1 TB</t>
        </is>
      </c>
      <c r="D10" s="42" t="inlineStr">
        <is>
          <t>5 TB</t>
        </is>
      </c>
      <c r="E10" s="42" t="inlineStr">
        <is>
          <t>25+ TB</t>
        </is>
      </c>
      <c r="F10" s="41" t="inlineStr">
        <is>
          <t>Terraform state and backup storage</t>
        </is>
      </c>
    </row>
    <row r="11" ht="26" customHeight="1">
      <c r="A11" s="37" t="inlineStr">
        <is>
          <t>Support &amp; Services</t>
        </is>
      </c>
      <c r="B11" s="38" t="inlineStr">
        <is>
          <t>Support Level</t>
        </is>
      </c>
      <c r="C11" s="39" t="inlineStr">
        <is>
          <t>Business hours</t>
        </is>
      </c>
      <c r="D11" s="39" t="inlineStr">
        <is>
          <t>Business Critical</t>
        </is>
      </c>
      <c r="E11" s="39" t="inlineStr">
        <is>
          <t>Premium 24x7</t>
        </is>
      </c>
      <c r="F11" s="38" t="inlineStr">
        <is>
          <t>HashiCorp support SLA</t>
        </is>
      </c>
    </row>
    <row r="12" ht="26" customHeight="1">
      <c r="A12" s="40" t="inlineStr">
        <is>
          <t>Software &amp; Tools</t>
        </is>
      </c>
      <c r="B12" s="41" t="inlineStr">
        <is>
          <t>VCS Integration</t>
        </is>
      </c>
      <c r="C12" s="42" t="inlineStr">
        <is>
          <t>GitHub Team</t>
        </is>
      </c>
      <c r="D12" s="42" t="inlineStr">
        <is>
          <t>GitHub Enterprise</t>
        </is>
      </c>
      <c r="E12" s="42" t="inlineStr">
        <is>
          <t>Multi-VCS enterprise</t>
        </is>
      </c>
      <c r="F12" s="41" t="inlineStr">
        <is>
          <t>Version control integration tier</t>
        </is>
      </c>
    </row>
    <row r="13" ht="26" customHeight="1">
      <c r="A13" s="37" t="inlineStr">
        <is>
          <t>Software &amp; Tools</t>
        </is>
      </c>
      <c r="B13" s="38" t="inlineStr">
        <is>
          <t>Monitoring Tier</t>
        </is>
      </c>
      <c r="C13" s="39" t="inlineStr">
        <is>
          <t>Basic monitoring</t>
        </is>
      </c>
      <c r="D13" s="39" t="inlineStr">
        <is>
          <t>Standard APM</t>
        </is>
      </c>
      <c r="E13" s="39" t="inlineStr">
        <is>
          <t>Enterprise observability</t>
        </is>
      </c>
      <c r="F13" s="38" t="inlineStr">
        <is>
          <t>Platform monitoring complexity</t>
        </is>
      </c>
    </row>
    <row r="14" ht="26" customHeight="1">
      <c r="A14" s="40" t="inlineStr">
        <is>
          <t>Software &amp; Tools</t>
        </is>
      </c>
      <c r="B14" s="41" t="inlineStr">
        <is>
          <t>Secrets Management</t>
        </is>
      </c>
      <c r="C14" s="42" t="inlineStr">
        <is>
          <t>Vault Starter</t>
        </is>
      </c>
      <c r="D14" s="42" t="inlineStr">
        <is>
          <t>Vault Standard</t>
        </is>
      </c>
      <c r="E14" s="42" t="inlineStr">
        <is>
          <t>Vault Enterprise</t>
        </is>
      </c>
      <c r="F14" s="41" t="inlineStr">
        <is>
          <t>Secrets and credentials management</t>
        </is>
      </c>
    </row>
  </sheetData>
  <autoFilter ref="A2:F1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HashiCorp Licenses</t>
        </is>
      </c>
      <c r="B3" s="44" t="inlineStr">
        <is>
          <t>Terraform Enterprise</t>
        </is>
      </c>
      <c r="C3" s="44" t="inlineStr">
        <is>
          <t>Enterprise edition with advanced features (100 users)</t>
        </is>
      </c>
      <c r="D3" s="45" t="n">
        <v>100</v>
      </c>
      <c r="E3" s="44" t="inlineStr">
        <is>
          <t>Users/Year</t>
        </is>
      </c>
      <c r="F3" s="46" t="n">
        <v>70</v>
      </c>
      <c r="G3" s="46">
        <f>D3*F3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Infrastructure as code platform</t>
        </is>
      </c>
    </row>
    <row r="4" ht="26" customHeight="1">
      <c r="A4" s="47" t="inlineStr">
        <is>
          <t>HashiCorp Licenses</t>
        </is>
      </c>
      <c r="B4" s="48" t="inlineStr">
        <is>
          <t>Sentinel Enterprise</t>
        </is>
      </c>
      <c r="C4" s="48" t="inlineStr">
        <is>
          <t>Policy as code enforcement</t>
        </is>
      </c>
      <c r="D4" s="49" t="n">
        <v>1</v>
      </c>
      <c r="E4" s="48" t="inlineStr">
        <is>
          <t>License/Year</t>
        </is>
      </c>
      <c r="F4" s="50" t="n">
        <v>12000</v>
      </c>
      <c r="G4" s="50">
        <f>D4*F4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Governance and compliance policies</t>
        </is>
      </c>
    </row>
    <row r="5" ht="26" customHeight="1">
      <c r="A5" s="43" t="inlineStr">
        <is>
          <t>HashiCorp Licenses</t>
        </is>
      </c>
      <c r="B5" s="44" t="inlineStr">
        <is>
          <t>HashiCorp Vault Standard</t>
        </is>
      </c>
      <c r="C5" s="44" t="inlineStr">
        <is>
          <t>Standard tier for secrets management</t>
        </is>
      </c>
      <c r="D5" s="45" t="n">
        <v>5</v>
      </c>
      <c r="E5" s="44" t="inlineStr">
        <is>
          <t>Clusters/Year</t>
        </is>
      </c>
      <c r="F5" s="46" t="n">
        <v>3500</v>
      </c>
      <c r="G5" s="46">
        <f>D5*F5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Terraform credential management</t>
        </is>
      </c>
    </row>
    <row r="6" ht="26" customHeight="1">
      <c r="A6" s="47" t="inlineStr">
        <is>
          <t>Cloud Infrastructure</t>
        </is>
      </c>
      <c r="B6" s="48" t="inlineStr">
        <is>
          <t>AWS EKS Cluster</t>
        </is>
      </c>
      <c r="C6" s="48" t="inlineStr">
        <is>
          <t>Managed Kubernetes for Terraform Enterprise hosting</t>
        </is>
      </c>
      <c r="D6" s="49" t="n">
        <v>2</v>
      </c>
      <c r="E6" s="48" t="inlineStr">
        <is>
          <t>Clusters/Month</t>
        </is>
      </c>
      <c r="F6" s="50" t="n">
        <v>146</v>
      </c>
      <c r="G6" s="50">
        <f>D6*F6*12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Platform infrastructure - AWS</t>
        </is>
      </c>
    </row>
    <row r="7" ht="26" customHeight="1">
      <c r="A7" s="43" t="inlineStr">
        <is>
          <t>Cloud Infrastructure</t>
        </is>
      </c>
      <c r="B7" s="44" t="inlineStr">
        <is>
          <t>AWS EC2 Instances</t>
        </is>
      </c>
      <c r="C7" s="44" t="inlineStr">
        <is>
          <t>m5.2xlarge worker nodes for Terraform runs (6 nodes)</t>
        </is>
      </c>
      <c r="D7" s="45" t="n">
        <v>6</v>
      </c>
      <c r="E7" s="44" t="inlineStr">
        <is>
          <t>Instances/Month</t>
        </is>
      </c>
      <c r="F7" s="46" t="n">
        <v>277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Compute capacity for concurrent runs</t>
        </is>
      </c>
    </row>
    <row r="8" ht="26" customHeight="1">
      <c r="A8" s="47" t="inlineStr">
        <is>
          <t>Cloud Infrastructure</t>
        </is>
      </c>
      <c r="B8" s="48" t="inlineStr">
        <is>
          <t>AWS RDS PostgreSQL</t>
        </is>
      </c>
      <c r="C8" s="48" t="inlineStr">
        <is>
          <t>db.r5.xlarge for Terraform state database</t>
        </is>
      </c>
      <c r="D8" s="49" t="n">
        <v>1</v>
      </c>
      <c r="E8" s="48" t="inlineStr">
        <is>
          <t>Instance/Month</t>
        </is>
      </c>
      <c r="F8" s="50" t="n">
        <v>615</v>
      </c>
      <c r="G8" s="50">
        <f>D8*F8*12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High performance state database</t>
        </is>
      </c>
    </row>
    <row r="9" ht="26" customHeight="1">
      <c r="A9" s="43" t="inlineStr">
        <is>
          <t>Cloud Infrastructure</t>
        </is>
      </c>
      <c r="B9" s="44" t="inlineStr">
        <is>
          <t>AWS S3 Storage</t>
        </is>
      </c>
      <c r="C9" s="44" t="inlineStr">
        <is>
          <t>Standard storage for state files and plans</t>
        </is>
      </c>
      <c r="D9" s="45" t="n">
        <v>5000</v>
      </c>
      <c r="E9" s="44" t="inlineStr">
        <is>
          <t>GB/Month</t>
        </is>
      </c>
      <c r="F9" s="46" t="n">
        <v>0.023</v>
      </c>
      <c r="G9" s="46">
        <f>D9*F9*12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State file and artifact storage</t>
        </is>
      </c>
    </row>
    <row r="10" ht="26" customHeight="1">
      <c r="A10" s="47" t="inlineStr">
        <is>
          <t>Cloud Infrastructure</t>
        </is>
      </c>
      <c r="B10" s="48" t="inlineStr">
        <is>
          <t>AWS EBS Storage</t>
        </is>
      </c>
      <c r="C10" s="48" t="inlineStr">
        <is>
          <t>gp3 volumes for persistent storage (5TB total)</t>
        </is>
      </c>
      <c r="D10" s="49" t="n">
        <v>5000</v>
      </c>
      <c r="E10" s="48" t="inlineStr">
        <is>
          <t>GB/Month</t>
        </is>
      </c>
      <c r="F10" s="50" t="n">
        <v>0.08</v>
      </c>
      <c r="G10" s="50">
        <f>D10*F10*12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Persistent workspace storage</t>
        </is>
      </c>
    </row>
    <row r="11" ht="26" customHeight="1">
      <c r="A11" s="43" t="inlineStr">
        <is>
          <t>Cloud Infrastructure</t>
        </is>
      </c>
      <c r="B11" s="44" t="inlineStr">
        <is>
          <t>AWS Application Load Balancer</t>
        </is>
      </c>
      <c r="C11" s="44" t="inlineStr">
        <is>
          <t>ALB for Terraform Enterprise web UI and API</t>
        </is>
      </c>
      <c r="D11" s="45" t="n">
        <v>2</v>
      </c>
      <c r="E11" s="44" t="inlineStr">
        <is>
          <t>Balancers/Month</t>
        </is>
      </c>
      <c r="F11" s="46" t="n">
        <v>22.5</v>
      </c>
      <c r="G11" s="46">
        <f>D11*F11*12</f>
        <v/>
      </c>
      <c r="H11" s="46">
        <f>G11</f>
        <v/>
      </c>
      <c r="I11" s="46">
        <f>G11</f>
        <v/>
      </c>
      <c r="J11" s="46">
        <f>G11+H11+I11</f>
        <v/>
      </c>
      <c r="K11" s="44" t="inlineStr">
        <is>
          <t>Load balancing and SSL termination</t>
        </is>
      </c>
    </row>
    <row r="12" ht="26" customHeight="1">
      <c r="A12" s="47" t="inlineStr">
        <is>
          <t>Cloud Infrastructure</t>
        </is>
      </c>
      <c r="B12" s="48" t="inlineStr">
        <is>
          <t>AWS NAT Gateway</t>
        </is>
      </c>
      <c r="C12" s="48" t="inlineStr">
        <is>
          <t>NAT Gateway for private subnet connectivity</t>
        </is>
      </c>
      <c r="D12" s="49" t="n">
        <v>2</v>
      </c>
      <c r="E12" s="48" t="inlineStr">
        <is>
          <t>Gateways/Month</t>
        </is>
      </c>
      <c r="F12" s="50" t="n">
        <v>45.6</v>
      </c>
      <c r="G12" s="50">
        <f>D12*F12*12</f>
        <v/>
      </c>
      <c r="H12" s="50">
        <f>G12</f>
        <v/>
      </c>
      <c r="I12" s="50">
        <f>G12</f>
        <v/>
      </c>
      <c r="J12" s="50">
        <f>G12+H12+I12</f>
        <v/>
      </c>
      <c r="K12" s="48" t="inlineStr">
        <is>
          <t>Outbound internet access</t>
        </is>
      </c>
    </row>
    <row r="13" ht="26" customHeight="1">
      <c r="A13" s="43" t="inlineStr">
        <is>
          <t>Cloud Infrastructure</t>
        </is>
      </c>
      <c r="B13" s="44" t="inlineStr">
        <is>
          <t>AWS Data Transfer</t>
        </is>
      </c>
      <c r="C13" s="44" t="inlineStr">
        <is>
          <t>Outbound data transfer (2TB/month)</t>
        </is>
      </c>
      <c r="D13" s="45" t="n">
        <v>2000</v>
      </c>
      <c r="E13" s="44" t="inlineStr">
        <is>
          <t>GB/Month</t>
        </is>
      </c>
      <c r="F13" s="46" t="n">
        <v>0.09</v>
      </c>
      <c r="G13" s="46">
        <f>D13*F13*12</f>
        <v/>
      </c>
      <c r="H13" s="46">
        <f>G13</f>
        <v/>
      </c>
      <c r="I13" s="46">
        <f>G13</f>
        <v/>
      </c>
      <c r="J13" s="46">
        <f>G13+H13+I13</f>
        <v/>
      </c>
      <c r="K13" s="44" t="inlineStr">
        <is>
          <t>Egress charges for API and webhooks</t>
        </is>
      </c>
    </row>
    <row r="14" ht="26" customHeight="1">
      <c r="A14" s="47" t="inlineStr">
        <is>
          <t>Cloud Infrastructure</t>
        </is>
      </c>
      <c r="B14" s="48" t="inlineStr">
        <is>
          <t>CloudWatch Logs</t>
        </is>
      </c>
      <c r="C14" s="48" t="inlineStr">
        <is>
          <t>Logs and metrics (100GB logs/month)</t>
        </is>
      </c>
      <c r="D14" s="49" t="n">
        <v>100</v>
      </c>
      <c r="E14" s="48" t="inlineStr">
        <is>
          <t>GB/Month</t>
        </is>
      </c>
      <c r="F14" s="50" t="n">
        <v>0.5</v>
      </c>
      <c r="G14" s="50">
        <f>D14*F14*12</f>
        <v/>
      </c>
      <c r="H14" s="50">
        <f>G14</f>
        <v/>
      </c>
      <c r="I14" s="50">
        <f>G14</f>
        <v/>
      </c>
      <c r="J14" s="50">
        <f>G14+H14+I14</f>
        <v/>
      </c>
      <c r="K14" s="48" t="inlineStr">
        <is>
          <t>Platform monitoring and logging</t>
        </is>
      </c>
    </row>
    <row r="15" ht="26" customHeight="1">
      <c r="A15" s="43" t="inlineStr">
        <is>
          <t>Cloud Infrastructure</t>
        </is>
      </c>
      <c r="B15" s="44" t="inlineStr">
        <is>
          <t>Secrets Manager</t>
        </is>
      </c>
      <c r="C15" s="44" t="inlineStr">
        <is>
          <t>AWS Secrets Manager for credentials (25 secrets)</t>
        </is>
      </c>
      <c r="D15" s="45" t="n">
        <v>25</v>
      </c>
      <c r="E15" s="44" t="inlineStr">
        <is>
          <t>Secrets/Month</t>
        </is>
      </c>
      <c r="F15" s="46" t="n">
        <v>0.4</v>
      </c>
      <c r="G15" s="46">
        <f>D15*F15*12</f>
        <v/>
      </c>
      <c r="H15" s="46">
        <f>G15</f>
        <v/>
      </c>
      <c r="I15" s="46">
        <f>G15</f>
        <v/>
      </c>
      <c r="J15" s="46">
        <f>G15+H15+I15</f>
        <v/>
      </c>
      <c r="K15" s="44" t="inlineStr">
        <is>
          <t>Credential storage and rotation</t>
        </is>
      </c>
    </row>
    <row r="16" ht="26" customHeight="1">
      <c r="A16" s="47" t="inlineStr">
        <is>
          <t>Cloud Infrastructure</t>
        </is>
      </c>
      <c r="B16" s="48" t="inlineStr">
        <is>
          <t>Backup Storage</t>
        </is>
      </c>
      <c r="C16" s="48" t="inlineStr">
        <is>
          <t>Cross-region backup storage for DR (10TB)</t>
        </is>
      </c>
      <c r="D16" s="49" t="n">
        <v>10000</v>
      </c>
      <c r="E16" s="48" t="inlineStr">
        <is>
          <t>GB/Month</t>
        </is>
      </c>
      <c r="F16" s="50" t="n">
        <v>0.023</v>
      </c>
      <c r="G16" s="50">
        <f>D16*F16*12</f>
        <v/>
      </c>
      <c r="H16" s="50">
        <f>G16</f>
        <v/>
      </c>
      <c r="I16" s="50">
        <f>G16</f>
        <v/>
      </c>
      <c r="J16" s="50">
        <f>G16+H16+I16</f>
        <v/>
      </c>
      <c r="K16" s="48" t="inlineStr">
        <is>
          <t>Disaster recovery backups</t>
        </is>
      </c>
    </row>
    <row r="17" ht="26" customHeight="1">
      <c r="A17" s="43" t="inlineStr">
        <is>
          <t>Software Licenses</t>
        </is>
      </c>
      <c r="B17" s="44" t="inlineStr">
        <is>
          <t>GitHub Enterprise</t>
        </is>
      </c>
      <c r="C17" s="44" t="inlineStr">
        <is>
          <t>GitHub Enterprise for infrastructure code repos</t>
        </is>
      </c>
      <c r="D17" s="45" t="n">
        <v>100</v>
      </c>
      <c r="E17" s="44" t="inlineStr">
        <is>
          <t>Users/Year</t>
        </is>
      </c>
      <c r="F17" s="46" t="n">
        <v>252</v>
      </c>
      <c r="G17" s="46">
        <f>D17*F17</f>
        <v/>
      </c>
      <c r="H17" s="46">
        <f>G17</f>
        <v/>
      </c>
      <c r="I17" s="46">
        <f>G17</f>
        <v/>
      </c>
      <c r="J17" s="46">
        <f>G17+H17+I17</f>
        <v/>
      </c>
      <c r="K17" s="44" t="inlineStr">
        <is>
          <t>VCS integration and collaboration</t>
        </is>
      </c>
    </row>
    <row r="18" ht="26" customHeight="1">
      <c r="A18" s="47" t="inlineStr">
        <is>
          <t>Software Licenses</t>
        </is>
      </c>
      <c r="B18" s="48" t="inlineStr">
        <is>
          <t>Datadog Monitoring</t>
        </is>
      </c>
      <c r="C18" s="48" t="inlineStr">
        <is>
          <t>Pro monitoring for platform infrastructure (15 hosts)</t>
        </is>
      </c>
      <c r="D18" s="49" t="n">
        <v>15</v>
      </c>
      <c r="E18" s="48" t="inlineStr">
        <is>
          <t>Hosts/Month</t>
        </is>
      </c>
      <c r="F18" s="50" t="n">
        <v>23</v>
      </c>
      <c r="G18" s="50">
        <f>D18*F18*12</f>
        <v/>
      </c>
      <c r="H18" s="50">
        <f>G18</f>
        <v/>
      </c>
      <c r="I18" s="50">
        <f>G18</f>
        <v/>
      </c>
      <c r="J18" s="50">
        <f>G18+H18+I18</f>
        <v/>
      </c>
      <c r="K18" s="48" t="inlineStr">
        <is>
          <t>Infrastructure and application monitoring</t>
        </is>
      </c>
    </row>
    <row r="19" ht="26" customHeight="1">
      <c r="A19" s="43" t="inlineStr">
        <is>
          <t>Software Licenses</t>
        </is>
      </c>
      <c r="B19" s="44" t="inlineStr">
        <is>
          <t>PagerDuty</t>
        </is>
      </c>
      <c r="C19" s="44" t="inlineStr">
        <is>
          <t>Professional incident management (10 users)</t>
        </is>
      </c>
      <c r="D19" s="45" t="n">
        <v>10</v>
      </c>
      <c r="E19" s="44" t="inlineStr">
        <is>
          <t>Users/Month</t>
        </is>
      </c>
      <c r="F19" s="46" t="n">
        <v>41</v>
      </c>
      <c r="G19" s="46">
        <f>D19*F19*12</f>
        <v/>
      </c>
      <c r="H19" s="46">
        <f>G19</f>
        <v/>
      </c>
      <c r="I19" s="46">
        <f>G19</f>
        <v/>
      </c>
      <c r="J19" s="46">
        <f>G19+H19+I19</f>
        <v/>
      </c>
      <c r="K19" s="44" t="inlineStr">
        <is>
          <t>Incident response and alerting</t>
        </is>
      </c>
    </row>
    <row r="20" ht="26" customHeight="1">
      <c r="A20" s="47" t="inlineStr">
        <is>
          <t>Software Licenses</t>
        </is>
      </c>
      <c r="B20" s="48" t="inlineStr">
        <is>
          <t>Snyk Infrastructure</t>
        </is>
      </c>
      <c r="C20" s="48" t="inlineStr">
        <is>
          <t>Infrastructure security scanning for Terraform</t>
        </is>
      </c>
      <c r="D20" s="49" t="n">
        <v>100</v>
      </c>
      <c r="E20" s="48" t="inlineStr">
        <is>
          <t>Users/Month</t>
        </is>
      </c>
      <c r="F20" s="50" t="n">
        <v>45</v>
      </c>
      <c r="G20" s="50">
        <f>D20*F20*12</f>
        <v/>
      </c>
      <c r="H20" s="50">
        <f>G20</f>
        <v/>
      </c>
      <c r="I20" s="50">
        <f>G20</f>
        <v/>
      </c>
      <c r="J20" s="50">
        <f>G20+H20+I20</f>
        <v/>
      </c>
      <c r="K20" s="48" t="inlineStr">
        <is>
          <t>Terraform code security scanning</t>
        </is>
      </c>
    </row>
    <row r="21" ht="26" customHeight="1">
      <c r="A21" s="43" t="inlineStr">
        <is>
          <t>Software Licenses</t>
        </is>
      </c>
      <c r="B21" s="44" t="inlineStr">
        <is>
          <t>Slack Business</t>
        </is>
      </c>
      <c r="C21" s="44" t="inlineStr">
        <is>
          <t>Team collaboration platform (100 users)</t>
        </is>
      </c>
      <c r="D21" s="45" t="n">
        <v>100</v>
      </c>
      <c r="E21" s="44" t="inlineStr">
        <is>
          <t>Users/Month</t>
        </is>
      </c>
      <c r="F21" s="46" t="n">
        <v>8.75</v>
      </c>
      <c r="G21" s="46">
        <f>D21*F21*12</f>
        <v/>
      </c>
      <c r="H21" s="46">
        <f>G21</f>
        <v/>
      </c>
      <c r="I21" s="46">
        <f>G21</f>
        <v/>
      </c>
      <c r="J21" s="46">
        <f>G21+H21+I21</f>
        <v/>
      </c>
      <c r="K21" s="44" t="inlineStr">
        <is>
          <t>Team communication and notifications</t>
        </is>
      </c>
    </row>
    <row r="22" ht="26" customHeight="1">
      <c r="A22" s="47" t="inlineStr">
        <is>
          <t>Support &amp; Maintenance</t>
        </is>
      </c>
      <c r="B22" s="48" t="inlineStr">
        <is>
          <t>HashiCorp Premium Support</t>
        </is>
      </c>
      <c r="C22" s="48" t="inlineStr">
        <is>
          <t>Premium support for Terraform Enterprise</t>
        </is>
      </c>
      <c r="D22" s="49" t="n">
        <v>1</v>
      </c>
      <c r="E22" s="48" t="inlineStr">
        <is>
          <t>Contract/Year</t>
        </is>
      </c>
      <c r="F22" s="50" t="n">
        <v>35000</v>
      </c>
      <c r="G22" s="50">
        <f>D22*F22</f>
        <v/>
      </c>
      <c r="H22" s="50">
        <f>G22</f>
        <v/>
      </c>
      <c r="I22" s="50">
        <f>G22</f>
        <v/>
      </c>
      <c r="J22" s="50">
        <f>G22+H22+I22</f>
        <v/>
      </c>
      <c r="K22" s="48" t="inlineStr">
        <is>
          <t>Enterprise support and SLA</t>
        </is>
      </c>
    </row>
    <row r="23" ht="26" customHeight="1">
      <c r="A23" s="43" t="inlineStr">
        <is>
          <t>Support &amp; Maintenance</t>
        </is>
      </c>
      <c r="B23" s="44" t="inlineStr">
        <is>
          <t>Managed Services</t>
        </is>
      </c>
      <c r="C23" s="44" t="inlineStr">
        <is>
          <t>Platform management and operations (15% of infrastructure)</t>
        </is>
      </c>
      <c r="D23" s="45" t="n">
        <v>1</v>
      </c>
      <c r="E23" s="44" t="inlineStr">
        <is>
          <t>Service/Month</t>
        </is>
      </c>
      <c r="F23" s="46" t="n">
        <v>1950</v>
      </c>
      <c r="G23" s="46">
        <f>D23*F23*12</f>
        <v/>
      </c>
      <c r="H23" s="46">
        <f>G23</f>
        <v/>
      </c>
      <c r="I23" s="46">
        <f>G23</f>
        <v/>
      </c>
      <c r="J23" s="46">
        <f>G23+H23+I23</f>
        <v/>
      </c>
      <c r="K23" s="44" t="inlineStr">
        <is>
          <t>Ongoing platform support and maintenance</t>
        </is>
      </c>
    </row>
    <row r="24" ht="26" customHeight="1">
      <c r="A24" s="47" t="inlineStr">
        <is>
          <t>Support &amp; Maintenance</t>
        </is>
      </c>
      <c r="B24" s="48" t="inlineStr">
        <is>
          <t>Backup and DR Testing</t>
        </is>
      </c>
      <c r="C24" s="48" t="inlineStr">
        <is>
          <t>Quarterly DR testing and validation</t>
        </is>
      </c>
      <c r="D24" s="49" t="n">
        <v>4</v>
      </c>
      <c r="E24" s="48" t="inlineStr">
        <is>
          <t>Tests/Year</t>
        </is>
      </c>
      <c r="F24" s="50" t="n">
        <v>2500</v>
      </c>
      <c r="G24" s="50">
        <f>D24*F24</f>
        <v/>
      </c>
      <c r="H24" s="50">
        <f>G24</f>
        <v/>
      </c>
      <c r="I24" s="50">
        <f>G24</f>
        <v/>
      </c>
      <c r="J24" s="50">
        <f>G24+H24+I24</f>
        <v/>
      </c>
      <c r="K24" s="48" t="inlineStr">
        <is>
          <t>Business continuity validation</t>
        </is>
      </c>
    </row>
    <row r="25" ht="26" customHeight="1">
      <c r="A25" s="51" t="inlineStr">
        <is>
          <t>TOTAL</t>
        </is>
      </c>
      <c r="B25" s="52" t="n"/>
      <c r="C25" s="52" t="n"/>
      <c r="D25" s="52" t="n"/>
      <c r="E25" s="52" t="n"/>
      <c r="F25" s="52" t="n"/>
      <c r="G25" s="53">
        <f>SUM(G3:G24)</f>
        <v/>
      </c>
      <c r="H25" s="53">
        <f>SUM(H3:H24)</f>
        <v/>
      </c>
      <c r="I25" s="53">
        <f>SUM(I3:I24)</f>
        <v/>
      </c>
      <c r="J25" s="53">
        <f>SUM(J3:J24)</f>
        <v/>
      </c>
      <c r="K25" s="52" t="n"/>
    </row>
  </sheetData>
  <autoFilter ref="A2:K25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HashiCorp Licenses</t>
        </is>
      </c>
      <c r="B3" s="44" t="inlineStr">
        <is>
          <t>First Year Discount</t>
        </is>
      </c>
      <c r="C3" s="46" t="n">
        <v>-10000</v>
      </c>
      <c r="D3" s="44" t="inlineStr">
        <is>
          <t>15% discount on Terraform Enterprise first year</t>
        </is>
      </c>
    </row>
    <row r="4" ht="26" customHeight="1">
      <c r="A4" s="47" t="inlineStr">
        <is>
          <t>Cloud Infrastructure</t>
        </is>
      </c>
      <c r="B4" s="48" t="inlineStr">
        <is>
          <t>AWS Reserved Instances</t>
        </is>
      </c>
      <c r="C4" s="50" t="n">
        <v>-12000</v>
      </c>
      <c r="D4" s="48" t="inlineStr">
        <is>
          <t>Reserved Instance savings on EC2 and RDS</t>
        </is>
      </c>
    </row>
    <row r="5" ht="26" customHeight="1">
      <c r="A5" s="43" t="inlineStr">
        <is>
          <t>Support &amp; Maintenance</t>
        </is>
      </c>
      <c r="B5" s="44" t="inlineStr">
        <is>
          <t>Partner Credit</t>
        </is>
      </c>
      <c r="C5" s="46" t="n">
        <v>0</v>
      </c>
      <c r="D5" s="44" t="inlineStr">
        <is>
          <t>No support credits available</t>
        </is>
      </c>
    </row>
    <row r="6" ht="26" customHeight="1">
      <c r="A6" s="47" t="inlineStr">
        <is>
          <t>Software Licenses</t>
        </is>
      </c>
      <c r="B6" s="48" t="inlineStr">
        <is>
          <t>VCS Credit</t>
        </is>
      </c>
      <c r="C6" s="50" t="n">
        <v>0</v>
      </c>
      <c r="D6" s="48" t="inlineStr">
        <is>
          <t>No GitHub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HashiCorp Licenses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Cloud Infrastructure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Software Licenses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Support &amp; Maintenance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43" t="inlineStr">
        <is>
          <t>Professional Services</t>
        </is>
      </c>
      <c r="B7" s="46">
        <f>SUMIF('Infrastructure Costs'!$A:$A,A7,'Infrastructure Costs'!$G:$G)</f>
        <v/>
      </c>
      <c r="C7" s="46">
        <f>SUMIF(Credits!$A:$A,A7,Credits!$C:$C)</f>
        <v/>
      </c>
      <c r="D7" s="46">
        <f>B7+C7</f>
        <v/>
      </c>
      <c r="E7" s="46">
        <f>SUMIF('Infrastructure Costs'!$A:$A,A7,'Infrastructure Costs'!$H:$H)</f>
        <v/>
      </c>
      <c r="F7" s="46">
        <f>SUMIF('Infrastructure Costs'!$A:$A,A7,'Infrastructure Costs'!$I:$I)</f>
        <v/>
      </c>
      <c r="G7" s="46">
        <f>D7+E7+F7</f>
        <v/>
      </c>
    </row>
    <row r="8" ht="26" customHeight="1">
      <c r="A8" s="51" t="inlineStr">
        <is>
          <t>TOTAL</t>
        </is>
      </c>
      <c r="B8" s="53">
        <f>SUM(B3:B7)</f>
        <v/>
      </c>
      <c r="C8" s="53">
        <f>SUM(C3:C7)</f>
        <v/>
      </c>
      <c r="D8" s="53">
        <f>SUM(D3:D7)</f>
        <v/>
      </c>
      <c r="E8" s="53">
        <f>SUM(E3:E7)</f>
        <v/>
      </c>
      <c r="F8" s="53">
        <f>SUM(F3:F7)</f>
        <v/>
      </c>
      <c r="G8" s="53">
        <f>SUM(G3:G7)</f>
        <v/>
      </c>
    </row>
  </sheetData>
  <autoFilter ref="A2:G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2025-11-22T18:43:22Z</dcterms:modified>
  <cp:lastModifiedBy>Kishan Siram</cp:lastModifiedBy>
</cp:coreProperties>
</file>