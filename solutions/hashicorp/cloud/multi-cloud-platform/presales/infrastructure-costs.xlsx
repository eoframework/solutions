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Guidelines'!$A$2:$F$15</definedName>
    <definedName name="_xlnm._FilterDatabase" localSheetId="2" hidden="1">'Infrastructure Costs'!$A$2:$K$30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Multi-Cloud Infrastructure</t>
        </is>
      </c>
      <c r="B3" s="38" t="inlineStr">
        <is>
          <t>Managed Clouds</t>
        </is>
      </c>
      <c r="C3" s="39" t="inlineStr">
        <is>
          <t>2 clouds (AWS + Azure)</t>
        </is>
      </c>
      <c r="D3" s="39" t="inlineStr">
        <is>
          <t>3 clouds (AWS Azure GCP)</t>
        </is>
      </c>
      <c r="E3" s="39" t="inlineStr">
        <is>
          <t>4+ clouds + on-prem</t>
        </is>
      </c>
      <c r="F3" s="38" t="inlineStr">
        <is>
          <t>Cloud provider diversity and complexity</t>
        </is>
      </c>
    </row>
    <row r="4" ht="26" customHeight="1">
      <c r="A4" s="40" t="inlineStr">
        <is>
          <t>Multi-Cloud Infrastructure</t>
        </is>
      </c>
      <c r="B4" s="41" t="inlineStr">
        <is>
          <t>Infrastructure Resources</t>
        </is>
      </c>
      <c r="C4" s="42" t="inlineStr">
        <is>
          <t>500 resources</t>
        </is>
      </c>
      <c r="D4" s="42" t="inlineStr">
        <is>
          <t>2500 resources</t>
        </is>
      </c>
      <c r="E4" s="42" t="inlineStr">
        <is>
          <t>10000+ resources</t>
        </is>
      </c>
      <c r="F4" s="41" t="inlineStr">
        <is>
          <t>Total managed infrastructure across all clouds</t>
        </is>
      </c>
    </row>
    <row r="5" ht="26" customHeight="1">
      <c r="A5" s="37" t="inlineStr">
        <is>
          <t>Multi-Cloud Infrastructure</t>
        </is>
      </c>
      <c r="B5" s="38" t="inlineStr">
        <is>
          <t>Terraform Workspaces</t>
        </is>
      </c>
      <c r="C5" s="39" t="inlineStr">
        <is>
          <t>25 workspaces</t>
        </is>
      </c>
      <c r="D5" s="39" t="inlineStr">
        <is>
          <t>100 workspaces</t>
        </is>
      </c>
      <c r="E5" s="39" t="inlineStr">
        <is>
          <t>500+ workspaces</t>
        </is>
      </c>
      <c r="F5" s="38" t="inlineStr">
        <is>
          <t>Isolated environment and team workspaces</t>
        </is>
      </c>
    </row>
    <row r="6" ht="26" customHeight="1">
      <c r="A6" s="40" t="inlineStr">
        <is>
          <t>Multi-Cloud Infrastructure</t>
        </is>
      </c>
      <c r="B6" s="41" t="inlineStr">
        <is>
          <t>Concurrent Runs</t>
        </is>
      </c>
      <c r="C6" s="42" t="inlineStr">
        <is>
          <t>5 concurrent</t>
        </is>
      </c>
      <c r="D6" s="42" t="inlineStr">
        <is>
          <t>15 concurrent</t>
        </is>
      </c>
      <c r="E6" s="42" t="inlineStr">
        <is>
          <t>50+ concurrent</t>
        </is>
      </c>
      <c r="F6" s="41" t="inlineStr">
        <is>
          <t>Parallel infrastructure operations</t>
        </is>
      </c>
    </row>
    <row r="7" ht="26" customHeight="1">
      <c r="A7" s="37" t="inlineStr">
        <is>
          <t>Multi-Cloud Infrastructure</t>
        </is>
      </c>
      <c r="B7" s="38" t="inlineStr">
        <is>
          <t>Team Size</t>
        </is>
      </c>
      <c r="C7" s="39" t="inlineStr">
        <is>
          <t>10 users</t>
        </is>
      </c>
      <c r="D7" s="39" t="inlineStr">
        <is>
          <t>50 users</t>
        </is>
      </c>
      <c r="E7" s="39" t="inlineStr">
        <is>
          <t>200+ users</t>
        </is>
      </c>
      <c r="F7" s="38" t="inlineStr">
        <is>
          <t>Platform operators and developers</t>
        </is>
      </c>
    </row>
    <row r="8" ht="26" customHeight="1">
      <c r="A8" s="40" t="inlineStr">
        <is>
          <t>HashiCorp Platform</t>
        </is>
      </c>
      <c r="B8" s="41" t="inlineStr">
        <is>
          <t>Terraform Edition</t>
        </is>
      </c>
      <c r="C8" s="42" t="inlineStr">
        <is>
          <t>Team</t>
        </is>
      </c>
      <c r="D8" s="42" t="inlineStr">
        <is>
          <t>Team &amp; Governance</t>
        </is>
      </c>
      <c r="E8" s="42" t="inlineStr">
        <is>
          <t>Business</t>
        </is>
      </c>
      <c r="F8" s="41" t="inlineStr">
        <is>
          <t>Feature set and governance capabilities</t>
        </is>
      </c>
    </row>
    <row r="9" ht="26" customHeight="1">
      <c r="A9" s="37" t="inlineStr">
        <is>
          <t>HashiCorp Platform</t>
        </is>
      </c>
      <c r="B9" s="38" t="inlineStr">
        <is>
          <t>Vault Edition</t>
        </is>
      </c>
      <c r="C9" s="39" t="inlineStr">
        <is>
          <t>Starter</t>
        </is>
      </c>
      <c r="D9" s="39" t="inlineStr">
        <is>
          <t>Standard</t>
        </is>
      </c>
      <c r="E9" s="39" t="inlineStr">
        <is>
          <t>Plus</t>
        </is>
      </c>
      <c r="F9" s="38" t="inlineStr">
        <is>
          <t>Secrets management complexity</t>
        </is>
      </c>
    </row>
    <row r="10" ht="26" customHeight="1">
      <c r="A10" s="40" t="inlineStr">
        <is>
          <t>HashiCorp Platform</t>
        </is>
      </c>
      <c r="B10" s="41" t="inlineStr">
        <is>
          <t>Consul Edition</t>
        </is>
      </c>
      <c r="C10" s="42" t="inlineStr">
        <is>
          <t>Not required</t>
        </is>
      </c>
      <c r="D10" s="42" t="inlineStr">
        <is>
          <t>Standard</t>
        </is>
      </c>
      <c r="E10" s="42" t="inlineStr">
        <is>
          <t>Enterprise</t>
        </is>
      </c>
      <c r="F10" s="41" t="inlineStr">
        <is>
          <t>Service mesh and discovery needs</t>
        </is>
      </c>
    </row>
    <row r="11" ht="26" customHeight="1">
      <c r="A11" s="37" t="inlineStr">
        <is>
          <t>HashiCorp Platform</t>
        </is>
      </c>
      <c r="B11" s="38" t="inlineStr">
        <is>
          <t>Sentinel Policies</t>
        </is>
      </c>
      <c r="C11" s="39" t="inlineStr">
        <is>
          <t>10 policies</t>
        </is>
      </c>
      <c r="D11" s="39" t="inlineStr">
        <is>
          <t>50 policies</t>
        </is>
      </c>
      <c r="E11" s="39" t="inlineStr">
        <is>
          <t>200+ policies</t>
        </is>
      </c>
      <c r="F11" s="38" t="inlineStr">
        <is>
          <t>Policy as code governance rules</t>
        </is>
      </c>
    </row>
    <row r="12" ht="26" customHeight="1">
      <c r="A12" s="40" t="inlineStr">
        <is>
          <t>Infrastructure Hosting</t>
        </is>
      </c>
      <c r="B12" s="41" t="inlineStr">
        <is>
          <t>Deployment Model</t>
        </is>
      </c>
      <c r="C12" s="42" t="inlineStr">
        <is>
          <t>Single region</t>
        </is>
      </c>
      <c r="D12" s="42" t="inlineStr">
        <is>
          <t>Multi-region active-passive</t>
        </is>
      </c>
      <c r="E12" s="42" t="inlineStr">
        <is>
          <t>Multi-region active-active</t>
        </is>
      </c>
      <c r="F12" s="41" t="inlineStr">
        <is>
          <t>High availability architecture</t>
        </is>
      </c>
    </row>
    <row r="13" ht="26" customHeight="1">
      <c r="A13" s="37" t="inlineStr">
        <is>
          <t>Infrastructure Hosting</t>
        </is>
      </c>
      <c r="B13" s="38" t="inlineStr">
        <is>
          <t>Kubernetes Cluster</t>
        </is>
      </c>
      <c r="C13" s="39" t="inlineStr">
        <is>
          <t>Small (3 nodes)</t>
        </is>
      </c>
      <c r="D13" s="39" t="inlineStr">
        <is>
          <t>Medium (6 nodes)</t>
        </is>
      </c>
      <c r="E13" s="39" t="inlineStr">
        <is>
          <t>Large (12+ nodes)</t>
        </is>
      </c>
      <c r="F13" s="38" t="inlineStr">
        <is>
          <t>Platform hosting infrastructure</t>
        </is>
      </c>
    </row>
    <row r="14" ht="26" customHeight="1">
      <c r="A14" s="40" t="inlineStr">
        <is>
          <t>Infrastructure Hosting</t>
        </is>
      </c>
      <c r="B14" s="41" t="inlineStr">
        <is>
          <t>Storage Volume</t>
        </is>
      </c>
      <c r="C14" s="42" t="inlineStr">
        <is>
          <t>500 GB</t>
        </is>
      </c>
      <c r="D14" s="42" t="inlineStr">
        <is>
          <t>2 TB</t>
        </is>
      </c>
      <c r="E14" s="42" t="inlineStr">
        <is>
          <t>10+ TB</t>
        </is>
      </c>
      <c r="F14" s="41" t="inlineStr">
        <is>
          <t>State files and backup storage</t>
        </is>
      </c>
    </row>
    <row r="15" ht="26" customHeight="1">
      <c r="A15" s="37" t="inlineStr">
        <is>
          <t>Support &amp; Services</t>
        </is>
      </c>
      <c r="B15" s="38" t="inlineStr">
        <is>
          <t>Support Level</t>
        </is>
      </c>
      <c r="C15" s="39" t="inlineStr">
        <is>
          <t>Business hours</t>
        </is>
      </c>
      <c r="D15" s="39" t="inlineStr">
        <is>
          <t>Business Critical</t>
        </is>
      </c>
      <c r="E15" s="39" t="inlineStr">
        <is>
          <t>Premium</t>
        </is>
      </c>
      <c r="F15" s="38" t="inlineStr">
        <is>
          <t>SLA and response time requirements</t>
        </is>
      </c>
    </row>
  </sheetData>
  <autoFilter ref="A2:F15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Cloud Business</t>
        </is>
      </c>
      <c r="C3" s="44" t="inlineStr">
        <is>
          <t>Business tier with full governance and SSO (50 users)</t>
        </is>
      </c>
      <c r="D3" s="45" t="n">
        <v>50</v>
      </c>
      <c r="E3" s="44" t="inlineStr">
        <is>
          <t>Users/Year</t>
        </is>
      </c>
      <c r="F3" s="46" t="n">
        <v>85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HashiCorp Vault Plus</t>
        </is>
      </c>
      <c r="C4" s="48" t="inlineStr">
        <is>
          <t>Plus tier for multi-cloud secrets management</t>
        </is>
      </c>
      <c r="D4" s="49" t="n">
        <v>10</v>
      </c>
      <c r="E4" s="48" t="inlineStr">
        <is>
          <t>Clusters/Year</t>
        </is>
      </c>
      <c r="F4" s="50" t="n">
        <v>4500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secrets management</t>
        </is>
      </c>
    </row>
    <row r="5" ht="26" customHeight="1">
      <c r="A5" s="43" t="inlineStr">
        <is>
          <t>HashiCorp Licenses</t>
        </is>
      </c>
      <c r="B5" s="44" t="inlineStr">
        <is>
          <t>HashiCorp Consul Enterprise</t>
        </is>
      </c>
      <c r="C5" s="44" t="inlineStr">
        <is>
          <t>Enterprise for service mesh across clouds</t>
        </is>
      </c>
      <c r="D5" s="45" t="n">
        <v>25</v>
      </c>
      <c r="E5" s="44" t="inlineStr">
        <is>
          <t>Nodes/Year</t>
        </is>
      </c>
      <c r="F5" s="46" t="n">
        <v>850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Service discovery and mesh</t>
        </is>
      </c>
    </row>
    <row r="6" ht="26" customHeight="1">
      <c r="A6" s="47" t="inlineStr">
        <is>
          <t>HashiCorp Licenses</t>
        </is>
      </c>
      <c r="B6" s="48" t="inlineStr">
        <is>
          <t>Sentinel Enterprise</t>
        </is>
      </c>
      <c r="C6" s="48" t="inlineStr">
        <is>
          <t>Policy as code enforcement</t>
        </is>
      </c>
      <c r="D6" s="49" t="n">
        <v>1</v>
      </c>
      <c r="E6" s="48" t="inlineStr">
        <is>
          <t>License/Year</t>
        </is>
      </c>
      <c r="F6" s="50" t="n">
        <v>15000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Governance and compliance</t>
        </is>
      </c>
    </row>
    <row r="7" ht="26" customHeight="1">
      <c r="A7" s="43" t="inlineStr">
        <is>
          <t>Cloud Infrastructure</t>
        </is>
      </c>
      <c r="B7" s="44" t="inlineStr">
        <is>
          <t>AWS EKS Cluster</t>
        </is>
      </c>
      <c r="C7" s="44" t="inlineStr">
        <is>
          <t>Managed Kubernetes for Terraform Enterprise hosting</t>
        </is>
      </c>
      <c r="D7" s="45" t="n">
        <v>2</v>
      </c>
      <c r="E7" s="44" t="inlineStr">
        <is>
          <t>Clusters/Month</t>
        </is>
      </c>
      <c r="F7" s="46" t="n">
        <v>146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Platform infrastructure - AWS</t>
        </is>
      </c>
    </row>
    <row r="8" ht="26" customHeight="1">
      <c r="A8" s="47" t="inlineStr">
        <is>
          <t>Cloud Infrastructure</t>
        </is>
      </c>
      <c r="B8" s="48" t="inlineStr">
        <is>
          <t>AWS EC2 Instances</t>
        </is>
      </c>
      <c r="C8" s="48" t="inlineStr">
        <is>
          <t>t3.xlarge worker nodes for Terraform Enterprise (6 nodes)</t>
        </is>
      </c>
      <c r="D8" s="49" t="n">
        <v>6</v>
      </c>
      <c r="E8" s="48" t="inlineStr">
        <is>
          <t>Instances/Month</t>
        </is>
      </c>
      <c r="F8" s="50" t="n">
        <v>151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Compute capacity - AWS</t>
        </is>
      </c>
    </row>
    <row r="9" ht="26" customHeight="1">
      <c r="A9" s="43" t="inlineStr">
        <is>
          <t>Cloud Infrastructure</t>
        </is>
      </c>
      <c r="B9" s="44" t="inlineStr">
        <is>
          <t>AWS RDS PostgreSQL</t>
        </is>
      </c>
      <c r="C9" s="44" t="inlineStr">
        <is>
          <t>db.r5.large for Terraform Enterprise state</t>
        </is>
      </c>
      <c r="D9" s="45" t="n">
        <v>1</v>
      </c>
      <c r="E9" s="44" t="inlineStr">
        <is>
          <t>Instance/Month</t>
        </is>
      </c>
      <c r="F9" s="46" t="n">
        <v>308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database - AWS</t>
        </is>
      </c>
    </row>
    <row r="10" ht="26" customHeight="1">
      <c r="A10" s="47" t="inlineStr">
        <is>
          <t>Cloud Infrastructure</t>
        </is>
      </c>
      <c r="B10" s="48" t="inlineStr">
        <is>
          <t>AWS S3 Storage</t>
        </is>
      </c>
      <c r="C10" s="48" t="inlineStr">
        <is>
          <t>Standard storage for state files and backups</t>
        </is>
      </c>
      <c r="D10" s="49" t="n">
        <v>2000</v>
      </c>
      <c r="E10" s="48" t="inlineStr">
        <is>
          <t>GB/Month</t>
        </is>
      </c>
      <c r="F10" s="50" t="n">
        <v>0.023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State and artifact storage - AWS</t>
        </is>
      </c>
    </row>
    <row r="11" ht="26" customHeight="1">
      <c r="A11" s="43" t="inlineStr">
        <is>
          <t>Cloud Infrastructure</t>
        </is>
      </c>
      <c r="B11" s="44" t="inlineStr">
        <is>
          <t>AWS EBS Storage</t>
        </is>
      </c>
      <c r="C11" s="44" t="inlineStr">
        <is>
          <t>gp3 volumes for persistent storage (2TB total)</t>
        </is>
      </c>
      <c r="D11" s="45" t="n">
        <v>2000</v>
      </c>
      <c r="E11" s="44" t="inlineStr">
        <is>
          <t>GB/Month</t>
        </is>
      </c>
      <c r="F11" s="46" t="n">
        <v>0.08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Persistent storage - AWS</t>
        </is>
      </c>
    </row>
    <row r="12" ht="26" customHeight="1">
      <c r="A12" s="47" t="inlineStr">
        <is>
          <t>Cloud Infrastructure</t>
        </is>
      </c>
      <c r="B12" s="48" t="inlineStr">
        <is>
          <t>AWS Application Load Balancer</t>
        </is>
      </c>
      <c r="C12" s="48" t="inlineStr">
        <is>
          <t>ALB for Terraform Enterprise access</t>
        </is>
      </c>
      <c r="D12" s="49" t="n">
        <v>2</v>
      </c>
      <c r="E12" s="48" t="inlineStr">
        <is>
          <t>Balancers/Month</t>
        </is>
      </c>
      <c r="F12" s="50" t="n">
        <v>22.5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Load balancing - AWS</t>
        </is>
      </c>
    </row>
    <row r="13" ht="26" customHeight="1">
      <c r="A13" s="43" t="inlineStr">
        <is>
          <t>Cloud Infrastructure</t>
        </is>
      </c>
      <c r="B13" s="44" t="inlineStr">
        <is>
          <t>AWS NAT Gateway</t>
        </is>
      </c>
      <c r="C13" s="44" t="inlineStr">
        <is>
          <t>NAT Gateway for private subnet access</t>
        </is>
      </c>
      <c r="D13" s="45" t="n">
        <v>2</v>
      </c>
      <c r="E13" s="44" t="inlineStr">
        <is>
          <t>Gateways/Month</t>
        </is>
      </c>
      <c r="F13" s="46" t="n">
        <v>45.6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Network connectivity - AWS</t>
        </is>
      </c>
    </row>
    <row r="14" ht="26" customHeight="1">
      <c r="A14" s="47" t="inlineStr">
        <is>
          <t>Cloud Infrastructure</t>
        </is>
      </c>
      <c r="B14" s="48" t="inlineStr">
        <is>
          <t>AWS Data Transfer</t>
        </is>
      </c>
      <c r="C14" s="48" t="inlineStr">
        <is>
          <t>Outbound data transfer (1TB/month)</t>
        </is>
      </c>
      <c r="D14" s="49" t="n">
        <v>1000</v>
      </c>
      <c r="E14" s="48" t="inlineStr">
        <is>
          <t>GB/Month</t>
        </is>
      </c>
      <c r="F14" s="50" t="n">
        <v>0.09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Egress charges - AWS</t>
        </is>
      </c>
    </row>
    <row r="15" ht="26" customHeight="1">
      <c r="A15" s="43" t="inlineStr">
        <is>
          <t>Cloud Infrastructure</t>
        </is>
      </c>
      <c r="B15" s="44" t="inlineStr">
        <is>
          <t>Azure AKS Cluster</t>
        </is>
      </c>
      <c r="C15" s="44" t="inlineStr">
        <is>
          <t>Managed Kubernetes for multi-cloud redundancy</t>
        </is>
      </c>
      <c r="D15" s="45" t="n">
        <v>1</v>
      </c>
      <c r="E15" s="44" t="inlineStr">
        <is>
          <t>Cluster/Month</t>
        </is>
      </c>
      <c r="F15" s="46" t="n">
        <v>146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Platform infrastructure - Azure</t>
        </is>
      </c>
    </row>
    <row r="16" ht="26" customHeight="1">
      <c r="A16" s="47" t="inlineStr">
        <is>
          <t>Cloud Infrastructure</t>
        </is>
      </c>
      <c r="B16" s="48" t="inlineStr">
        <is>
          <t>Azure VMs</t>
        </is>
      </c>
      <c r="C16" s="48" t="inlineStr">
        <is>
          <t>Standard_D4s_v3 for worker nodes (3 nodes)</t>
        </is>
      </c>
      <c r="D16" s="49" t="n">
        <v>3</v>
      </c>
      <c r="E16" s="48" t="inlineStr">
        <is>
          <t>Instances/Month</t>
        </is>
      </c>
      <c r="F16" s="50" t="n">
        <v>140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Compute capacity - Azure</t>
        </is>
      </c>
    </row>
    <row r="17" ht="26" customHeight="1">
      <c r="A17" s="43" t="inlineStr">
        <is>
          <t>Cloud Infrastructure</t>
        </is>
      </c>
      <c r="B17" s="44" t="inlineStr">
        <is>
          <t>Azure PostgreSQL</t>
        </is>
      </c>
      <c r="C17" s="44" t="inlineStr">
        <is>
          <t>Flexible Server General Purpose 4 vCores</t>
        </is>
      </c>
      <c r="D17" s="45" t="n">
        <v>1</v>
      </c>
      <c r="E17" s="44" t="inlineStr">
        <is>
          <t>Instance/Month</t>
        </is>
      </c>
      <c r="F17" s="46" t="n">
        <v>295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State database - Azure</t>
        </is>
      </c>
    </row>
    <row r="18" ht="26" customHeight="1">
      <c r="A18" s="47" t="inlineStr">
        <is>
          <t>Cloud Infrastructure</t>
        </is>
      </c>
      <c r="B18" s="48" t="inlineStr">
        <is>
          <t>Azure Blob Storage</t>
        </is>
      </c>
      <c r="C18" s="48" t="inlineStr">
        <is>
          <t>Standard storage for state and backups</t>
        </is>
      </c>
      <c r="D18" s="49" t="n">
        <v>2000</v>
      </c>
      <c r="E18" s="48" t="inlineStr">
        <is>
          <t>GB/Month</t>
        </is>
      </c>
      <c r="F18" s="50" t="n">
        <v>0.018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State storage - Azure</t>
        </is>
      </c>
    </row>
    <row r="19" ht="26" customHeight="1">
      <c r="A19" s="43" t="inlineStr">
        <is>
          <t>Cloud Infrastructure</t>
        </is>
      </c>
      <c r="B19" s="44" t="inlineStr">
        <is>
          <t>GCP Artifact Registry</t>
        </is>
      </c>
      <c r="C19" s="44" t="inlineStr">
        <is>
          <t>Container image storage and management</t>
        </is>
      </c>
      <c r="D19" s="45" t="n">
        <v>1</v>
      </c>
      <c r="E19" s="44" t="inlineStr">
        <is>
          <t>Service/Month</t>
        </is>
      </c>
      <c r="F19" s="46" t="n">
        <v>50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Container registry - GCP</t>
        </is>
      </c>
    </row>
    <row r="20" ht="26" customHeight="1">
      <c r="A20" s="47" t="inlineStr">
        <is>
          <t>Cloud Infrastructure</t>
        </is>
      </c>
      <c r="B20" s="48" t="inlineStr">
        <is>
          <t>CloudWatch/Monitor Logs</t>
        </is>
      </c>
      <c r="C20" s="48" t="inlineStr">
        <is>
          <t>Centralized logging (200GB logs/month)</t>
        </is>
      </c>
      <c r="D20" s="49" t="n">
        <v>200</v>
      </c>
      <c r="E20" s="48" t="inlineStr">
        <is>
          <t>GB/Month</t>
        </is>
      </c>
      <c r="F20" s="50" t="n">
        <v>0.5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Platform monitoring</t>
        </is>
      </c>
    </row>
    <row r="21" ht="26" customHeight="1">
      <c r="A21" s="43" t="inlineStr">
        <is>
          <t>Cloud Infrastructure</t>
        </is>
      </c>
      <c r="B21" s="44" t="inlineStr">
        <is>
          <t>Secrets Manager</t>
        </is>
      </c>
      <c r="C21" s="44" t="inlineStr">
        <is>
          <t>AWS Secrets Manager for credentials (50 secrets)</t>
        </is>
      </c>
      <c r="D21" s="45" t="n">
        <v>50</v>
      </c>
      <c r="E21" s="44" t="inlineStr">
        <is>
          <t>Secrets/Month</t>
        </is>
      </c>
      <c r="F21" s="46" t="n">
        <v>0.4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Credential storage</t>
        </is>
      </c>
    </row>
    <row r="22" ht="26" customHeight="1">
      <c r="A22" s="47" t="inlineStr">
        <is>
          <t>Cloud Infrastructure</t>
        </is>
      </c>
      <c r="B22" s="48" t="inlineStr">
        <is>
          <t>Backup Storage</t>
        </is>
      </c>
      <c r="C22" s="48" t="inlineStr">
        <is>
          <t>Cross-region backup storage (5TB)</t>
        </is>
      </c>
      <c r="D22" s="49" t="n">
        <v>5000</v>
      </c>
      <c r="E22" s="48" t="inlineStr">
        <is>
          <t>GB/Month</t>
        </is>
      </c>
      <c r="F22" s="50" t="n">
        <v>0.023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Disaster recovery backups</t>
        </is>
      </c>
    </row>
    <row r="23" ht="26" customHeight="1">
      <c r="A23" s="43" t="inlineStr">
        <is>
          <t>Software Licenses</t>
        </is>
      </c>
      <c r="B23" s="44" t="inlineStr">
        <is>
          <t>VCS Integration</t>
        </is>
      </c>
      <c r="C23" s="44" t="inlineStr">
        <is>
          <t>GitHub Enterprise for infrastructure code repos</t>
        </is>
      </c>
      <c r="D23" s="45" t="n">
        <v>50</v>
      </c>
      <c r="E23" s="44" t="inlineStr">
        <is>
          <t>Users/Year</t>
        </is>
      </c>
      <c r="F23" s="46" t="n">
        <v>252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Version control integration</t>
        </is>
      </c>
    </row>
    <row r="24" ht="26" customHeight="1">
      <c r="A24" s="47" t="inlineStr">
        <is>
          <t>Software Licenses</t>
        </is>
      </c>
      <c r="B24" s="48" t="inlineStr">
        <is>
          <t>Datadog Monitoring</t>
        </is>
      </c>
      <c r="C24" s="48" t="inlineStr">
        <is>
          <t>Pro monitoring for platform infrastructure (10 hosts)</t>
        </is>
      </c>
      <c r="D24" s="49" t="n">
        <v>10</v>
      </c>
      <c r="E24" s="48" t="inlineStr">
        <is>
          <t>Hosts/Month</t>
        </is>
      </c>
      <c r="F24" s="50" t="n">
        <v>23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Infrastructure monitoring</t>
        </is>
      </c>
    </row>
    <row r="25" ht="26" customHeight="1">
      <c r="A25" s="43" t="inlineStr">
        <is>
          <t>Software Licenses</t>
        </is>
      </c>
      <c r="B25" s="44" t="inlineStr">
        <is>
          <t>PagerDuty</t>
        </is>
      </c>
      <c r="C25" s="44" t="inlineStr">
        <is>
          <t>Professional incident management (5 users)</t>
        </is>
      </c>
      <c r="D25" s="45" t="n">
        <v>5</v>
      </c>
      <c r="E25" s="44" t="inlineStr">
        <is>
          <t>Users/Month</t>
        </is>
      </c>
      <c r="F25" s="46" t="n">
        <v>41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Incident response</t>
        </is>
      </c>
    </row>
    <row r="26" ht="26" customHeight="1">
      <c r="A26" s="47" t="inlineStr">
        <is>
          <t>Software Licenses</t>
        </is>
      </c>
      <c r="B26" s="48" t="inlineStr">
        <is>
          <t>Slack Business</t>
        </is>
      </c>
      <c r="C26" s="48" t="inlineStr">
        <is>
          <t>Team collaboration platform (50 users)</t>
        </is>
      </c>
      <c r="D26" s="49" t="n">
        <v>50</v>
      </c>
      <c r="E26" s="48" t="inlineStr">
        <is>
          <t>Users/Month</t>
        </is>
      </c>
      <c r="F26" s="50" t="n">
        <v>8.75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Team communication</t>
        </is>
      </c>
    </row>
    <row r="27" ht="26" customHeight="1">
      <c r="A27" s="43" t="inlineStr">
        <is>
          <t>Support &amp; Maintenance</t>
        </is>
      </c>
      <c r="B27" s="44" t="inlineStr">
        <is>
          <t>HashiCorp Premium Support</t>
        </is>
      </c>
      <c r="C27" s="44" t="inlineStr">
        <is>
          <t>Premium support for all HashiCorp products</t>
        </is>
      </c>
      <c r="D27" s="45" t="n">
        <v>1</v>
      </c>
      <c r="E27" s="44" t="inlineStr">
        <is>
          <t>Contract/Year</t>
        </is>
      </c>
      <c r="F27" s="46" t="n">
        <v>45000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 support</t>
        </is>
      </c>
    </row>
    <row r="28" ht="26" customHeight="1">
      <c r="A28" s="47" t="inlineStr">
        <is>
          <t>Support &amp; Maintenance</t>
        </is>
      </c>
      <c r="B28" s="48" t="inlineStr">
        <is>
          <t>Managed Services</t>
        </is>
      </c>
      <c r="C28" s="48" t="inlineStr">
        <is>
          <t>Platform management and operations (15% of infrastructure)</t>
        </is>
      </c>
      <c r="D28" s="49" t="n">
        <v>1</v>
      </c>
      <c r="E28" s="48" t="inlineStr">
        <is>
          <t>Service/Month</t>
        </is>
      </c>
      <c r="F28" s="50" t="n">
        <v>2825</v>
      </c>
      <c r="G28" s="50">
        <f>D28*F28*12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Ongoing platform support</t>
        </is>
      </c>
    </row>
    <row r="29" ht="26" customHeight="1">
      <c r="A29" s="43" t="inlineStr">
        <is>
          <t>Support &amp; Maintenance</t>
        </is>
      </c>
      <c r="B29" s="44" t="inlineStr">
        <is>
          <t>Security Scanning</t>
        </is>
      </c>
      <c r="C29" s="44" t="inlineStr">
        <is>
          <t>Terraform security scanning and compliance (Snyk/Checkov)</t>
        </is>
      </c>
      <c r="D29" s="45" t="n">
        <v>1</v>
      </c>
      <c r="E29" s="44" t="inlineStr">
        <is>
          <t>Service/Month</t>
        </is>
      </c>
      <c r="F29" s="46" t="n">
        <v>500</v>
      </c>
      <c r="G29" s="46">
        <f>D29*F29*12</f>
        <v/>
      </c>
      <c r="H29" s="46">
        <f>G29</f>
        <v/>
      </c>
      <c r="I29" s="46">
        <f>G29</f>
        <v/>
      </c>
      <c r="J29" s="46">
        <f>G29+H29+I29</f>
        <v/>
      </c>
      <c r="K29" s="44" t="inlineStr">
        <is>
          <t>Policy and security validation</t>
        </is>
      </c>
    </row>
    <row r="30" ht="26" customHeight="1">
      <c r="A30" s="51" t="inlineStr">
        <is>
          <t>TOTAL</t>
        </is>
      </c>
      <c r="B30" s="52" t="n"/>
      <c r="C30" s="52" t="n"/>
      <c r="D30" s="52" t="n"/>
      <c r="E30" s="52" t="n"/>
      <c r="F30" s="52" t="n"/>
      <c r="G30" s="53">
        <f>SUM(G3:G29)</f>
        <v/>
      </c>
      <c r="H30" s="53">
        <f>SUM(H3:H29)</f>
        <v/>
      </c>
      <c r="I30" s="53">
        <f>SUM(I3:I29)</f>
        <v/>
      </c>
      <c r="J30" s="53">
        <f>SUM(J3:J29)</f>
        <v/>
      </c>
      <c r="K30" s="52" t="n"/>
    </row>
  </sheetData>
  <autoFilter ref="A2:K3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-15000</v>
      </c>
      <c r="D3" s="44" t="inlineStr">
        <is>
          <t>20% discount on Terraform Business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-8500</v>
      </c>
      <c r="D4" s="48" t="inlineStr">
        <is>
          <t>Reserved Instance savings on EC2 and RDS</t>
        </is>
      </c>
    </row>
    <row r="5" ht="26" customHeight="1">
      <c r="A5" s="43" t="inlineStr">
        <is>
          <t>Cloud Infrastructure</t>
        </is>
      </c>
      <c r="B5" s="44" t="inlineStr">
        <is>
          <t>Azure Reserved Instances</t>
        </is>
      </c>
      <c r="C5" s="46" t="n">
        <v>-4200</v>
      </c>
      <c r="D5" s="44" t="inlineStr">
        <is>
          <t>1-year reserved pricing on VMs and database</t>
        </is>
      </c>
    </row>
    <row r="6" ht="26" customHeight="1">
      <c r="A6" s="47" t="inlineStr">
        <is>
          <t>Support &amp; Maintenance</t>
        </is>
      </c>
      <c r="B6" s="48" t="inlineStr">
        <is>
          <t>Partner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2025-11-23T00:38:53Z</dcterms:modified>
  <cp:lastModifiedBy>Kishan Siram</cp:lastModifiedBy>
</cp:coreProperties>
</file>