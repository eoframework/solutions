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Assumptions'!$A$2:$G$19</definedName>
    <definedName name="_xlnm._FilterDatabase" localSheetId="2" hidden="1">'Estimate Settings'!$A$2:$D$11</definedName>
    <definedName name="_xlnm._FilterDatabase" localSheetId="3" hidden="1">'LOE'!$A$2:$K$39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165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165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HASHICORP - Cloud - Multi Cloud Platform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Managed Cloud Providers</t>
        </is>
      </c>
      <c r="C3" s="39" t="inlineStr">
        <is>
          <t>3 clouds (AWS Azure GCP)</t>
        </is>
      </c>
      <c r="D3" s="38" t="inlineStr">
        <is>
          <t>2 clouds</t>
        </is>
      </c>
      <c r="E3" s="38" t="inlineStr">
        <is>
          <t>3 clouds</t>
        </is>
      </c>
      <c r="F3" s="38" t="inlineStr">
        <is>
          <t>4+ clouds + on-prem</t>
        </is>
      </c>
      <c r="G3" s="38" t="inlineStr">
        <is>
          <t>Number of cloud platforms to manage</t>
        </is>
      </c>
    </row>
    <row r="4" ht="26" customHeight="1">
      <c r="A4" s="40" t="inlineStr">
        <is>
          <t>Solution Scope</t>
        </is>
      </c>
      <c r="B4" s="41" t="inlineStr">
        <is>
          <t>Infrastructure Resources</t>
        </is>
      </c>
      <c r="C4" s="39" t="inlineStr">
        <is>
          <t>2500 total resources</t>
        </is>
      </c>
      <c r="D4" s="41" t="inlineStr">
        <is>
          <t>500 resources</t>
        </is>
      </c>
      <c r="E4" s="41" t="inlineStr">
        <is>
          <t>2500 resources</t>
        </is>
      </c>
      <c r="F4" s="41" t="inlineStr">
        <is>
          <t>10000+ resources</t>
        </is>
      </c>
      <c r="G4" s="41" t="inlineStr">
        <is>
          <t>Total managed infrastructure across all clouds</t>
        </is>
      </c>
    </row>
    <row r="5" ht="26" customHeight="1">
      <c r="A5" s="37" t="inlineStr">
        <is>
          <t>Solution Scope</t>
        </is>
      </c>
      <c r="B5" s="38" t="inlineStr">
        <is>
          <t>Terraform Workspaces</t>
        </is>
      </c>
      <c r="C5" s="39" t="inlineStr">
        <is>
          <t>100 workspaces</t>
        </is>
      </c>
      <c r="D5" s="38" t="inlineStr">
        <is>
          <t>25 workspaces</t>
        </is>
      </c>
      <c r="E5" s="38" t="inlineStr">
        <is>
          <t>100 workspaces</t>
        </is>
      </c>
      <c r="F5" s="38" t="inlineStr">
        <is>
          <t>500+ workspaces</t>
        </is>
      </c>
      <c r="G5" s="38" t="inlineStr">
        <is>
          <t>Isolated environment and team workspaces</t>
        </is>
      </c>
    </row>
    <row r="6" ht="26" customHeight="1">
      <c r="A6" s="40" t="inlineStr">
        <is>
          <t>Integration</t>
        </is>
      </c>
      <c r="B6" s="41" t="inlineStr">
        <is>
          <t>External System Integrations</t>
        </is>
      </c>
      <c r="C6" s="39" t="inlineStr">
        <is>
          <t>4 integrations (GitHub Datadog Slack ServiceNow)</t>
        </is>
      </c>
      <c r="D6" s="41" t="inlineStr">
        <is>
          <t>2 integrations</t>
        </is>
      </c>
      <c r="E6" s="41" t="inlineStr">
        <is>
          <t>4-6 integrations</t>
        </is>
      </c>
      <c r="F6" s="41" t="inlineStr">
        <is>
          <t>8+ integrations</t>
        </is>
      </c>
      <c r="G6" s="41" t="inlineStr">
        <is>
          <t>VCS monitoring ITSM tools</t>
        </is>
      </c>
    </row>
    <row r="7" ht="26" customHeight="1">
      <c r="A7" s="37" t="inlineStr">
        <is>
          <t>Integration</t>
        </is>
      </c>
      <c r="B7" s="38" t="inlineStr">
        <is>
          <t>VCS Platform</t>
        </is>
      </c>
      <c r="C7" s="39" t="inlineStr">
        <is>
          <t>GitHub</t>
        </is>
      </c>
      <c r="D7" s="38" t="inlineStr">
        <is>
          <t>GitHub or GitLab</t>
        </is>
      </c>
      <c r="E7" s="38" t="inlineStr">
        <is>
          <t>Multiple VCS platforms</t>
        </is>
      </c>
      <c r="F7" s="38" t="inlineStr">
        <is>
          <t>Complex multi-VCS with custom workflows</t>
        </is>
      </c>
      <c r="G7" s="38" t="inlineStr">
        <is>
          <t>Version control system integration</t>
        </is>
      </c>
    </row>
    <row r="8" ht="26" customHeight="1">
      <c r="A8" s="40" t="inlineStr">
        <is>
          <t>User Base</t>
        </is>
      </c>
      <c r="B8" s="41" t="inlineStr">
        <is>
          <t>Total Platform Users</t>
        </is>
      </c>
      <c r="C8" s="39" t="inlineStr">
        <is>
          <t>50 users</t>
        </is>
      </c>
      <c r="D8" s="41" t="inlineStr">
        <is>
          <t>10 users</t>
        </is>
      </c>
      <c r="E8" s="41" t="inlineStr">
        <is>
          <t>50 users</t>
        </is>
      </c>
      <c r="F8" s="41" t="inlineStr">
        <is>
          <t>200+ users</t>
        </is>
      </c>
      <c r="G8" s="41" t="inlineStr">
        <is>
          <t>Platform operators and developers</t>
        </is>
      </c>
    </row>
    <row r="9" ht="26" customHeight="1">
      <c r="A9" s="37" t="inlineStr">
        <is>
          <t>User Base</t>
        </is>
      </c>
      <c r="B9" s="38" t="inlineStr">
        <is>
          <t>User Roles</t>
        </is>
      </c>
      <c r="C9" s="39" t="inlineStr">
        <is>
          <t>5 roles (viewer operator admin security auditor)</t>
        </is>
      </c>
      <c r="D9" s="38" t="inlineStr">
        <is>
          <t>3 roles</t>
        </is>
      </c>
      <c r="E9" s="38" t="inlineStr">
        <is>
          <t>5 roles</t>
        </is>
      </c>
      <c r="F9" s="38" t="inlineStr">
        <is>
          <t>8+ roles with complex permissions</t>
        </is>
      </c>
      <c r="G9" s="38" t="inlineStr">
        <is>
          <t>RBAC and access control structure</t>
        </is>
      </c>
    </row>
    <row r="10" ht="26" customHeight="1">
      <c r="A10" s="40" t="inlineStr">
        <is>
          <t>Data Volume</t>
        </is>
      </c>
      <c r="B10" s="41" t="inlineStr">
        <is>
          <t>Concurrent Infrastructure Runs</t>
        </is>
      </c>
      <c r="C10" s="39" t="inlineStr">
        <is>
          <t>15 concurrent runs</t>
        </is>
      </c>
      <c r="D10" s="41" t="inlineStr">
        <is>
          <t>5 concurrent</t>
        </is>
      </c>
      <c r="E10" s="41" t="inlineStr">
        <is>
          <t>15 concurrent</t>
        </is>
      </c>
      <c r="F10" s="41" t="inlineStr">
        <is>
          <t>50+ concurrent</t>
        </is>
      </c>
      <c r="G10" s="41" t="inlineStr">
        <is>
          <t>Parallel Terraform operations</t>
        </is>
      </c>
    </row>
    <row r="11" ht="26" customHeight="1">
      <c r="A11" s="37" t="inlineStr">
        <is>
          <t>Data Volume</t>
        </is>
      </c>
      <c r="B11" s="38" t="inlineStr">
        <is>
          <t>State Storage Volume</t>
        </is>
      </c>
      <c r="C11" s="39" t="inlineStr">
        <is>
          <t>2 TB</t>
        </is>
      </c>
      <c r="D11" s="38" t="inlineStr">
        <is>
          <t>500 GB</t>
        </is>
      </c>
      <c r="E11" s="38" t="inlineStr">
        <is>
          <t>2 TB</t>
        </is>
      </c>
      <c r="F11" s="38" t="inlineStr">
        <is>
          <t>10+ TB</t>
        </is>
      </c>
      <c r="G11" s="38" t="inlineStr">
        <is>
          <t>Terraform state files and backups</t>
        </is>
      </c>
    </row>
    <row r="12" ht="26" customHeight="1">
      <c r="A12" s="40" t="inlineStr">
        <is>
          <t>Technical Environment</t>
        </is>
      </c>
      <c r="B12" s="41" t="inlineStr">
        <is>
          <t>Deployment Regions</t>
        </is>
      </c>
      <c r="C12" s="39" t="inlineStr">
        <is>
          <t>Multi-region (us-east-1 eu-west-1 ap-southeast-1)</t>
        </is>
      </c>
      <c r="D12" s="41" t="inlineStr">
        <is>
          <t>Single region</t>
        </is>
      </c>
      <c r="E12" s="41" t="inlineStr">
        <is>
          <t>Multi-region</t>
        </is>
      </c>
      <c r="F12" s="41" t="inlineStr">
        <is>
          <t>Global multi-region HA</t>
        </is>
      </c>
      <c r="G12" s="41" t="inlineStr">
        <is>
          <t>Platform deployment footprint</t>
        </is>
      </c>
    </row>
    <row r="13" ht="26" customHeight="1">
      <c r="A13" s="37" t="inlineStr">
        <is>
          <t>Technical Environment</t>
        </is>
      </c>
      <c r="B13" s="38" t="inlineStr">
        <is>
          <t>Availability Requirements</t>
        </is>
      </c>
      <c r="C13" s="39" t="inlineStr">
        <is>
          <t>High (99.9%)</t>
        </is>
      </c>
      <c r="D13" s="38" t="inlineStr">
        <is>
          <t>Standard (99.5%)</t>
        </is>
      </c>
      <c r="E13" s="38" t="inlineStr">
        <is>
          <t>High (99.9%)</t>
        </is>
      </c>
      <c r="F13" s="38" t="inlineStr">
        <is>
          <t>Mission critical (99.95%+)</t>
        </is>
      </c>
      <c r="G13" s="38" t="inlineStr">
        <is>
          <t>Platform uptime SLA</t>
        </is>
      </c>
    </row>
    <row r="14" ht="26" customHeight="1">
      <c r="A14" s="40" t="inlineStr">
        <is>
          <t>Technical Environment</t>
        </is>
      </c>
      <c r="B14" s="41" t="inlineStr">
        <is>
          <t>Infrastructure Complexity</t>
        </is>
      </c>
      <c r="C14" s="39" t="inlineStr">
        <is>
          <t>Multi-cloud with networking</t>
        </is>
      </c>
      <c r="D14" s="41" t="inlineStr">
        <is>
          <t>Single cloud basic</t>
        </is>
      </c>
      <c r="E14" s="41" t="inlineStr">
        <is>
          <t>Multi-cloud with networking</t>
        </is>
      </c>
      <c r="F14" s="41" t="inlineStr">
        <is>
          <t>Multi-cloud with service mesh</t>
        </is>
      </c>
      <c r="G14" s="41" t="inlineStr">
        <is>
          <t>Terraform Vault Consul integration</t>
        </is>
      </c>
    </row>
    <row r="15" ht="26" customHeight="1">
      <c r="A15" s="37" t="inlineStr">
        <is>
          <t>Security &amp; Compliance</t>
        </is>
      </c>
      <c r="B15" s="38" t="inlineStr">
        <is>
          <t>Security Requirements</t>
        </is>
      </c>
      <c r="C15" s="39" t="inlineStr">
        <is>
          <t>Enterprise (Vault SSO RBAC)</t>
        </is>
      </c>
      <c r="D15" s="38" t="inlineStr">
        <is>
          <t>Basic IAM</t>
        </is>
      </c>
      <c r="E15" s="38" t="inlineStr">
        <is>
          <t>Enterprise security</t>
        </is>
      </c>
      <c r="F15" s="38" t="inlineStr">
        <is>
          <t>Advanced with HSM</t>
        </is>
      </c>
      <c r="G15" s="38" t="inlineStr">
        <is>
          <t>Secrets management and access control</t>
        </is>
      </c>
    </row>
    <row r="16" ht="26" customHeight="1">
      <c r="A16" s="40" t="inlineStr">
        <is>
          <t>Security &amp; Compliance</t>
        </is>
      </c>
      <c r="B16" s="41" t="inlineStr">
        <is>
          <t>Compliance Frameworks</t>
        </is>
      </c>
      <c r="C16" s="39" t="inlineStr">
        <is>
          <t>SOC2 ISO27001</t>
        </is>
      </c>
      <c r="D16" s="41" t="inlineStr">
        <is>
          <t>1-2 basic standards</t>
        </is>
      </c>
      <c r="E16" s="41" t="inlineStr">
        <is>
          <t>2-3 standards</t>
        </is>
      </c>
      <c r="F16" s="41" t="inlineStr">
        <is>
          <t>Multiple complex frameworks</t>
        </is>
      </c>
      <c r="G16" s="41" t="inlineStr">
        <is>
          <t>Governance and audit requirements</t>
        </is>
      </c>
    </row>
    <row r="17" ht="26" customHeight="1">
      <c r="A17" s="37" t="inlineStr">
        <is>
          <t>Performance</t>
        </is>
      </c>
      <c r="B17" s="38" t="inlineStr">
        <is>
          <t>Policy Governance</t>
        </is>
      </c>
      <c r="C17" s="39" t="inlineStr">
        <is>
          <t>50 Sentinel policies</t>
        </is>
      </c>
      <c r="D17" s="38" t="inlineStr">
        <is>
          <t>10 policies</t>
        </is>
      </c>
      <c r="E17" s="38" t="inlineStr">
        <is>
          <t>50 policies</t>
        </is>
      </c>
      <c r="F17" s="38" t="inlineStr">
        <is>
          <t>200+ policies</t>
        </is>
      </c>
      <c r="G17" s="38" t="inlineStr">
        <is>
          <t>Policy as code enforcement rules</t>
        </is>
      </c>
    </row>
    <row r="18" ht="26" customHeight="1">
      <c r="A18" s="40" t="inlineStr">
        <is>
          <t>Performance</t>
        </is>
      </c>
      <c r="B18" s="41" t="inlineStr">
        <is>
          <t>Processing Mode</t>
        </is>
      </c>
      <c r="C18" s="39" t="inlineStr">
        <is>
          <t>Self-service with approvals</t>
        </is>
      </c>
      <c r="D18" s="41" t="inlineStr">
        <is>
          <t>Manual approval</t>
        </is>
      </c>
      <c r="E18" s="41" t="inlineStr">
        <is>
          <t>Self-service with approvals</t>
        </is>
      </c>
      <c r="F18" s="41" t="inlineStr">
        <is>
          <t>Fully automated GitOps</t>
        </is>
      </c>
      <c r="G18" s="41" t="inlineStr">
        <is>
          <t>Infrastructure provisioning workflow</t>
        </is>
      </c>
    </row>
    <row r="19" ht="26" customHeight="1">
      <c r="A19" s="37" t="inlineStr">
        <is>
          <t>Environment</t>
        </is>
      </c>
      <c r="B19" s="38" t="inlineStr">
        <is>
          <t>Deployment Environments</t>
        </is>
      </c>
      <c r="C19" s="39" t="inlineStr">
        <is>
          <t>3 environments (dev staging prod)</t>
        </is>
      </c>
      <c r="D19" s="38" t="inlineStr">
        <is>
          <t>2 environments</t>
        </is>
      </c>
      <c r="E19" s="38" t="inlineStr">
        <is>
          <t>3 environments</t>
        </is>
      </c>
      <c r="F19" s="38" t="inlineStr">
        <is>
          <t>4+ environments</t>
        </is>
      </c>
      <c r="G19" s="38" t="inlineStr">
        <is>
          <t>Platform environment management</t>
        </is>
      </c>
    </row>
  </sheetData>
  <autoFilter ref="A2:G19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(Requirements Gathering, Current State Assessment, HashiCorp Assessment, Multi-Cloud Strategy)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(Platform Architecture, Vault Design, Consul Design, Network Design, Migration Planning)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(Terraform Cloud Setup, Vault Implementation, Consul Deployment, Policy Development, Integration)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(Unit Testing, Integration Testing, Policy Testing, Security Testing, Multi-Cloud Testing)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Workspace Migration, Go-Live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(Platform Training, Vault Training, Policy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 - 10%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Quarterback/Technical Leadership overhead - 10%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Requirements Gathering</t>
        </is>
      </c>
      <c r="C3" s="46" t="inlineStr">
        <is>
          <t>Conduct stakeholder interviews for multi-cloud platform requirements</t>
        </is>
      </c>
      <c r="D3" s="46" t="inlineStr">
        <is>
          <t>EO Engineer</t>
        </is>
      </c>
      <c r="E3" s="47" t="n">
        <v>40</v>
      </c>
      <c r="F3" s="48" t="n">
        <v>1</v>
      </c>
      <c r="G3" s="49">
        <f>$E3*$F3</f>
        <v/>
      </c>
      <c r="H3" s="50" t="n">
        <v>150</v>
      </c>
      <c r="I3" s="49">
        <f>TEXT($G3*$H3,"$#,##0")</f>
        <v/>
      </c>
      <c r="J3" s="46" t="inlineStr"/>
      <c r="K3" s="46" t="inlineStr">
        <is>
          <t>Includes requirements documentation and current state analysis</t>
        </is>
      </c>
    </row>
    <row r="4" ht="26" customHeight="1">
      <c r="A4" s="51" t="inlineStr">
        <is>
          <t>Discovery</t>
        </is>
      </c>
      <c r="B4" s="52" t="inlineStr">
        <is>
          <t>Current State Assessment</t>
        </is>
      </c>
      <c r="C4" s="52" t="inlineStr">
        <is>
          <t>Analyze existing infrastructure automation and cloud environments</t>
        </is>
      </c>
      <c r="D4" s="52" t="inlineStr">
        <is>
          <t>EO Engineer</t>
        </is>
      </c>
      <c r="E4" s="53" t="n">
        <v>32</v>
      </c>
      <c r="F4" s="54" t="n">
        <v>1</v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Customer must provide access to existing Terraform code and cloud accounts</t>
        </is>
      </c>
    </row>
    <row r="5" ht="26" customHeight="1">
      <c r="A5" s="45" t="inlineStr">
        <is>
          <t>Discovery</t>
        </is>
      </c>
      <c r="B5" s="46" t="inlineStr">
        <is>
          <t>HashiCorp Assessment</t>
        </is>
      </c>
      <c r="C5" s="46" t="inlineStr">
        <is>
          <t>Evaluate HashiCorp product usage and enterprise readiness</t>
        </is>
      </c>
      <c r="D5" s="46" t="inlineStr">
        <is>
          <t>EO Engineer</t>
        </is>
      </c>
      <c r="E5" s="47" t="n">
        <v>24</v>
      </c>
      <c r="F5" s="48" t="n">
        <v>1</v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Assess current Terraform Vault Consul usage and licensing</t>
        </is>
      </c>
    </row>
    <row r="6" ht="26" customHeight="1">
      <c r="A6" s="51" t="inlineStr">
        <is>
          <t>Discovery</t>
        </is>
      </c>
      <c r="B6" s="52" t="inlineStr">
        <is>
          <t>Multi-Cloud Strategy</t>
        </is>
      </c>
      <c r="C6" s="52" t="inlineStr">
        <is>
          <t>Define multi-cloud strategy and workload distribution</t>
        </is>
      </c>
      <c r="D6" s="52" t="inlineStr">
        <is>
          <t>EO Engineer</t>
        </is>
      </c>
      <c r="E6" s="53" t="n">
        <v>16</v>
      </c>
      <c r="F6" s="54" t="n">
        <v>1</v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Includes cloud provider selection and governance model</t>
        </is>
      </c>
    </row>
    <row r="7" ht="26" customHeight="1">
      <c r="A7" s="45" t="inlineStr">
        <is>
          <t>Planning</t>
        </is>
      </c>
      <c r="B7" s="46" t="inlineStr">
        <is>
          <t>Platform Architecture Design</t>
        </is>
      </c>
      <c r="C7" s="46" t="inlineStr">
        <is>
          <t>Design Terraform Cloud/Enterprise architecture and deployment</t>
        </is>
      </c>
      <c r="D7" s="46" t="inlineStr">
        <is>
          <t>EO Engineer</t>
        </is>
      </c>
      <c r="E7" s="47" t="n">
        <v>48</v>
      </c>
      <c r="F7" s="48" t="n">
        <v>1</v>
      </c>
      <c r="G7" s="49">
        <f>$E7*$F7</f>
        <v/>
      </c>
      <c r="H7" s="50" t="n">
        <v>200</v>
      </c>
      <c r="I7" s="49">
        <f>TEXT($G7*$H7,"$#,##0")</f>
        <v/>
      </c>
      <c r="J7" s="46" t="inlineStr"/>
      <c r="K7" s="46" t="inlineStr">
        <is>
          <t>Includes workspace organization state management and HA design</t>
        </is>
      </c>
    </row>
    <row r="8" ht="26" customHeight="1">
      <c r="A8" s="51" t="inlineStr">
        <is>
          <t>Planning</t>
        </is>
      </c>
      <c r="B8" s="52" t="inlineStr">
        <is>
          <t>Vault Architecture Design</t>
        </is>
      </c>
      <c r="C8" s="52" t="inlineStr">
        <is>
          <t>Design HashiCorp Vault secrets management architecture</t>
        </is>
      </c>
      <c r="D8" s="52" t="inlineStr">
        <is>
          <t>EO Engineer</t>
        </is>
      </c>
      <c r="E8" s="53" t="n">
        <v>32</v>
      </c>
      <c r="F8" s="54" t="n">
        <v>1</v>
      </c>
      <c r="G8" s="55">
        <f>$E8*$F8</f>
        <v/>
      </c>
      <c r="H8" s="56" t="n">
        <v>180</v>
      </c>
      <c r="I8" s="55">
        <f>TEXT($G8*$H8,"$#,##0")</f>
        <v/>
      </c>
      <c r="J8" s="52" t="inlineStr"/>
      <c r="K8" s="52" t="inlineStr">
        <is>
          <t>Includes auth methods secrets engines and multi-cloud integration</t>
        </is>
      </c>
    </row>
    <row r="9" ht="26" customHeight="1">
      <c r="A9" s="45" t="inlineStr">
        <is>
          <t>Planning</t>
        </is>
      </c>
      <c r="B9" s="46" t="inlineStr">
        <is>
          <t>Consul Architecture Design</t>
        </is>
      </c>
      <c r="C9" s="46" t="inlineStr">
        <is>
          <t>Design HashiCorp Consul service mesh and discovery architecture</t>
        </is>
      </c>
      <c r="D9" s="46" t="inlineStr">
        <is>
          <t>EO Engineer</t>
        </is>
      </c>
      <c r="E9" s="47" t="n">
        <v>24</v>
      </c>
      <c r="F9" s="48" t="n">
        <v>1</v>
      </c>
      <c r="G9" s="49">
        <f>$E9*$F9</f>
        <v/>
      </c>
      <c r="H9" s="50" t="n">
        <v>175</v>
      </c>
      <c r="I9" s="49">
        <f>TEXT($G9*$H9,"$#,##0")</f>
        <v/>
      </c>
      <c r="J9" s="46" t="inlineStr"/>
      <c r="K9" s="46" t="inlineStr">
        <is>
          <t>Includes service mesh networking and cross-cloud connectivity</t>
        </is>
      </c>
    </row>
    <row r="10" ht="26" customHeight="1">
      <c r="A10" s="51" t="inlineStr">
        <is>
          <t>Planning</t>
        </is>
      </c>
      <c r="B10" s="52" t="inlineStr">
        <is>
          <t>Network Architecture Design</t>
        </is>
      </c>
      <c r="C10" s="52" t="inlineStr">
        <is>
          <t>Design multi-cloud networking VPN and connectivity</t>
        </is>
      </c>
      <c r="D10" s="52" t="inlineStr">
        <is>
          <t>EO Engineer</t>
        </is>
      </c>
      <c r="E10" s="53" t="n">
        <v>24</v>
      </c>
      <c r="F10" s="54" t="n">
        <v>1</v>
      </c>
      <c r="G10" s="55">
        <f>$E10*$F10</f>
        <v/>
      </c>
      <c r="H10" s="56" t="n">
        <v>175</v>
      </c>
      <c r="I10" s="55">
        <f>TEXT($G10*$H10,"$#,##0")</f>
        <v/>
      </c>
      <c r="J10" s="52" t="inlineStr"/>
      <c r="K10" s="52" t="inlineStr">
        <is>
          <t>Includes VPC/VNet peering VPN and network security</t>
        </is>
      </c>
    </row>
    <row r="11" ht="26" customHeight="1">
      <c r="A11" s="45" t="inlineStr">
        <is>
          <t>Planning</t>
        </is>
      </c>
      <c r="B11" s="46" t="inlineStr">
        <is>
          <t>Migration Planning</t>
        </is>
      </c>
      <c r="C11" s="46" t="inlineStr">
        <is>
          <t>Develop Terraform state migration and workspace transition plan</t>
        </is>
      </c>
      <c r="D11" s="46" t="inlineStr">
        <is>
          <t>EO Engineer</t>
        </is>
      </c>
      <c r="E11" s="47" t="n">
        <v>24</v>
      </c>
      <c r="F11" s="48" t="n">
        <v>1</v>
      </c>
      <c r="G11" s="49">
        <f>$E11*$F11</f>
        <v/>
      </c>
      <c r="H11" s="50" t="n">
        <v>140</v>
      </c>
      <c r="I11" s="49">
        <f>TEXT($G11*$H11,"$#,##0")</f>
        <v/>
      </c>
      <c r="J11" s="46" t="inlineStr"/>
      <c r="K11" s="46" t="inlineStr">
        <is>
          <t>Plan for migrating existing Terraform to centralized platform</t>
        </is>
      </c>
    </row>
    <row r="12" ht="26" customHeight="1">
      <c r="A12" s="51" t="inlineStr">
        <is>
          <t>Planning</t>
        </is>
      </c>
      <c r="B12" s="52" t="inlineStr">
        <is>
          <t>Policy Development</t>
        </is>
      </c>
      <c r="C12" s="52" t="inlineStr">
        <is>
          <t>Design Sentinel policies for security cost and compliance</t>
        </is>
      </c>
      <c r="D12" s="52" t="inlineStr">
        <is>
          <t>EO Engineer</t>
        </is>
      </c>
      <c r="E12" s="53" t="n">
        <v>32</v>
      </c>
      <c r="F12" s="54" t="n">
        <v>1</v>
      </c>
      <c r="G12" s="55">
        <f>$E12*$F12</f>
        <v/>
      </c>
      <c r="H12" s="56" t="n">
        <v>150</v>
      </c>
      <c r="I12" s="55">
        <f>TEXT($G12*$H12,"$#,##0")</f>
        <v/>
      </c>
      <c r="J12" s="52" t="inlineStr"/>
      <c r="K12" s="52" t="inlineStr">
        <is>
          <t>Develop policy as code framework and governance rules</t>
        </is>
      </c>
    </row>
    <row r="13" ht="26" customHeight="1">
      <c r="A13" s="45" t="inlineStr">
        <is>
          <t>Development</t>
        </is>
      </c>
      <c r="B13" s="46" t="inlineStr">
        <is>
          <t>Terraform Cloud Setup</t>
        </is>
      </c>
      <c r="C13" s="46" t="inlineStr">
        <is>
          <t>Deploy and configure Terraform Cloud/Enterprise platform</t>
        </is>
      </c>
      <c r="D13" s="46" t="inlineStr">
        <is>
          <t>EO Engineer</t>
        </is>
      </c>
      <c r="E13" s="47" t="n">
        <v>48</v>
      </c>
      <c r="F13" s="48" t="n">
        <v>1</v>
      </c>
      <c r="G13" s="49">
        <f>$E13*$F13</f>
        <v/>
      </c>
      <c r="H13" s="50" t="n">
        <v>160</v>
      </c>
      <c r="I13" s="49">
        <f>TEXT($G13*$H13,"$#,##0")</f>
        <v/>
      </c>
      <c r="J13" s="46" t="inlineStr"/>
      <c r="K13" s="46" t="inlineStr">
        <is>
          <t>Includes Kubernetes deployment database setup and HA configuration</t>
        </is>
      </c>
    </row>
    <row r="14" ht="26" customHeight="1">
      <c r="A14" s="51" t="inlineStr">
        <is>
          <t>Development</t>
        </is>
      </c>
      <c r="B14" s="52" t="inlineStr">
        <is>
          <t>Workspace Migration</t>
        </is>
      </c>
      <c r="C14" s="52" t="inlineStr">
        <is>
          <t>Migrate Terraform workspaces and state to centralized platform</t>
        </is>
      </c>
      <c r="D14" s="52" t="inlineStr">
        <is>
          <t>EO Engineer</t>
        </is>
      </c>
      <c r="E14" s="53" t="n">
        <v>60</v>
      </c>
      <c r="F14" s="54" t="n">
        <v>1</v>
      </c>
      <c r="G14" s="55">
        <f>$E14*$F14</f>
        <v/>
      </c>
      <c r="H14" s="56" t="n">
        <v>145</v>
      </c>
      <c r="I14" s="55">
        <f>TEXT($G14*$H14,"$#,##0")</f>
        <v/>
      </c>
      <c r="J14" s="52" t="inlineStr"/>
      <c r="K14" s="52" t="inlineStr">
        <is>
          <t>Customer must provide existing Terraform code and state files</t>
        </is>
      </c>
    </row>
    <row r="15" ht="26" customHeight="1">
      <c r="A15" s="45" t="inlineStr">
        <is>
          <t>Development</t>
        </is>
      </c>
      <c r="B15" s="46" t="inlineStr">
        <is>
          <t>Vault Implementation</t>
        </is>
      </c>
      <c r="C15" s="46" t="inlineStr">
        <is>
          <t>Deploy HashiCorp Vault and configure secrets management</t>
        </is>
      </c>
      <c r="D15" s="46" t="inlineStr">
        <is>
          <t>EO Engineer</t>
        </is>
      </c>
      <c r="E15" s="47" t="n">
        <v>40</v>
      </c>
      <c r="F15" s="48" t="n">
        <v>1</v>
      </c>
      <c r="G15" s="49">
        <f>$E15*$F15</f>
        <v/>
      </c>
      <c r="H15" s="50" t="n">
        <v>160</v>
      </c>
      <c r="I15" s="49">
        <f>TEXT($G15*$H15,"$#,##0")</f>
        <v/>
      </c>
      <c r="J15" s="46" t="inlineStr"/>
      <c r="K15" s="46" t="inlineStr">
        <is>
          <t>Includes Vault cluster deployment unsealing and auth configuration</t>
        </is>
      </c>
    </row>
    <row r="16" ht="26" customHeight="1">
      <c r="A16" s="51" t="inlineStr">
        <is>
          <t>Development</t>
        </is>
      </c>
      <c r="B16" s="52" t="inlineStr">
        <is>
          <t>Vault Integration</t>
        </is>
      </c>
      <c r="C16" s="52" t="inlineStr">
        <is>
          <t>Integrate Vault with Terraform and cloud providers</t>
        </is>
      </c>
      <c r="D16" s="52" t="inlineStr">
        <is>
          <t>EO Engineer</t>
        </is>
      </c>
      <c r="E16" s="53" t="n">
        <v>32</v>
      </c>
      <c r="F16" s="54" t="n">
        <v>1</v>
      </c>
      <c r="G16" s="55">
        <f>$E16*$F16</f>
        <v/>
      </c>
      <c r="H16" s="56" t="n">
        <v>150</v>
      </c>
      <c r="I16" s="55">
        <f>TEXT($G16*$H16,"$#,##0")</f>
        <v/>
      </c>
      <c r="J16" s="52" t="inlineStr"/>
      <c r="K16" s="52" t="inlineStr">
        <is>
          <t>Configure dynamic credentials for AWS Azure GCP</t>
        </is>
      </c>
    </row>
    <row r="17" ht="26" customHeight="1">
      <c r="A17" s="45" t="inlineStr">
        <is>
          <t>Development</t>
        </is>
      </c>
      <c r="B17" s="46" t="inlineStr">
        <is>
          <t>Consul Deployment</t>
        </is>
      </c>
      <c r="C17" s="46" t="inlineStr">
        <is>
          <t>Deploy HashiCorp Consul service mesh across clouds</t>
        </is>
      </c>
      <c r="D17" s="46" t="inlineStr">
        <is>
          <t>EO Engineer</t>
        </is>
      </c>
      <c r="E17" s="47" t="n">
        <v>32</v>
      </c>
      <c r="F17" s="48" t="n">
        <v>1</v>
      </c>
      <c r="G17" s="49">
        <f>$E17*$F17</f>
        <v/>
      </c>
      <c r="H17" s="50" t="n">
        <v>145</v>
      </c>
      <c r="I17" s="49">
        <f>TEXT($G17*$H17,"$#,##0")</f>
        <v/>
      </c>
      <c r="J17" s="46" t="inlineStr"/>
      <c r="K17" s="46" t="inlineStr">
        <is>
          <t>Includes Consul server deployment and agent configuration</t>
        </is>
      </c>
    </row>
    <row r="18" ht="26" customHeight="1">
      <c r="A18" s="51" t="inlineStr">
        <is>
          <t>Development</t>
        </is>
      </c>
      <c r="B18" s="52" t="inlineStr">
        <is>
          <t>Policy Implementation</t>
        </is>
      </c>
      <c r="C18" s="52" t="inlineStr">
        <is>
          <t>Implement Sentinel policies and governance controls</t>
        </is>
      </c>
      <c r="D18" s="52" t="inlineStr">
        <is>
          <t>EO Engineer</t>
        </is>
      </c>
      <c r="E18" s="53" t="n">
        <v>40</v>
      </c>
      <c r="F18" s="54" t="n">
        <v>1</v>
      </c>
      <c r="G18" s="55">
        <f>$E18*$F18</f>
        <v/>
      </c>
      <c r="H18" s="56" t="n">
        <v>140</v>
      </c>
      <c r="I18" s="55">
        <f>TEXT($G18*$H18,"$#,##0")</f>
        <v/>
      </c>
      <c r="J18" s="52" t="inlineStr"/>
      <c r="K18" s="52" t="inlineStr">
        <is>
          <t>Deploy security cost and compliance policies</t>
        </is>
      </c>
    </row>
    <row r="19" ht="26" customHeight="1">
      <c r="A19" s="45" t="inlineStr">
        <is>
          <t>Development</t>
        </is>
      </c>
      <c r="B19" s="46" t="inlineStr">
        <is>
          <t>VCS Integration</t>
        </is>
      </c>
      <c r="C19" s="46" t="inlineStr">
        <is>
          <t>Configure GitHub/GitLab integration and webhooks</t>
        </is>
      </c>
      <c r="D19" s="46" t="inlineStr">
        <is>
          <t>EO Engineer</t>
        </is>
      </c>
      <c r="E19" s="47" t="n">
        <v>24</v>
      </c>
      <c r="F19" s="48" t="n">
        <v>1</v>
      </c>
      <c r="G19" s="49">
        <f>$E19*$F19</f>
        <v/>
      </c>
      <c r="H19" s="50" t="n">
        <v>140</v>
      </c>
      <c r="I19" s="49">
        <f>TEXT($G19*$H19,"$#,##0")</f>
        <v/>
      </c>
      <c r="J19" s="46" t="inlineStr"/>
      <c r="K19" s="46" t="inlineStr">
        <is>
          <t>Setup GitOps workflow and PR automation</t>
        </is>
      </c>
    </row>
    <row r="20" ht="26" customHeight="1">
      <c r="A20" s="51" t="inlineStr">
        <is>
          <t>Development</t>
        </is>
      </c>
      <c r="B20" s="52" t="inlineStr">
        <is>
          <t>CI/CD Integration</t>
        </is>
      </c>
      <c r="C20" s="52" t="inlineStr">
        <is>
          <t>Integrate platform with CI/CD pipelines</t>
        </is>
      </c>
      <c r="D20" s="52" t="inlineStr">
        <is>
          <t>EO Engineer</t>
        </is>
      </c>
      <c r="E20" s="53" t="n">
        <v>24</v>
      </c>
      <c r="F20" s="54" t="n">
        <v>1</v>
      </c>
      <c r="G20" s="55">
        <f>$E20*$F20</f>
        <v/>
      </c>
      <c r="H20" s="56" t="n">
        <v>135</v>
      </c>
      <c r="I20" s="55">
        <f>TEXT($G20*$H20,"$#,##0")</f>
        <v/>
      </c>
      <c r="J20" s="52" t="inlineStr"/>
      <c r="K20" s="52" t="inlineStr">
        <is>
          <t>Connect to Jenkins GitHub Actions GitLab CI</t>
        </is>
      </c>
    </row>
    <row r="21" ht="26" customHeight="1">
      <c r="A21" s="45" t="inlineStr">
        <is>
          <t>Development</t>
        </is>
      </c>
      <c r="B21" s="46" t="inlineStr">
        <is>
          <t>Monitoring Setup</t>
        </is>
      </c>
      <c r="C21" s="46" t="inlineStr">
        <is>
          <t>Configure monitoring logging and alerting</t>
        </is>
      </c>
      <c r="D21" s="46" t="inlineStr">
        <is>
          <t>EO Engineer</t>
        </is>
      </c>
      <c r="E21" s="47" t="n">
        <v>32</v>
      </c>
      <c r="F21" s="48" t="n">
        <v>1</v>
      </c>
      <c r="G21" s="49">
        <f>$E21*$F21</f>
        <v/>
      </c>
      <c r="H21" s="50" t="n">
        <v>130</v>
      </c>
      <c r="I21" s="49">
        <f>TEXT($G21*$H21,"$#,##0")</f>
        <v/>
      </c>
      <c r="J21" s="46" t="inlineStr"/>
      <c r="K21" s="46" t="inlineStr">
        <is>
          <t>Integrate with Datadog CloudWatch and Azure Monitor</t>
        </is>
      </c>
    </row>
    <row r="22" ht="26" customHeight="1">
      <c r="A22" s="51" t="inlineStr">
        <is>
          <t>Testing</t>
        </is>
      </c>
      <c r="B22" s="52" t="inlineStr">
        <is>
          <t>Unit Testing</t>
        </is>
      </c>
      <c r="C22" s="52" t="inlineStr">
        <is>
          <t>Develop automated tests for platform components</t>
        </is>
      </c>
      <c r="D22" s="52" t="inlineStr">
        <is>
          <t>EO Engineer</t>
        </is>
      </c>
      <c r="E22" s="53" t="n">
        <v>32</v>
      </c>
      <c r="F22" s="54" t="n">
        <v>1</v>
      </c>
      <c r="G22" s="55">
        <f>$E22*$F22</f>
        <v/>
      </c>
      <c r="H22" s="56" t="n">
        <v>120</v>
      </c>
      <c r="I22" s="55">
        <f>TEXT($G22*$H22,"$#,##0")</f>
        <v/>
      </c>
      <c r="J22" s="52" t="inlineStr"/>
      <c r="K22" s="52" t="inlineStr">
        <is>
          <t>Test Terraform modules and infrastructure code</t>
        </is>
      </c>
    </row>
    <row r="23" ht="26" customHeight="1">
      <c r="A23" s="45" t="inlineStr">
        <is>
          <t>Testing</t>
        </is>
      </c>
      <c r="B23" s="46" t="inlineStr">
        <is>
          <t>Integration Testing</t>
        </is>
      </c>
      <c r="C23" s="46" t="inlineStr">
        <is>
          <t>Test multi-cloud provisioning and cross-cloud connectivity</t>
        </is>
      </c>
      <c r="D23" s="46" t="inlineStr">
        <is>
          <t>EO Engineer</t>
        </is>
      </c>
      <c r="E23" s="47" t="n">
        <v>40</v>
      </c>
      <c r="F23" s="48" t="n">
        <v>1</v>
      </c>
      <c r="G23" s="49">
        <f>$E23*$F23</f>
        <v/>
      </c>
      <c r="H23" s="50" t="n">
        <v>120</v>
      </c>
      <c r="I23" s="49">
        <f>TEXT($G23*$H23,"$#,##0")</f>
        <v/>
      </c>
      <c r="J23" s="46" t="inlineStr"/>
      <c r="K23" s="46" t="inlineStr">
        <is>
          <t>End-to-end testing across AWS Azure GCP</t>
        </is>
      </c>
    </row>
    <row r="24" ht="26" customHeight="1">
      <c r="A24" s="51" t="inlineStr">
        <is>
          <t>Testing</t>
        </is>
      </c>
      <c r="B24" s="52" t="inlineStr">
        <is>
          <t>Policy Testing</t>
        </is>
      </c>
      <c r="C24" s="52" t="inlineStr">
        <is>
          <t>Validate Sentinel policies and governance enforcement</t>
        </is>
      </c>
      <c r="D24" s="52" t="inlineStr">
        <is>
          <t>EO Engineer</t>
        </is>
      </c>
      <c r="E24" s="53" t="n">
        <v>24</v>
      </c>
      <c r="F24" s="54" t="n">
        <v>1</v>
      </c>
      <c r="G24" s="55">
        <f>$E24*$F24</f>
        <v/>
      </c>
      <c r="H24" s="56" t="n">
        <v>125</v>
      </c>
      <c r="I24" s="55">
        <f>TEXT($G24*$H24,"$#,##0")</f>
        <v/>
      </c>
      <c r="J24" s="52" t="inlineStr"/>
      <c r="K24" s="52" t="inlineStr">
        <is>
          <t>Test security cost and compliance policy rules</t>
        </is>
      </c>
    </row>
    <row r="25" ht="26" customHeight="1">
      <c r="A25" s="45" t="inlineStr">
        <is>
          <t>Testing</t>
        </is>
      </c>
      <c r="B25" s="46" t="inlineStr">
        <is>
          <t>Security Testing</t>
        </is>
      </c>
      <c r="C25" s="46" t="inlineStr">
        <is>
          <t>Perform security assessments and compliance validation</t>
        </is>
      </c>
      <c r="D25" s="46" t="inlineStr">
        <is>
          <t>EO Engineer</t>
        </is>
      </c>
      <c r="E25" s="47" t="n">
        <v>16</v>
      </c>
      <c r="F25" s="48" t="n">
        <v>1</v>
      </c>
      <c r="G25" s="49">
        <f>$E25*$F25</f>
        <v/>
      </c>
      <c r="H25" s="50" t="n">
        <v>175</v>
      </c>
      <c r="I25" s="49">
        <f>TEXT($G25*$H25,"$#,##0")</f>
        <v/>
      </c>
      <c r="J25" s="46" t="inlineStr"/>
      <c r="K25" s="46" t="inlineStr">
        <is>
          <t>Vault security Consul mTLS and RBAC testing</t>
        </is>
      </c>
    </row>
    <row r="26" ht="26" customHeight="1">
      <c r="A26" s="51" t="inlineStr">
        <is>
          <t>Testing</t>
        </is>
      </c>
      <c r="B26" s="52" t="inlineStr">
        <is>
          <t>Performance Testing</t>
        </is>
      </c>
      <c r="C26" s="52" t="inlineStr">
        <is>
          <t>Conduct platform performance and scalability testing</t>
        </is>
      </c>
      <c r="D26" s="52" t="inlineStr">
        <is>
          <t>EO Engineer</t>
        </is>
      </c>
      <c r="E26" s="53" t="n">
        <v>24</v>
      </c>
      <c r="F26" s="54" t="n">
        <v>1</v>
      </c>
      <c r="G26" s="55">
        <f>$E26*$F26</f>
        <v/>
      </c>
      <c r="H26" s="56" t="n">
        <v>140</v>
      </c>
      <c r="I26" s="55">
        <f>TEXT($G26*$H26,"$#,##0")</f>
        <v/>
      </c>
      <c r="J26" s="52" t="inlineStr"/>
      <c r="K26" s="52" t="inlineStr">
        <is>
          <t>Test concurrent runs workspace performance state operations</t>
        </is>
      </c>
    </row>
    <row r="27" ht="26" customHeight="1">
      <c r="A27" s="45" t="inlineStr">
        <is>
          <t>Testing</t>
        </is>
      </c>
      <c r="B27" s="46" t="inlineStr">
        <is>
          <t>User Acceptance Testing</t>
        </is>
      </c>
      <c r="C27" s="46" t="inlineStr">
        <is>
          <t>Coordinate UAT with platform users and teams</t>
        </is>
      </c>
      <c r="D27" s="46" t="inlineStr">
        <is>
          <t>EO Engineer</t>
        </is>
      </c>
      <c r="E27" s="47" t="n">
        <v>32</v>
      </c>
      <c r="F27" s="48" t="n">
        <v>1</v>
      </c>
      <c r="G27" s="49">
        <f>$E27*$F27</f>
        <v/>
      </c>
      <c r="H27" s="50" t="n">
        <v>150</v>
      </c>
      <c r="I27" s="49">
        <f>TEXT($G27*$H27,"$#,##0")</f>
        <v/>
      </c>
      <c r="J27" s="46" t="inlineStr"/>
      <c r="K27" s="46" t="inlineStr">
        <is>
          <t>Infrastructure teams test self-service workflows</t>
        </is>
      </c>
    </row>
    <row r="28" ht="26" customHeight="1">
      <c r="A28" s="51" t="inlineStr">
        <is>
          <t>Deployment</t>
        </is>
      </c>
      <c r="B28" s="52" t="inlineStr">
        <is>
          <t>Production Deployment</t>
        </is>
      </c>
      <c r="C28" s="52" t="inlineStr">
        <is>
          <t>Deploy platform to production with monitoring</t>
        </is>
      </c>
      <c r="D28" s="52" t="inlineStr">
        <is>
          <t>EO Engineer</t>
        </is>
      </c>
      <c r="E28" s="53" t="n">
        <v>24</v>
      </c>
      <c r="F28" s="54" t="n">
        <v>1</v>
      </c>
      <c r="G28" s="55">
        <f>$E28*$F28</f>
        <v/>
      </c>
      <c r="H28" s="56" t="n">
        <v>160</v>
      </c>
      <c r="I28" s="55">
        <f>TEXT($G28*$H28,"$#,##0")</f>
        <v/>
      </c>
      <c r="J28" s="52" t="inlineStr"/>
      <c r="K28" s="52" t="inlineStr">
        <is>
          <t>Production cutover and validation</t>
        </is>
      </c>
    </row>
    <row r="29" ht="26" customHeight="1">
      <c r="A29" s="45" t="inlineStr">
        <is>
          <t>Deployment</t>
        </is>
      </c>
      <c r="B29" s="46" t="inlineStr">
        <is>
          <t>Production Migration</t>
        </is>
      </c>
      <c r="C29" s="46" t="inlineStr">
        <is>
          <t>Migrate production workspaces to new platform</t>
        </is>
      </c>
      <c r="D29" s="46" t="inlineStr">
        <is>
          <t>EO Engineer</t>
        </is>
      </c>
      <c r="E29" s="47" t="n">
        <v>40</v>
      </c>
      <c r="F29" s="48" t="n">
        <v>1</v>
      </c>
      <c r="G29" s="49">
        <f>$E29*$F29</f>
        <v/>
      </c>
      <c r="H29" s="50" t="n">
        <v>150</v>
      </c>
      <c r="I29" s="49">
        <f>TEXT($G29*$H29,"$#,##0")</f>
        <v/>
      </c>
      <c r="J29" s="46" t="inlineStr"/>
      <c r="K29" s="46" t="inlineStr">
        <is>
          <t>Critical path for production infrastructure</t>
        </is>
      </c>
    </row>
    <row r="30" ht="26" customHeight="1">
      <c r="A30" s="51" t="inlineStr">
        <is>
          <t>Deployment</t>
        </is>
      </c>
      <c r="B30" s="52" t="inlineStr">
        <is>
          <t>Go-Live Support</t>
        </is>
      </c>
      <c r="C30" s="52" t="inlineStr">
        <is>
          <t>Provide comprehensive support during platform launch</t>
        </is>
      </c>
      <c r="D30" s="52" t="inlineStr">
        <is>
          <t>EO Engineer</t>
        </is>
      </c>
      <c r="E30" s="53" t="n">
        <v>48</v>
      </c>
      <c r="F30" s="54" t="n">
        <v>1</v>
      </c>
      <c r="G30" s="55">
        <f>$E30*$F30</f>
        <v/>
      </c>
      <c r="H30" s="56" t="n">
        <v>110</v>
      </c>
      <c r="I30" s="55">
        <f>TEXT($G30*$H30,"$#,##0")</f>
        <v/>
      </c>
      <c r="J30" s="52" t="inlineStr"/>
      <c r="K30" s="52" t="inlineStr">
        <is>
          <t>24/7 support for initial production period</t>
        </is>
      </c>
    </row>
    <row r="31" ht="26" customHeight="1">
      <c r="A31" s="45" t="inlineStr">
        <is>
          <t>Training</t>
        </is>
      </c>
      <c r="B31" s="46" t="inlineStr">
        <is>
          <t>Platform Training</t>
        </is>
      </c>
      <c r="C31" s="46" t="inlineStr">
        <is>
          <t>Train users on Terraform Cloud/Enterprise platform</t>
        </is>
      </c>
      <c r="D31" s="46" t="inlineStr">
        <is>
          <t>EO Engineer</t>
        </is>
      </c>
      <c r="E31" s="47" t="n">
        <v>24</v>
      </c>
      <c r="F31" s="48" t="n">
        <v>1</v>
      </c>
      <c r="G31" s="49">
        <f>$E31*$F31</f>
        <v/>
      </c>
      <c r="H31" s="50" t="n">
        <v>130</v>
      </c>
      <c r="I31" s="49">
        <f>TEXT($G31*$H31,"$#,##0")</f>
        <v/>
      </c>
      <c r="J31" s="46" t="inlineStr"/>
      <c r="K31" s="46" t="inlineStr">
        <is>
          <t>Workspace management state operations</t>
        </is>
      </c>
    </row>
    <row r="32" ht="26" customHeight="1">
      <c r="A32" s="51" t="inlineStr">
        <is>
          <t>Training</t>
        </is>
      </c>
      <c r="B32" s="52" t="inlineStr">
        <is>
          <t>Vault Training</t>
        </is>
      </c>
      <c r="C32" s="52" t="inlineStr">
        <is>
          <t>Train teams on HashiCorp Vault secrets management</t>
        </is>
      </c>
      <c r="D32" s="52" t="inlineStr">
        <is>
          <t>EO Engineer</t>
        </is>
      </c>
      <c r="E32" s="53" t="n">
        <v>16</v>
      </c>
      <c r="F32" s="54" t="n">
        <v>1</v>
      </c>
      <c r="G32" s="55">
        <f>$E32*$F32</f>
        <v/>
      </c>
      <c r="H32" s="56" t="n">
        <v>130</v>
      </c>
      <c r="I32" s="55">
        <f>TEXT($G32*$H32,"$#,##0")</f>
        <v/>
      </c>
      <c r="J32" s="52" t="inlineStr"/>
      <c r="K32" s="52" t="inlineStr">
        <is>
          <t>Secrets retrieval dynamic credentials</t>
        </is>
      </c>
    </row>
    <row r="33" ht="26" customHeight="1">
      <c r="A33" s="45" t="inlineStr">
        <is>
          <t>Training</t>
        </is>
      </c>
      <c r="B33" s="46" t="inlineStr">
        <is>
          <t>Policy Training</t>
        </is>
      </c>
      <c r="C33" s="46" t="inlineStr">
        <is>
          <t>Train teams on Sentinel policy development</t>
        </is>
      </c>
      <c r="D33" s="46" t="inlineStr">
        <is>
          <t>EO Engineer</t>
        </is>
      </c>
      <c r="E33" s="47" t="n">
        <v>16</v>
      </c>
      <c r="F33" s="48" t="n">
        <v>1</v>
      </c>
      <c r="G33" s="49">
        <f>$E33*$F33</f>
        <v/>
      </c>
      <c r="H33" s="50" t="n">
        <v>120</v>
      </c>
      <c r="I33" s="49">
        <f>TEXT($G33*$H33,"$#,##0")</f>
        <v/>
      </c>
      <c r="J33" s="46" t="inlineStr"/>
      <c r="K33" s="46" t="inlineStr">
        <is>
          <t>Policy as code development and testing</t>
        </is>
      </c>
    </row>
    <row r="34" ht="26" customHeight="1">
      <c r="A34" s="51" t="inlineStr">
        <is>
          <t>Training</t>
        </is>
      </c>
      <c r="B34" s="52" t="inlineStr">
        <is>
          <t>Administrator Training</t>
        </is>
      </c>
      <c r="C34" s="52" t="inlineStr">
        <is>
          <t>Train platform administrators on operations</t>
        </is>
      </c>
      <c r="D34" s="52" t="inlineStr">
        <is>
          <t>EO Engineer</t>
        </is>
      </c>
      <c r="E34" s="53" t="n">
        <v>24</v>
      </c>
      <c r="F34" s="54" t="n">
        <v>1</v>
      </c>
      <c r="G34" s="55">
        <f>$E34*$F34</f>
        <v/>
      </c>
      <c r="H34" s="56" t="n">
        <v>140</v>
      </c>
      <c r="I34" s="55">
        <f>TEXT($G34*$H34,"$#,##0")</f>
        <v/>
      </c>
      <c r="J34" s="52" t="inlineStr"/>
      <c r="K34" s="52" t="inlineStr">
        <is>
          <t>Platform maintenance troubleshooting upgrades</t>
        </is>
      </c>
    </row>
    <row r="35" ht="26" customHeight="1">
      <c r="A35" s="45" t="inlineStr">
        <is>
          <t>Training</t>
        </is>
      </c>
      <c r="B35" s="46" t="inlineStr">
        <is>
          <t>Documentation</t>
        </is>
      </c>
      <c r="C35" s="46" t="inlineStr">
        <is>
          <t>Create comprehensive platform and operational documentation</t>
        </is>
      </c>
      <c r="D35" s="46" t="inlineStr">
        <is>
          <t>EO Engineer</t>
        </is>
      </c>
      <c r="E35" s="47" t="n">
        <v>32</v>
      </c>
      <c r="F35" s="48" t="n">
        <v>1</v>
      </c>
      <c r="G35" s="49">
        <f>$E35*$F35</f>
        <v/>
      </c>
      <c r="H35" s="50" t="n">
        <v>110</v>
      </c>
      <c r="I35" s="49">
        <f>TEXT($G35*$H35,"$#,##0")</f>
        <v/>
      </c>
      <c r="J35" s="46" t="inlineStr"/>
      <c r="K35" s="46" t="inlineStr">
        <is>
          <t>Runbooks troubleshooting guides best practices</t>
        </is>
      </c>
    </row>
    <row r="36" ht="26" customHeight="1">
      <c r="A36" s="51" t="inlineStr">
        <is>
          <t>Closeout</t>
        </is>
      </c>
      <c r="B36" s="52" t="inlineStr">
        <is>
          <t>Knowledge Transfer</t>
        </is>
      </c>
      <c r="C36" s="52" t="inlineStr">
        <is>
          <t>Transfer platform ownership to operations team</t>
        </is>
      </c>
      <c r="D36" s="52" t="inlineStr">
        <is>
          <t>EO Engineer</t>
        </is>
      </c>
      <c r="E36" s="53" t="n">
        <v>16</v>
      </c>
      <c r="F36" s="54" t="n">
        <v>1</v>
      </c>
      <c r="G36" s="55">
        <f>$E36*$F36</f>
        <v/>
      </c>
      <c r="H36" s="56" t="n">
        <v>140</v>
      </c>
      <c r="I36" s="55">
        <f>TEXT($G36*$H36,"$#,##0")</f>
        <v/>
      </c>
      <c r="J36" s="52" t="inlineStr"/>
      <c r="K36" s="52" t="inlineStr">
        <is>
          <t>Operational procedures escalation maintenance</t>
        </is>
      </c>
    </row>
    <row r="37" ht="26" customHeight="1">
      <c r="A37" s="45" t="inlineStr">
        <is>
          <t>Closeout</t>
        </is>
      </c>
      <c r="B37" s="46" t="inlineStr">
        <is>
          <t>Performance Baseline</t>
        </is>
      </c>
      <c r="C37" s="46" t="inlineStr">
        <is>
          <t>Establish platform performance metrics and SLAs</t>
        </is>
      </c>
      <c r="D37" s="46" t="inlineStr">
        <is>
          <t>EO Engineer</t>
        </is>
      </c>
      <c r="E37" s="47" t="n">
        <v>8</v>
      </c>
      <c r="F37" s="48" t="n">
        <v>1</v>
      </c>
      <c r="G37" s="49">
        <f>$E37*$F37</f>
        <v/>
      </c>
      <c r="H37" s="50" t="n">
        <v>130</v>
      </c>
      <c r="I37" s="49">
        <f>TEXT($G37*$H37,"$#,##0")</f>
        <v/>
      </c>
      <c r="J37" s="46" t="inlineStr"/>
      <c r="K37" s="46" t="inlineStr">
        <is>
          <t>KPI definition monitoring setup reporting</t>
        </is>
      </c>
    </row>
    <row r="38" ht="26" customHeight="1">
      <c r="A38" s="51" t="inlineStr">
        <is>
          <t>Management</t>
        </is>
      </c>
      <c r="B38" s="52" t="inlineStr">
        <is>
          <t>Project Management</t>
        </is>
      </c>
      <c r="C38" s="52" t="inlineStr">
        <is>
          <t>Project coordination and stakeholder management</t>
        </is>
      </c>
      <c r="D38" s="52" t="inlineStr">
        <is>
          <t>EO Project Manager</t>
        </is>
      </c>
      <c r="E38" s="55">
        <f>ROUND(SUM($G$38:$G$72)*0.10,0)</f>
        <v/>
      </c>
      <c r="F38" s="54" t="n">
        <v>1.5</v>
      </c>
      <c r="G38" s="55">
        <f>$E38*$F38</f>
        <v/>
      </c>
      <c r="H38" s="56" t="n">
        <v>150</v>
      </c>
      <c r="I38" s="55">
        <f>TEXT($G38*$H38,"$#,##0")</f>
        <v/>
      </c>
      <c r="J38" s="52" t="inlineStr"/>
      <c r="K38" s="52" t="inlineStr">
        <is>
          <t>10% of engineering effort with 1.5x multiplier</t>
        </is>
      </c>
    </row>
    <row r="39" ht="26" customHeight="1">
      <c r="A39" s="45" t="inlineStr">
        <is>
          <t>Leadership</t>
        </is>
      </c>
      <c r="B39" s="46" t="inlineStr">
        <is>
          <t>Technical Leadership</t>
        </is>
      </c>
      <c r="C39" s="46" t="inlineStr">
        <is>
          <t>Quarterback technical oversight and architecture review</t>
        </is>
      </c>
      <c r="D39" s="46" t="inlineStr">
        <is>
          <t>EO Quarterback</t>
        </is>
      </c>
      <c r="E39" s="49">
        <f>ROUND(SUM($G$38:$G$72)*0.10,0)</f>
        <v/>
      </c>
      <c r="F39" s="48" t="n">
        <v>1.5</v>
      </c>
      <c r="G39" s="49">
        <f>$E39*$F39</f>
        <v/>
      </c>
      <c r="H39" s="50" t="n">
        <v>180</v>
      </c>
      <c r="I39" s="49">
        <f>TEXT($G39*$H39,"$#,##0")</f>
        <v/>
      </c>
      <c r="J39" s="46" t="inlineStr"/>
      <c r="K39" s="46" t="inlineStr">
        <is>
          <t>10% of engineering effort with 1.5x multiplier</t>
        </is>
      </c>
    </row>
  </sheetData>
  <autoFilter ref="A2:K39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2025-11-22T19:57:29Z</dcterms:modified>
  <cp:lastModifiedBy>Kishan Siram</cp:lastModifiedBy>
</cp:coreProperties>
</file>