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ope Assumptions" sheetId="2" state="visible" r:id="rId2"/>
    <sheet xmlns:r="http://schemas.openxmlformats.org/officeDocument/2006/relationships" name="Estimate Settings" sheetId="3" state="visible" r:id="rId3"/>
    <sheet xmlns:r="http://schemas.openxmlformats.org/officeDocument/2006/relationships" name="LOE" sheetId="4" state="visible" r:id="rId4"/>
    <sheet xmlns:r="http://schemas.openxmlformats.org/officeDocument/2006/relationships" name="Credits" sheetId="5" state="visible" r:id="rId5"/>
  </sheets>
  <definedNames>
    <definedName name="_xlnm._FilterDatabase" localSheetId="1" hidden="1">'Scope Assumptions'!$A$2:$H$19</definedName>
    <definedName name="_xlnm._FilterDatabase" localSheetId="2" hidden="1">'Estimate Settings'!$A$2:$E$11</definedName>
    <definedName name="_xlnm._FilterDatabase" localSheetId="3" hidden="1">'LOE'!$A$2:$K$31</definedName>
    <definedName name="_xlnm._FilterDatabase" localSheetId="4" hidden="1">'Credits'!$A$2:$C$5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"/>
    <numFmt numFmtId="166" formatCode="$#,##0"/>
  </numFmts>
  <fonts count="21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00FF0000"/>
      <sz val="12"/>
    </font>
    <font>
      <name val="Calibri"/>
      <color rgb="FF2C3E50"/>
      <sz val="11"/>
    </font>
    <font>
      <name val="Calibri"/>
      <b val="1"/>
      <color rgb="FF2C3E50"/>
      <sz val="11"/>
    </font>
    <font>
      <name val="Calibri"/>
      <b val="1"/>
      <color rgb="FFCC0000"/>
      <sz val="11"/>
    </font>
  </fonts>
  <fills count="12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6" fillId="3" borderId="5" applyAlignment="1" pivotButton="0" quotePrefix="0" xfId="0">
      <alignment horizontal="center" vertical="center" wrapText="1"/>
    </xf>
    <xf numFmtId="0" fontId="15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15" fillId="11" borderId="5" applyAlignment="1" pivotButton="0" quotePrefix="0" xfId="0">
      <alignment horizontal="left" vertical="center" wrapText="1" indent="1"/>
    </xf>
    <xf numFmtId="0" fontId="2" fillId="11" borderId="5" applyAlignment="1" pivotButton="0" quotePrefix="0" xfId="0">
      <alignment horizontal="left" vertical="center" wrapText="1" indent="1"/>
    </xf>
    <xf numFmtId="165" fontId="2" fillId="4" borderId="5" applyAlignment="1" pivotButton="0" quotePrefix="0" xfId="0">
      <alignment horizontal="center" vertical="center" wrapText="1"/>
    </xf>
    <xf numFmtId="165" fontId="2" fillId="11" borderId="5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/>
    </xf>
    <xf numFmtId="0" fontId="19" fillId="4" borderId="5" applyAlignment="1" pivotButton="0" quotePrefix="0" xfId="0">
      <alignment horizontal="left" vertical="center" wrapText="1" indent="1"/>
    </xf>
    <xf numFmtId="0" fontId="18" fillId="4" borderId="5" applyAlignment="1" pivotButton="0" quotePrefix="0" xfId="0">
      <alignment horizontal="left" vertical="center" wrapText="1" indent="1"/>
    </xf>
    <xf numFmtId="3" fontId="18" fillId="4" borderId="5" applyAlignment="1" pivotButton="0" quotePrefix="0" xfId="0">
      <alignment horizontal="right" vertical="center" wrapText="1"/>
    </xf>
    <xf numFmtId="0" fontId="18" fillId="4" borderId="5" applyAlignment="1" pivotButton="0" quotePrefix="0" xfId="0">
      <alignment horizontal="center" vertical="center" wrapText="1"/>
    </xf>
    <xf numFmtId="0" fontId="18" fillId="4" borderId="5" applyAlignment="1" pivotButton="0" quotePrefix="0" xfId="0">
      <alignment horizontal="right" vertical="center" wrapText="1"/>
    </xf>
    <xf numFmtId="166" fontId="18" fillId="4" borderId="5" applyAlignment="1" pivotButton="0" quotePrefix="0" xfId="0">
      <alignment horizontal="right" vertical="center" wrapText="1"/>
    </xf>
    <xf numFmtId="0" fontId="19" fillId="11" borderId="5" applyAlignment="1" pivotButton="0" quotePrefix="0" xfId="0">
      <alignment horizontal="left" vertical="center" wrapText="1" indent="1"/>
    </xf>
    <xf numFmtId="0" fontId="18" fillId="11" borderId="5" applyAlignment="1" pivotButton="0" quotePrefix="0" xfId="0">
      <alignment horizontal="left" vertical="center" wrapText="1" indent="1"/>
    </xf>
    <xf numFmtId="3" fontId="18" fillId="11" borderId="5" applyAlignment="1" pivotButton="0" quotePrefix="0" xfId="0">
      <alignment horizontal="right" vertical="center" wrapText="1"/>
    </xf>
    <xf numFmtId="0" fontId="18" fillId="11" borderId="5" applyAlignment="1" pivotButton="0" quotePrefix="0" xfId="0">
      <alignment horizontal="center" vertical="center" wrapText="1"/>
    </xf>
    <xf numFmtId="0" fontId="18" fillId="11" borderId="5" applyAlignment="1" pivotButton="0" quotePrefix="0" xfId="0">
      <alignment horizontal="right" vertical="center" wrapText="1"/>
    </xf>
    <xf numFmtId="166" fontId="18" fillId="11" borderId="5" applyAlignment="1" pivotButton="0" quotePrefix="0" xfId="0">
      <alignment horizontal="right" vertical="center" wrapText="1"/>
    </xf>
    <xf numFmtId="0" fontId="20" fillId="5" borderId="5" applyAlignment="1" pivotButton="0" quotePrefix="0" xfId="0">
      <alignment horizontal="left" vertical="center" wrapText="1"/>
    </xf>
    <xf numFmtId="0" fontId="20" fillId="5" borderId="5" applyAlignment="1" pivotButton="0" quotePrefix="0" xfId="0">
      <alignment horizontal="right" vertical="center" wrapText="1"/>
    </xf>
    <xf numFmtId="166" fontId="2" fillId="4" borderId="5" applyAlignment="1" pivotButton="0" quotePrefix="0" xfId="0">
      <alignment horizontal="right" vertical="center" wrapText="1"/>
    </xf>
    <xf numFmtId="166" fontId="2" fillId="11" borderId="5" applyAlignment="1" pivotButton="0" quotePrefix="0" xfId="0">
      <alignment horizontal="right" vertical="center" wrapText="1"/>
    </xf>
    <xf numFmtId="0" fontId="5" fillId="5" borderId="5" applyAlignment="1" pivotButton="0" quotePrefix="0" xfId="0">
      <alignment horizontal="left" vertical="center" wrapText="1"/>
    </xf>
    <xf numFmtId="166" fontId="5" fillId="5" borderId="5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Level of Effort</t>
        </is>
      </c>
    </row>
    <row r="5" ht="30" customHeight="1">
      <c r="A5" t="inlineStr">
        <is>
          <t>JUNIPER - Network - Mist Ai Network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[Solution Name]</t>
        </is>
      </c>
    </row>
    <row r="8" ht="18" customHeight="1">
      <c r="B8" s="2" t="inlineStr">
        <is>
          <t>Customer:</t>
        </is>
      </c>
      <c r="C8" s="3" t="inlineStr">
        <is>
          <t>[Customer Name]</t>
        </is>
      </c>
    </row>
    <row r="9" ht="18" customHeight="1">
      <c r="B9" s="2" t="inlineStr">
        <is>
          <t>Version:</t>
        </is>
      </c>
      <c r="C9" s="3" t="inlineStr">
        <is>
          <t>1.0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33" customWidth="1" min="3" max="3"/>
    <col width="32" customWidth="1" min="4" max="4"/>
    <col width="32" customWidth="1" min="5" max="5"/>
    <col width="39" customWidth="1" min="6" max="6"/>
    <col width="44" customWidth="1" min="7" max="7"/>
  </cols>
  <sheetData>
    <row r="1" ht="32" customHeight="1">
      <c r="A1" s="35" t="inlineStr">
        <is>
          <t>SCOPE ASSUMPTIONS - BASELINE (MULTIPLIER 1.0)</t>
        </is>
      </c>
    </row>
    <row r="2" ht="32" customHeight="1">
      <c r="A2" s="36" t="inlineStr">
        <is>
          <t>Category</t>
        </is>
      </c>
      <c r="B2" s="36" t="inlineStr">
        <is>
          <t>Baseline Assumption</t>
        </is>
      </c>
      <c r="C2" s="36" t="inlineStr">
        <is>
          <t>Current Scope</t>
        </is>
      </c>
      <c r="D2" s="36" t="inlineStr">
        <is>
          <t>Small (1x)</t>
        </is>
      </c>
      <c r="E2" s="36" t="inlineStr">
        <is>
          <t>Medium (2x)</t>
        </is>
      </c>
      <c r="F2" s="36" t="inlineStr">
        <is>
          <t>Large (3x)</t>
        </is>
      </c>
      <c r="G2" s="36" t="inlineStr">
        <is>
          <t>Notes</t>
        </is>
      </c>
      <c r="H2" s="36" t="inlineStr"/>
    </row>
    <row r="3" ht="26" customHeight="1">
      <c r="A3" s="37" t="inlineStr">
        <is>
          <t>Solution Scope</t>
        </is>
      </c>
      <c r="B3" s="38" t="inlineStr">
        <is>
          <t>WiFi 6E Access Points</t>
        </is>
      </c>
      <c r="C3" s="39" t="inlineStr">
        <is>
          <t>50 Juniper AP45 APs</t>
        </is>
      </c>
      <c r="D3" s="38" t="inlineStr">
        <is>
          <t>50 APs single building</t>
        </is>
      </c>
      <c r="E3" s="38" t="inlineStr">
        <is>
          <t>150 APs multi-building</t>
        </is>
      </c>
      <c r="F3" s="38" t="inlineStr">
        <is>
          <t>500+ APs campus</t>
        </is>
      </c>
      <c r="G3" s="38" t="inlineStr">
        <is>
          <t>Enterprise wireless deployment with Mist AI</t>
        </is>
      </c>
      <c r="H3" s="38" t="inlineStr"/>
    </row>
    <row r="4" ht="26" customHeight="1">
      <c r="A4" s="40" t="inlineStr">
        <is>
          <t>Solution Scope</t>
        </is>
      </c>
      <c r="B4" s="41" t="inlineStr">
        <is>
          <t>Wired Assurance</t>
        </is>
      </c>
      <c r="C4" s="39" t="inlineStr">
        <is>
          <t>4 EX4400 PoE switches</t>
        </is>
      </c>
      <c r="D4" s="41" t="inlineStr">
        <is>
          <t>4 EX4400 switches</t>
        </is>
      </c>
      <c r="E4" s="41" t="inlineStr">
        <is>
          <t>12 EX4400 switches</t>
        </is>
      </c>
      <c r="F4" s="41" t="inlineStr">
        <is>
          <t>30+ EX switches</t>
        </is>
      </c>
      <c r="G4" s="41" t="inlineStr">
        <is>
          <t>Wired infrastructure with AI-driven management</t>
        </is>
      </c>
      <c r="H4" s="41" t="inlineStr"/>
    </row>
    <row r="5" ht="26" customHeight="1">
      <c r="A5" s="37" t="inlineStr">
        <is>
          <t>Integration</t>
        </is>
      </c>
      <c r="B5" s="38" t="inlineStr">
        <is>
          <t>SSIDs and VLANs</t>
        </is>
      </c>
      <c r="C5" s="39" t="inlineStr">
        <is>
          <t>3-5 wireless networks</t>
        </is>
      </c>
      <c r="D5" s="38" t="inlineStr">
        <is>
          <t>3-5 SSIDs (corp guest IoT)</t>
        </is>
      </c>
      <c r="E5" s="38" t="inlineStr">
        <is>
          <t>8-10 SSIDs multi-tenant</t>
        </is>
      </c>
      <c r="F5" s="38" t="inlineStr">
        <is>
          <t>15+ SSIDs complex segmentation</t>
        </is>
      </c>
      <c r="G5" s="38" t="inlineStr">
        <is>
          <t>Wireless network segmentation and access control</t>
        </is>
      </c>
      <c r="H5" s="38" t="inlineStr"/>
    </row>
    <row r="6" ht="26" customHeight="1">
      <c r="A6" s="40" t="inlineStr">
        <is>
          <t>Integration</t>
        </is>
      </c>
      <c r="B6" s="41" t="inlineStr">
        <is>
          <t>External System Integrations</t>
        </is>
      </c>
      <c r="C6" s="39" t="inlineStr">
        <is>
          <t>2 integrations</t>
        </is>
      </c>
      <c r="D6" s="41" t="inlineStr">
        <is>
          <t>2 integrations (auth monitoring)</t>
        </is>
      </c>
      <c r="E6" s="41" t="inlineStr">
        <is>
          <t>4-6 systems</t>
        </is>
      </c>
      <c r="F6" s="41" t="inlineStr">
        <is>
          <t>8+ systems or complex protocols</t>
        </is>
      </c>
      <c r="G6" s="41" t="inlineStr">
        <is>
          <t>RADIUS SIEM and authentication integration</t>
        </is>
      </c>
      <c r="H6" s="41" t="inlineStr"/>
    </row>
    <row r="7" ht="26" customHeight="1">
      <c r="A7" s="37" t="inlineStr">
        <is>
          <t>Integration</t>
        </is>
      </c>
      <c r="B7" s="38" t="inlineStr">
        <is>
          <t>Location Services</t>
        </is>
      </c>
      <c r="C7" s="39" t="inlineStr">
        <is>
          <t>Indoor positioning enabled</t>
        </is>
      </c>
      <c r="D7" s="38" t="inlineStr">
        <is>
          <t>vBLE for 1 building</t>
        </is>
      </c>
      <c r="E7" s="38" t="inlineStr">
        <is>
          <t>vBLE for multi-building campus</t>
        </is>
      </c>
      <c r="F7" s="38" t="inlineStr">
        <is>
          <t>Advanced wayfinding asset tracking</t>
        </is>
      </c>
      <c r="G7" s="38" t="inlineStr">
        <is>
          <t>Virtual Bluetooth LE and location analytics</t>
        </is>
      </c>
      <c r="H7" s="38" t="inlineStr"/>
    </row>
    <row r="8" ht="26" customHeight="1">
      <c r="A8" s="40" t="inlineStr">
        <is>
          <t>User Base</t>
        </is>
      </c>
      <c r="B8" s="41" t="inlineStr">
        <is>
          <t>Concurrent Wireless Users</t>
        </is>
      </c>
      <c r="C8" s="39" t="inlineStr">
        <is>
          <t>500-1000 concurrent users</t>
        </is>
      </c>
      <c r="D8" s="41" t="inlineStr">
        <is>
          <t>500-1000 users</t>
        </is>
      </c>
      <c r="E8" s="41" t="inlineStr">
        <is>
          <t>2000-5000 users</t>
        </is>
      </c>
      <c r="F8" s="41" t="inlineStr">
        <is>
          <t>10000+ users</t>
        </is>
      </c>
      <c r="G8" s="41" t="inlineStr">
        <is>
          <t>Peak concurrent wireless client capacity</t>
        </is>
      </c>
      <c r="H8" s="41" t="inlineStr"/>
    </row>
    <row r="9" ht="26" customHeight="1">
      <c r="A9" s="37" t="inlineStr">
        <is>
          <t>User Base</t>
        </is>
      </c>
      <c r="B9" s="38" t="inlineStr">
        <is>
          <t>Network Administrators</t>
        </is>
      </c>
      <c r="C9" s="39" t="inlineStr">
        <is>
          <t>3 wireless administrators</t>
        </is>
      </c>
      <c r="D9" s="38" t="inlineStr">
        <is>
          <t>2-3 administrators</t>
        </is>
      </c>
      <c r="E9" s="38" t="inlineStr">
        <is>
          <t>5-8 administrators</t>
        </is>
      </c>
      <c r="F9" s="38" t="inlineStr">
        <is>
          <t>12+ administrators</t>
        </is>
      </c>
      <c r="G9" s="38" t="inlineStr">
        <is>
          <t>Wireless network administrators and operators</t>
        </is>
      </c>
      <c r="H9" s="38" t="inlineStr"/>
    </row>
    <row r="10" ht="26" customHeight="1">
      <c r="A10" s="40" t="inlineStr">
        <is>
          <t>Data Volume</t>
        </is>
      </c>
      <c r="B10" s="41" t="inlineStr">
        <is>
          <t>Access Point Count</t>
        </is>
      </c>
      <c r="C10" s="39" t="inlineStr">
        <is>
          <t>50 access points</t>
        </is>
      </c>
      <c r="D10" s="41" t="inlineStr">
        <is>
          <t>50 APs single site</t>
        </is>
      </c>
      <c r="E10" s="41" t="inlineStr">
        <is>
          <t>150 APs multi-site</t>
        </is>
      </c>
      <c r="F10" s="41" t="inlineStr">
        <is>
          <t>500+ APs campus</t>
        </is>
      </c>
      <c r="G10" s="41" t="inlineStr">
        <is>
          <t>Total AP deployment for coverage and capacity</t>
        </is>
      </c>
      <c r="H10" s="41" t="inlineStr"/>
    </row>
    <row r="11" ht="26" customHeight="1">
      <c r="A11" s="37" t="inlineStr">
        <is>
          <t>Data Volume</t>
        </is>
      </c>
      <c r="B11" s="38" t="inlineStr">
        <is>
          <t>Client Device Count</t>
        </is>
      </c>
      <c r="C11" s="39" t="inlineStr">
        <is>
          <t>2000 total devices</t>
        </is>
      </c>
      <c r="D11" s="38" t="inlineStr">
        <is>
          <t>2000 devices</t>
        </is>
      </c>
      <c r="E11" s="38" t="inlineStr">
        <is>
          <t>8000 devices</t>
        </is>
      </c>
      <c r="F11" s="38" t="inlineStr">
        <is>
          <t>20000+ devices</t>
        </is>
      </c>
      <c r="G11" s="38" t="inlineStr">
        <is>
          <t>Total wireless client device inventory</t>
        </is>
      </c>
      <c r="H11" s="38" t="inlineStr"/>
    </row>
    <row r="12" ht="26" customHeight="1">
      <c r="A12" s="40" t="inlineStr">
        <is>
          <t>Technical Environment</t>
        </is>
      </c>
      <c r="B12" s="41" t="inlineStr">
        <is>
          <t>Building Types</t>
        </is>
      </c>
      <c r="C12" s="39" t="inlineStr">
        <is>
          <t>Office commercial building</t>
        </is>
      </c>
      <c r="D12" s="41" t="inlineStr">
        <is>
          <t>Single building type</t>
        </is>
      </c>
      <c r="E12" s="41" t="inlineStr">
        <is>
          <t>Multi-building campus</t>
        </is>
      </c>
      <c r="F12" s="41" t="inlineStr">
        <is>
          <t>Complex campus multiple building types</t>
        </is>
      </c>
      <c r="G12" s="41" t="inlineStr">
        <is>
          <t>Facility type and RF environment complexity</t>
        </is>
      </c>
      <c r="H12" s="41" t="inlineStr"/>
    </row>
    <row r="13" ht="26" customHeight="1">
      <c r="A13" s="37" t="inlineStr">
        <is>
          <t>Technical Environment</t>
        </is>
      </c>
      <c r="B13" s="38" t="inlineStr">
        <is>
          <t>Deployment Locations</t>
        </is>
      </c>
      <c r="C13" s="39" t="inlineStr">
        <is>
          <t>Single building multi-floor</t>
        </is>
      </c>
      <c r="D13" s="38" t="inlineStr">
        <is>
          <t>Single building</t>
        </is>
      </c>
      <c r="E13" s="38" t="inlineStr">
        <is>
          <t>2-3 buildings</t>
        </is>
      </c>
      <c r="F13" s="38" t="inlineStr">
        <is>
          <t>5+ buildings or campus</t>
        </is>
      </c>
      <c r="G13" s="38" t="inlineStr">
        <is>
          <t>Geographic distribution for wireless deployment</t>
        </is>
      </c>
      <c r="H13" s="38" t="inlineStr"/>
    </row>
    <row r="14" ht="26" customHeight="1">
      <c r="A14" s="40" t="inlineStr">
        <is>
          <t>Technical Environment</t>
        </is>
      </c>
      <c r="B14" s="41" t="inlineStr">
        <is>
          <t>RF Environment</t>
        </is>
      </c>
      <c r="C14" s="39" t="inlineStr">
        <is>
          <t>Standard office construction</t>
        </is>
      </c>
      <c r="D14" s="41" t="inlineStr">
        <is>
          <t>Standard office low interference</t>
        </is>
      </c>
      <c r="E14" s="41" t="inlineStr">
        <is>
          <t>High-density or industrial</t>
        </is>
      </c>
      <c r="F14" s="41" t="inlineStr">
        <is>
          <t>Complex RF stadium healthcare</t>
        </is>
      </c>
      <c r="G14" s="41" t="inlineStr">
        <is>
          <t>RF propagation and interference considerations</t>
        </is>
      </c>
      <c r="H14" s="41" t="inlineStr"/>
    </row>
    <row r="15" ht="26" customHeight="1">
      <c r="A15" s="37" t="inlineStr">
        <is>
          <t>Security &amp; Compliance</t>
        </is>
      </c>
      <c r="B15" s="38" t="inlineStr">
        <is>
          <t>Authentication Methods</t>
        </is>
      </c>
      <c r="C15" s="39" t="inlineStr">
        <is>
          <t>802.1X RADIUS</t>
        </is>
      </c>
      <c r="D15" s="38" t="inlineStr">
        <is>
          <t>Basic 802.1X + PSK</t>
        </is>
      </c>
      <c r="E15" s="38" t="inlineStr">
        <is>
          <t>Advanced multi-factor PKI</t>
        </is>
      </c>
      <c r="F15" s="38" t="inlineStr">
        <is>
          <t>Complex federation SSO</t>
        </is>
      </c>
      <c r="G15" s="38" t="inlineStr">
        <is>
          <t>Enterprise wireless authentication architecture</t>
        </is>
      </c>
      <c r="H15" s="38" t="inlineStr"/>
    </row>
    <row r="16" ht="26" customHeight="1">
      <c r="A16" s="40" t="inlineStr">
        <is>
          <t>Security &amp; Compliance</t>
        </is>
      </c>
      <c r="B16" s="41" t="inlineStr">
        <is>
          <t>Compliance Frameworks</t>
        </is>
      </c>
      <c r="C16" s="39" t="inlineStr">
        <is>
          <t>Basic security SOC 2</t>
        </is>
      </c>
      <c r="D16" s="41" t="inlineStr">
        <is>
          <t>1-2 basic standards</t>
        </is>
      </c>
      <c r="E16" s="41" t="inlineStr">
        <is>
          <t>3-4 industry standards</t>
        </is>
      </c>
      <c r="F16" s="41" t="inlineStr">
        <is>
          <t>Multiple complex frameworks (HIPAA PCI)</t>
        </is>
      </c>
      <c r="G16" s="41" t="inlineStr">
        <is>
          <t>Regulatory compliance for wireless security</t>
        </is>
      </c>
      <c r="H16" s="41" t="inlineStr"/>
    </row>
    <row r="17" ht="26" customHeight="1">
      <c r="A17" s="37" t="inlineStr">
        <is>
          <t>Performance</t>
        </is>
      </c>
      <c r="B17" s="38" t="inlineStr">
        <is>
          <t>Coverage Requirements</t>
        </is>
      </c>
      <c r="C17" s="39" t="inlineStr">
        <is>
          <t>Standard office coverage</t>
        </is>
      </c>
      <c r="D17" s="38" t="inlineStr">
        <is>
          <t>Standard office coverage</t>
        </is>
      </c>
      <c r="E17" s="38" t="inlineStr">
        <is>
          <t>High-density conference rooms</t>
        </is>
      </c>
      <c r="F17" s="38" t="inlineStr">
        <is>
          <t>Mission-critical 99.99% uptime</t>
        </is>
      </c>
      <c r="G17" s="38" t="inlineStr">
        <is>
          <t>Wireless coverage density and performance</t>
        </is>
      </c>
      <c r="H17" s="38" t="inlineStr"/>
    </row>
    <row r="18" ht="26" customHeight="1">
      <c r="A18" s="40" t="inlineStr">
        <is>
          <t>Performance</t>
        </is>
      </c>
      <c r="B18" s="41" t="inlineStr">
        <is>
          <t>Client Experience SLEs</t>
        </is>
      </c>
      <c r="C18" s="39" t="inlineStr">
        <is>
          <t>99% successful connects</t>
        </is>
      </c>
      <c r="D18" s="41" t="inlineStr">
        <is>
          <t>Standard SLEs 95%</t>
        </is>
      </c>
      <c r="E18" s="41" t="inlineStr">
        <is>
          <t>Enhanced SLEs 98%</t>
        </is>
      </c>
      <c r="F18" s="41" t="inlineStr">
        <is>
          <t>Premium SLEs 99.5%+</t>
        </is>
      </c>
      <c r="G18" s="41" t="inlineStr">
        <is>
          <t>Mist AI Service Level Expectations tracking</t>
        </is>
      </c>
      <c r="H18" s="41" t="inlineStr"/>
    </row>
    <row r="19" ht="26" customHeight="1">
      <c r="A19" s="37" t="inlineStr">
        <is>
          <t>Environment</t>
        </is>
      </c>
      <c r="B19" s="38" t="inlineStr">
        <is>
          <t>Deployment Environments</t>
        </is>
      </c>
      <c r="C19" s="39" t="inlineStr">
        <is>
          <t>2 environments (staging prod)</t>
        </is>
      </c>
      <c r="D19" s="38" t="inlineStr">
        <is>
          <t>2 environments</t>
        </is>
      </c>
      <c r="E19" s="38" t="inlineStr">
        <is>
          <t>3 environments (dev stage prod)</t>
        </is>
      </c>
      <c r="F19" s="38" t="inlineStr">
        <is>
          <t>4+ environments with lab</t>
        </is>
      </c>
      <c r="G19" s="38" t="inlineStr">
        <is>
          <t>Environment management for wireless deployment</t>
        </is>
      </c>
      <c r="H19" s="38" t="inlineStr"/>
    </row>
  </sheetData>
  <autoFilter ref="A2:H19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4" customWidth="1" min="3" max="3"/>
    <col width="173" customWidth="1" min="4" max="4"/>
  </cols>
  <sheetData>
    <row r="1" ht="32" customHeight="1">
      <c r="A1" s="35" t="inlineStr">
        <is>
          <t>ESTIMATE SETTINGS</t>
        </is>
      </c>
    </row>
    <row r="2" ht="32" customHeight="1">
      <c r="A2" s="36" t="inlineStr">
        <is>
          <t>Phase</t>
        </is>
      </c>
      <c r="B2" s="36" t="inlineStr">
        <is>
          <t>Variable Name</t>
        </is>
      </c>
      <c r="C2" s="36" t="inlineStr">
        <is>
          <t>Multiplier</t>
        </is>
      </c>
      <c r="D2" s="36" t="inlineStr">
        <is>
          <t>Description / Applies To Tasks</t>
        </is>
      </c>
      <c r="E2" s="36" t="inlineStr"/>
    </row>
    <row r="3" ht="26" customHeight="1">
      <c r="A3" s="37" t="inlineStr">
        <is>
          <t>Discovery</t>
        </is>
      </c>
      <c r="B3" s="38" t="inlineStr">
        <is>
          <t>DISCOVERY_MX</t>
        </is>
      </c>
      <c r="C3" s="42" t="n">
        <v>1</v>
      </c>
      <c r="D3" s="38" t="inlineStr">
        <is>
          <t>All Discovery phase tasks (Wireless Requirements Assessment, Facility Assessment, Network Integration Analysis)</t>
        </is>
      </c>
      <c r="E3" s="38" t="inlineStr"/>
    </row>
    <row r="4" ht="26" customHeight="1">
      <c r="A4" s="40" t="inlineStr">
        <is>
          <t>Planning</t>
        </is>
      </c>
      <c r="B4" s="41" t="inlineStr">
        <is>
          <t>PLANNING_MX</t>
        </is>
      </c>
      <c r="C4" s="43" t="n">
        <v>1</v>
      </c>
      <c r="D4" s="41" t="inlineStr">
        <is>
          <t>All Planning phase tasks (RF Site Survey, WLAN Architecture Design, Location Services Design, Implementation Planning)</t>
        </is>
      </c>
      <c r="E4" s="41" t="inlineStr"/>
    </row>
    <row r="5" ht="26" customHeight="1">
      <c r="A5" s="37" t="inlineStr">
        <is>
          <t>Development</t>
        </is>
      </c>
      <c r="B5" s="38" t="inlineStr">
        <is>
          <t>DEVELOPMENT_MX</t>
        </is>
      </c>
      <c r="C5" s="42" t="n">
        <v>1</v>
      </c>
      <c r="D5" s="38" t="inlineStr">
        <is>
          <t>All Development phase tasks (Switch Infrastructure Deployment, Mist Cloud Configuration, AP Installation, Authentication Integration, Marvis AI Activation, Location Services Setup, Wired Assurance Config)</t>
        </is>
      </c>
      <c r="E5" s="38" t="inlineStr"/>
    </row>
    <row r="6" ht="26" customHeight="1">
      <c r="A6" s="40" t="inlineStr">
        <is>
          <t>Testing</t>
        </is>
      </c>
      <c r="B6" s="41" t="inlineStr">
        <is>
          <t>TESTING_MX</t>
        </is>
      </c>
      <c r="C6" s="43" t="n">
        <v>1</v>
      </c>
      <c r="D6" s="41" t="inlineStr">
        <is>
          <t>All Testing phase tasks (RF Validation Testing, Client Connectivity Testing, Location Services Testing, Performance Testing, User Acceptance Testing)</t>
        </is>
      </c>
      <c r="E6" s="41" t="inlineStr"/>
    </row>
    <row r="7" ht="26" customHeight="1">
      <c r="A7" s="37" t="inlineStr">
        <is>
          <t>Deployment</t>
        </is>
      </c>
      <c r="B7" s="38" t="inlineStr">
        <is>
          <t>DEPLOYMENT_MX</t>
        </is>
      </c>
      <c r="C7" s="42" t="n">
        <v>1</v>
      </c>
      <c r="D7" s="38" t="inlineStr">
        <is>
          <t>All Deployment phase tasks (Legacy AP Decommissioning, Go-Live Support)</t>
        </is>
      </c>
      <c r="E7" s="38" t="inlineStr"/>
    </row>
    <row r="8" ht="26" customHeight="1">
      <c r="A8" s="40" t="inlineStr">
        <is>
          <t>Training</t>
        </is>
      </c>
      <c r="B8" s="41" t="inlineStr">
        <is>
          <t>TRAINING_MX</t>
        </is>
      </c>
      <c r="C8" s="43" t="n">
        <v>1</v>
      </c>
      <c r="D8" s="41" t="inlineStr">
        <is>
          <t>All Training phase tasks (Mist Dashboard Training, Marvis AI Training, Documentation Development)</t>
        </is>
      </c>
      <c r="E8" s="41" t="inlineStr"/>
    </row>
    <row r="9" ht="26" customHeight="1">
      <c r="A9" s="37" t="inlineStr">
        <is>
          <t>Closeout</t>
        </is>
      </c>
      <c r="B9" s="38" t="inlineStr">
        <is>
          <t>CLOSEOUT_MX</t>
        </is>
      </c>
      <c r="C9" s="42" t="n">
        <v>1</v>
      </c>
      <c r="D9" s="38" t="inlineStr">
        <is>
          <t>All Closeout phase tasks (Knowledge Transfer, SLE Baseline Establishment)</t>
        </is>
      </c>
      <c r="E9" s="38" t="inlineStr"/>
    </row>
    <row r="10" ht="26" customHeight="1">
      <c r="A10" s="40" t="inlineStr">
        <is>
          <t>Management</t>
        </is>
      </c>
      <c r="B10" s="41" t="inlineStr">
        <is>
          <t>MANAGEMENT_MX</t>
        </is>
      </c>
      <c r="C10" s="43" t="n">
        <v>1.5</v>
      </c>
      <c r="D10" s="41" t="inlineStr">
        <is>
          <t>Project Management overhead - 10% of actual engineering hours</t>
        </is>
      </c>
      <c r="E10" s="41" t="inlineStr"/>
    </row>
    <row r="11" ht="26" customHeight="1">
      <c r="A11" s="37" t="inlineStr">
        <is>
          <t>Leadership</t>
        </is>
      </c>
      <c r="B11" s="38" t="inlineStr">
        <is>
          <t>LEADERSHIP_MX</t>
        </is>
      </c>
      <c r="C11" s="42" t="n">
        <v>1.5</v>
      </c>
      <c r="D11" s="38" t="inlineStr">
        <is>
          <t>Quarterback/Technical Leadership overhead - 10% of actual engineering hours</t>
        </is>
      </c>
      <c r="E11" s="38" t="inlineStr"/>
    </row>
    <row r="13" ht="20" customHeight="1">
      <c r="A13" s="44" t="inlineStr">
        <is>
          <t>EO Sales Engineer Updates Multipliers Based on Customer Scope</t>
        </is>
      </c>
    </row>
  </sheetData>
  <autoFilter ref="A2:E11"/>
  <mergeCells count="2">
    <mergeCell ref="A1:E1"/>
    <mergeCell ref="A13:E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58" customWidth="1" min="3" max="3"/>
    <col width="18" customWidth="1" min="4" max="4"/>
    <col width="12" customWidth="1" min="5" max="5"/>
    <col width="14" customWidth="1" min="6" max="6"/>
    <col width="12" customWidth="1" min="7" max="7"/>
    <col width="12" customWidth="1" min="8" max="8"/>
    <col width="15" customWidth="1" min="9" max="9"/>
    <col width="25" customWidth="1" min="10" max="10"/>
    <col width="40" customWidth="1" min="11" max="11"/>
  </cols>
  <sheetData>
    <row r="1" ht="32" customHeight="1">
      <c r="A1" s="35" t="inlineStr">
        <is>
          <t>Level of Effort</t>
        </is>
      </c>
    </row>
    <row r="2" ht="32" customHeight="1">
      <c r="A2" s="36" t="inlineStr">
        <is>
          <t>Phase</t>
        </is>
      </c>
      <c r="B2" s="36" t="inlineStr">
        <is>
          <t>Work Package</t>
        </is>
      </c>
      <c r="C2" s="36" t="inlineStr">
        <is>
          <t>Task Description</t>
        </is>
      </c>
      <c r="D2" s="36" t="inlineStr">
        <is>
          <t>Resource Type</t>
        </is>
      </c>
      <c r="E2" s="36" t="inlineStr">
        <is>
          <t>Base Hours</t>
        </is>
      </c>
      <c r="F2" s="36" t="inlineStr">
        <is>
          <t>Effort Multiplier</t>
        </is>
      </c>
      <c r="G2" s="36" t="inlineStr">
        <is>
          <t>Actual Hours</t>
        </is>
      </c>
      <c r="H2" s="36" t="inlineStr">
        <is>
          <t>Rate</t>
        </is>
      </c>
      <c r="I2" s="36" t="inlineStr">
        <is>
          <t>Cost Estimate</t>
        </is>
      </c>
      <c r="J2" s="36" t="inlineStr">
        <is>
          <t>Dependencies</t>
        </is>
      </c>
      <c r="K2" s="36" t="inlineStr">
        <is>
          <t>Notes</t>
        </is>
      </c>
    </row>
    <row r="3" ht="26" customHeight="1">
      <c r="A3" s="45" t="inlineStr">
        <is>
          <t>Discovery</t>
        </is>
      </c>
      <c r="B3" s="46" t="inlineStr">
        <is>
          <t>Wireless Requirements Assessment</t>
        </is>
      </c>
      <c r="C3" s="46" t="inlineStr">
        <is>
          <t>Analyze current wireless infrastructure coverage and performance issues</t>
        </is>
      </c>
      <c r="D3" s="46" t="inlineStr">
        <is>
          <t>EO Engineer</t>
        </is>
      </c>
      <c r="E3" s="47" t="n">
        <v>32</v>
      </c>
      <c r="F3" s="48">
        <f>'Estimate Settings'!$C$3</f>
        <v/>
      </c>
      <c r="G3" s="49">
        <f>$E3*$F3</f>
        <v/>
      </c>
      <c r="H3" s="50" t="n">
        <v>200</v>
      </c>
      <c r="I3" s="49">
        <f>TEXT($G3*$H3,"$#,##0")</f>
        <v/>
      </c>
      <c r="J3" s="46" t="inlineStr"/>
      <c r="K3" s="46" t="inlineStr">
        <is>
          <t>Document WiFi dead zones user complaints and capacity needs</t>
        </is>
      </c>
    </row>
    <row r="4" ht="26" customHeight="1">
      <c r="A4" s="51" t="inlineStr">
        <is>
          <t>Discovery</t>
        </is>
      </c>
      <c r="B4" s="52" t="inlineStr">
        <is>
          <t>Facility Assessment</t>
        </is>
      </c>
      <c r="C4" s="52" t="inlineStr">
        <is>
          <t>Review building layouts construction materials and coverage requirements</t>
        </is>
      </c>
      <c r="D4" s="52" t="inlineStr">
        <is>
          <t>EO Engineer</t>
        </is>
      </c>
      <c r="E4" s="53" t="n">
        <v>24</v>
      </c>
      <c r="F4" s="54">
        <f>'Estimate Settings'!$C$3</f>
        <v/>
      </c>
      <c r="G4" s="55">
        <f>$E4*$F4</f>
        <v/>
      </c>
      <c r="H4" s="56" t="n">
        <v>200</v>
      </c>
      <c r="I4" s="55">
        <f>TEXT($G4*$H4,"$#,##0")</f>
        <v/>
      </c>
      <c r="J4" s="52" t="inlineStr"/>
      <c r="K4" s="52" t="inlineStr">
        <is>
          <t>Building floor plans and RF propagation analysis for AP placement</t>
        </is>
      </c>
    </row>
    <row r="5" ht="26" customHeight="1">
      <c r="A5" s="45" t="inlineStr">
        <is>
          <t>Discovery</t>
        </is>
      </c>
      <c r="B5" s="46" t="inlineStr">
        <is>
          <t>Network Integration Analysis</t>
        </is>
      </c>
      <c r="C5" s="46" t="inlineStr">
        <is>
          <t>Assess existing wired network VLANs and authentication infrastructure</t>
        </is>
      </c>
      <c r="D5" s="46" t="inlineStr">
        <is>
          <t>EO Engineer</t>
        </is>
      </c>
      <c r="E5" s="47" t="n">
        <v>16</v>
      </c>
      <c r="F5" s="48">
        <f>'Estimate Settings'!$C$3</f>
        <v/>
      </c>
      <c r="G5" s="49">
        <f>$E5*$F5</f>
        <v/>
      </c>
      <c r="H5" s="50" t="n">
        <v>175</v>
      </c>
      <c r="I5" s="49">
        <f>TEXT($G5*$H5,"$#,##0")</f>
        <v/>
      </c>
      <c r="J5" s="46" t="inlineStr"/>
      <c r="K5" s="46" t="inlineStr">
        <is>
          <t>VLAN design DHCP scopes and RADIUS integration requirements</t>
        </is>
      </c>
    </row>
    <row r="6" ht="26" customHeight="1">
      <c r="A6" s="51" t="inlineStr">
        <is>
          <t>Planning</t>
        </is>
      </c>
      <c r="B6" s="52" t="inlineStr">
        <is>
          <t>RF Site Survey</t>
        </is>
      </c>
      <c r="C6" s="52" t="inlineStr">
        <is>
          <t>Conduct predictive RF site survey using Mist AI planning tools</t>
        </is>
      </c>
      <c r="D6" s="52" t="inlineStr">
        <is>
          <t>EO Engineer</t>
        </is>
      </c>
      <c r="E6" s="53" t="n">
        <v>40</v>
      </c>
      <c r="F6" s="54">
        <f>'Estimate Settings'!$C$4</f>
        <v/>
      </c>
      <c r="G6" s="55">
        <f>$E6*$F6</f>
        <v/>
      </c>
      <c r="H6" s="56" t="n">
        <v>200</v>
      </c>
      <c r="I6" s="55">
        <f>TEXT($G6*$H6,"$#,##0")</f>
        <v/>
      </c>
      <c r="J6" s="52" t="inlineStr">
        <is>
          <t>Facility Assessment</t>
        </is>
      </c>
      <c r="K6" s="52" t="inlineStr">
        <is>
          <t>Deliverable: AP placement design for optimal coverage and capacity</t>
        </is>
      </c>
    </row>
    <row r="7" ht="26" customHeight="1">
      <c r="A7" s="45" t="inlineStr">
        <is>
          <t>Planning</t>
        </is>
      </c>
      <c r="B7" s="46" t="inlineStr">
        <is>
          <t>WLAN Architecture Design</t>
        </is>
      </c>
      <c r="C7" s="46" t="inlineStr">
        <is>
          <t>Design SSID strategy VLAN segmentation and security policies</t>
        </is>
      </c>
      <c r="D7" s="46" t="inlineStr">
        <is>
          <t>EO Engineer</t>
        </is>
      </c>
      <c r="E7" s="47" t="n">
        <v>32</v>
      </c>
      <c r="F7" s="48">
        <f>'Estimate Settings'!$C$4</f>
        <v/>
      </c>
      <c r="G7" s="49">
        <f>$E7*$F7</f>
        <v/>
      </c>
      <c r="H7" s="50" t="n">
        <v>200</v>
      </c>
      <c r="I7" s="49">
        <f>TEXT($G7*$H7,"$#,##0")</f>
        <v/>
      </c>
      <c r="J7" s="46" t="inlineStr">
        <is>
          <t>Network Integration Analysis</t>
        </is>
      </c>
      <c r="K7" s="46" t="inlineStr">
        <is>
          <t>Corporate guest IoT and voice wireless networks architecture</t>
        </is>
      </c>
    </row>
    <row r="8" ht="26" customHeight="1">
      <c r="A8" s="51" t="inlineStr">
        <is>
          <t>Planning</t>
        </is>
      </c>
      <c r="B8" s="52" t="inlineStr">
        <is>
          <t>Location Services Design</t>
        </is>
      </c>
      <c r="C8" s="52" t="inlineStr">
        <is>
          <t>Design vBLE indoor positioning wayfinding and asset tracking</t>
        </is>
      </c>
      <c r="D8" s="52" t="inlineStr">
        <is>
          <t>EO Engineer</t>
        </is>
      </c>
      <c r="E8" s="53" t="n">
        <v>24</v>
      </c>
      <c r="F8" s="54">
        <f>'Estimate Settings'!$C$4</f>
        <v/>
      </c>
      <c r="G8" s="55">
        <f>$E8*$F8</f>
        <v/>
      </c>
      <c r="H8" s="56" t="n">
        <v>200</v>
      </c>
      <c r="I8" s="55">
        <f>TEXT($G8*$H8,"$#,##0")</f>
        <v/>
      </c>
      <c r="J8" s="52" t="inlineStr">
        <is>
          <t>RF Site Survey</t>
        </is>
      </c>
      <c r="K8" s="52" t="inlineStr">
        <is>
          <t>Location-based services and occupancy analytics requirements</t>
        </is>
      </c>
    </row>
    <row r="9" ht="26" customHeight="1">
      <c r="A9" s="45" t="inlineStr">
        <is>
          <t>Planning</t>
        </is>
      </c>
      <c r="B9" s="46" t="inlineStr">
        <is>
          <t>Implementation Planning</t>
        </is>
      </c>
      <c r="C9" s="46" t="inlineStr">
        <is>
          <t>Develop AP installation schedule and cutover strategy</t>
        </is>
      </c>
      <c r="D9" s="46" t="inlineStr">
        <is>
          <t>EO Engineer</t>
        </is>
      </c>
      <c r="E9" s="47" t="n">
        <v>16</v>
      </c>
      <c r="F9" s="48">
        <f>'Estimate Settings'!$C$4</f>
        <v/>
      </c>
      <c r="G9" s="49">
        <f>$E9*$F9</f>
        <v/>
      </c>
      <c r="H9" s="50" t="n">
        <v>150</v>
      </c>
      <c r="I9" s="49">
        <f>TEXT($G9*$H9,"$#,##0")</f>
        <v/>
      </c>
      <c r="J9" s="46" t="inlineStr">
        <is>
          <t>WLAN Architecture Design</t>
        </is>
      </c>
      <c r="K9" s="46" t="inlineStr">
        <is>
          <t>Deliverable: Minimize business disruption during wireless deployment</t>
        </is>
      </c>
    </row>
    <row r="10" ht="26" customHeight="1">
      <c r="A10" s="51" t="inlineStr">
        <is>
          <t>Development</t>
        </is>
      </c>
      <c r="B10" s="52" t="inlineStr">
        <is>
          <t>Switch Infrastructure Deployment</t>
        </is>
      </c>
      <c r="C10" s="52" t="inlineStr">
        <is>
          <t>Deploy and configure EX4400 PoE switches for AP power and connectivity</t>
        </is>
      </c>
      <c r="D10" s="52" t="inlineStr">
        <is>
          <t>EO Engineer</t>
        </is>
      </c>
      <c r="E10" s="53" t="n">
        <v>32</v>
      </c>
      <c r="F10" s="54">
        <f>'Estimate Settings'!$C$5</f>
        <v/>
      </c>
      <c r="G10" s="55">
        <f>$E10*$F10</f>
        <v/>
      </c>
      <c r="H10" s="56" t="n">
        <v>200</v>
      </c>
      <c r="I10" s="55">
        <f>TEXT($G10*$H10,"$#,##0")</f>
        <v/>
      </c>
      <c r="J10" s="52" t="inlineStr">
        <is>
          <t>Implementation Planning</t>
        </is>
      </c>
      <c r="K10" s="52" t="inlineStr">
        <is>
          <t>4 switches with uplinks to existing network and PoE capacity</t>
        </is>
      </c>
    </row>
    <row r="11" ht="26" customHeight="1">
      <c r="A11" s="45" t="inlineStr">
        <is>
          <t>Development</t>
        </is>
      </c>
      <c r="B11" s="46" t="inlineStr">
        <is>
          <t>Mist Cloud Configuration</t>
        </is>
      </c>
      <c r="C11" s="46" t="inlineStr">
        <is>
          <t>Configure Mist cloud with SSIDs VLANs RF policies and security settings</t>
        </is>
      </c>
      <c r="D11" s="46" t="inlineStr">
        <is>
          <t>EO Engineer</t>
        </is>
      </c>
      <c r="E11" s="47" t="n">
        <v>40</v>
      </c>
      <c r="F11" s="48">
        <f>'Estimate Settings'!$C$5</f>
        <v/>
      </c>
      <c r="G11" s="49">
        <f>$E11*$F11</f>
        <v/>
      </c>
      <c r="H11" s="50" t="n">
        <v>200</v>
      </c>
      <c r="I11" s="49">
        <f>TEXT($G11*$H11,"$#,##0")</f>
        <v/>
      </c>
      <c r="J11" s="46" t="inlineStr">
        <is>
          <t>Switch Infrastructure Deployment</t>
        </is>
      </c>
      <c r="K11" s="46" t="inlineStr">
        <is>
          <t>WLAN profiles RF templates and wireless policy deployment</t>
        </is>
      </c>
    </row>
    <row r="12" ht="26" customHeight="1">
      <c r="A12" s="51" t="inlineStr">
        <is>
          <t>Development</t>
        </is>
      </c>
      <c r="B12" s="52" t="inlineStr">
        <is>
          <t>AP Installation</t>
        </is>
      </c>
      <c r="C12" s="52" t="inlineStr">
        <is>
          <t>Mount cable and deploy 50 Juniper AP45 WiFi 6E access points</t>
        </is>
      </c>
      <c r="D12" s="52" t="inlineStr">
        <is>
          <t>EO Engineer</t>
        </is>
      </c>
      <c r="E12" s="53" t="n">
        <v>100</v>
      </c>
      <c r="F12" s="54">
        <f>'Estimate Settings'!$C$5</f>
        <v/>
      </c>
      <c r="G12" s="55">
        <f>$E12*$F12</f>
        <v/>
      </c>
      <c r="H12" s="56" t="n">
        <v>150</v>
      </c>
      <c r="I12" s="55">
        <f>TEXT($G12*$H12,"$#,##0")</f>
        <v/>
      </c>
      <c r="J12" s="52" t="inlineStr">
        <is>
          <t>Mist Cloud Configuration</t>
        </is>
      </c>
      <c r="K12" s="52" t="inlineStr">
        <is>
          <t>Physical installation across multiple buildings and floors</t>
        </is>
      </c>
    </row>
    <row r="13" ht="26" customHeight="1">
      <c r="A13" s="45" t="inlineStr">
        <is>
          <t>Development</t>
        </is>
      </c>
      <c r="B13" s="46" t="inlineStr">
        <is>
          <t>Authentication Integration</t>
        </is>
      </c>
      <c r="C13" s="46" t="inlineStr">
        <is>
          <t>Integrate Mist with RADIUS Active Directory or SSO for enterprise auth</t>
        </is>
      </c>
      <c r="D13" s="46" t="inlineStr">
        <is>
          <t>EO Engineer</t>
        </is>
      </c>
      <c r="E13" s="47" t="n">
        <v>24</v>
      </c>
      <c r="F13" s="48">
        <f>'Estimate Settings'!$C$5</f>
        <v/>
      </c>
      <c r="G13" s="49">
        <f>$E13*$F13</f>
        <v/>
      </c>
      <c r="H13" s="50" t="n">
        <v>200</v>
      </c>
      <c r="I13" s="49">
        <f>TEXT($G13*$H13,"$#,##0")</f>
        <v/>
      </c>
      <c r="J13" s="46" t="inlineStr">
        <is>
          <t>AP Installation</t>
        </is>
      </c>
      <c r="K13" s="46" t="inlineStr">
        <is>
          <t>802.1X configuration and user authentication testing validation</t>
        </is>
      </c>
    </row>
    <row r="14" ht="26" customHeight="1">
      <c r="A14" s="51" t="inlineStr">
        <is>
          <t>Development</t>
        </is>
      </c>
      <c r="B14" s="52" t="inlineStr">
        <is>
          <t>Marvis AI Activation</t>
        </is>
      </c>
      <c r="C14" s="52" t="inlineStr">
        <is>
          <t>Enable Marvis VNA for AI-driven troubleshooting and anomaly detection</t>
        </is>
      </c>
      <c r="D14" s="52" t="inlineStr">
        <is>
          <t>EO Engineer</t>
        </is>
      </c>
      <c r="E14" s="53" t="n">
        <v>16</v>
      </c>
      <c r="F14" s="54">
        <f>'Estimate Settings'!$C$5</f>
        <v/>
      </c>
      <c r="G14" s="55">
        <f>$E14*$F14</f>
        <v/>
      </c>
      <c r="H14" s="56" t="n">
        <v>200</v>
      </c>
      <c r="I14" s="55">
        <f>TEXT($G14*$H14,"$#,##0")</f>
        <v/>
      </c>
      <c r="J14" s="52" t="inlineStr">
        <is>
          <t>Authentication Integration</t>
        </is>
      </c>
      <c r="K14" s="52" t="inlineStr">
        <is>
          <t>AI virtual assistant configuration and SLE baseline establishment</t>
        </is>
      </c>
    </row>
    <row r="15" ht="26" customHeight="1">
      <c r="A15" s="45" t="inlineStr">
        <is>
          <t>Development</t>
        </is>
      </c>
      <c r="B15" s="46" t="inlineStr">
        <is>
          <t>Location Services Setup</t>
        </is>
      </c>
      <c r="C15" s="46" t="inlineStr">
        <is>
          <t>Configure vBLE indoor positioning wayfinding maps and asset tracking</t>
        </is>
      </c>
      <c r="D15" s="46" t="inlineStr">
        <is>
          <t>EO Engineer</t>
        </is>
      </c>
      <c r="E15" s="47" t="n">
        <v>32</v>
      </c>
      <c r="F15" s="48">
        <f>'Estimate Settings'!$C$5</f>
        <v/>
      </c>
      <c r="G15" s="49">
        <f>$E15*$F15</f>
        <v/>
      </c>
      <c r="H15" s="50" t="n">
        <v>200</v>
      </c>
      <c r="I15" s="49">
        <f>TEXT($G15*$H15,"$#,##0")</f>
        <v/>
      </c>
      <c r="J15" s="46" t="inlineStr">
        <is>
          <t>Marvis AI Activation</t>
        </is>
      </c>
      <c r="K15" s="46" t="inlineStr">
        <is>
          <t>Virtual BLE beacons location analytics and wayfinding setup</t>
        </is>
      </c>
    </row>
    <row r="16" ht="26" customHeight="1">
      <c r="A16" s="51" t="inlineStr">
        <is>
          <t>Development</t>
        </is>
      </c>
      <c r="B16" s="52" t="inlineStr">
        <is>
          <t>Wired Assurance Config</t>
        </is>
      </c>
      <c r="C16" s="52" t="inlineStr">
        <is>
          <t>Onboard EX4400 switches to Wired Assurance for unified management</t>
        </is>
      </c>
      <c r="D16" s="52" t="inlineStr">
        <is>
          <t>EO Engineer</t>
        </is>
      </c>
      <c r="E16" s="53" t="n">
        <v>16</v>
      </c>
      <c r="F16" s="54">
        <f>'Estimate Settings'!$C$5</f>
        <v/>
      </c>
      <c r="G16" s="55">
        <f>$E16*$F16</f>
        <v/>
      </c>
      <c r="H16" s="56" t="n">
        <v>180</v>
      </c>
      <c r="I16" s="55">
        <f>TEXT($G16*$H16,"$#,##0")</f>
        <v/>
      </c>
      <c r="J16" s="52" t="inlineStr">
        <is>
          <t>Location Services Setup</t>
        </is>
      </c>
      <c r="K16" s="52" t="inlineStr">
        <is>
          <t>Wired network visibility and AI-driven switch operations</t>
        </is>
      </c>
    </row>
    <row r="17" ht="26" customHeight="1">
      <c r="A17" s="45" t="inlineStr">
        <is>
          <t>Testing</t>
        </is>
      </c>
      <c r="B17" s="46" t="inlineStr">
        <is>
          <t>RF Validation Testing</t>
        </is>
      </c>
      <c r="C17" s="46" t="inlineStr">
        <is>
          <t>Conduct coverage testing throughput validation and roaming verification</t>
        </is>
      </c>
      <c r="D17" s="46" t="inlineStr">
        <is>
          <t>EO Engineer</t>
        </is>
      </c>
      <c r="E17" s="47" t="n">
        <v>40</v>
      </c>
      <c r="F17" s="48">
        <f>'Estimate Settings'!$C$6</f>
        <v/>
      </c>
      <c r="G17" s="49">
        <f>$E17*$F17</f>
        <v/>
      </c>
      <c r="H17" s="50" t="n">
        <v>200</v>
      </c>
      <c r="I17" s="49">
        <f>TEXT($G17*$H17,"$#,##0")</f>
        <v/>
      </c>
      <c r="J17" s="46" t="inlineStr">
        <is>
          <t>Wired Assurance Config</t>
        </is>
      </c>
      <c r="K17" s="46" t="inlineStr">
        <is>
          <t>Walk-through testing with spectrum analyzer and wireless client devices</t>
        </is>
      </c>
    </row>
    <row r="18" ht="26" customHeight="1">
      <c r="A18" s="51" t="inlineStr">
        <is>
          <t>Testing</t>
        </is>
      </c>
      <c r="B18" s="52" t="inlineStr">
        <is>
          <t>Client Connectivity Testing</t>
        </is>
      </c>
      <c r="C18" s="52" t="inlineStr">
        <is>
          <t>Test authentication client onboarding and application performance</t>
        </is>
      </c>
      <c r="D18" s="52" t="inlineStr">
        <is>
          <t>EO Engineer</t>
        </is>
      </c>
      <c r="E18" s="53" t="n">
        <v>24</v>
      </c>
      <c r="F18" s="54">
        <f>'Estimate Settings'!$C$6</f>
        <v/>
      </c>
      <c r="G18" s="55">
        <f>$E18*$F18</f>
        <v/>
      </c>
      <c r="H18" s="56" t="n">
        <v>175</v>
      </c>
      <c r="I18" s="55">
        <f>TEXT($G18*$H18,"$#,##0")</f>
        <v/>
      </c>
      <c r="J18" s="52" t="inlineStr">
        <is>
          <t>RF Validation Testing</t>
        </is>
      </c>
      <c r="K18" s="52" t="inlineStr">
        <is>
          <t>Validate corporate guest IoT and voice wireless network connectivity</t>
        </is>
      </c>
    </row>
    <row r="19" ht="26" customHeight="1">
      <c r="A19" s="45" t="inlineStr">
        <is>
          <t>Testing</t>
        </is>
      </c>
      <c r="B19" s="46" t="inlineStr">
        <is>
          <t>Location Services Testing</t>
        </is>
      </c>
      <c r="C19" s="46" t="inlineStr">
        <is>
          <t>Validate vBLE accuracy wayfinding navigation and asset tracking</t>
        </is>
      </c>
      <c r="D19" s="46" t="inlineStr">
        <is>
          <t>EO Engineer</t>
        </is>
      </c>
      <c r="E19" s="47" t="n">
        <v>16</v>
      </c>
      <c r="F19" s="48">
        <f>'Estimate Settings'!$C$6</f>
        <v/>
      </c>
      <c r="G19" s="49">
        <f>$E19*$F19</f>
        <v/>
      </c>
      <c r="H19" s="50" t="n">
        <v>175</v>
      </c>
      <c r="I19" s="49">
        <f>TEXT($G19*$H19,"$#,##0")</f>
        <v/>
      </c>
      <c r="J19" s="46" t="inlineStr">
        <is>
          <t>Client Connectivity Testing</t>
        </is>
      </c>
      <c r="K19" s="46" t="inlineStr">
        <is>
          <t>Indoor positioning accuracy and mobile app integration testing</t>
        </is>
      </c>
    </row>
    <row r="20" ht="26" customHeight="1">
      <c r="A20" s="51" t="inlineStr">
        <is>
          <t>Testing</t>
        </is>
      </c>
      <c r="B20" s="52" t="inlineStr">
        <is>
          <t>Performance Testing</t>
        </is>
      </c>
      <c r="C20" s="52" t="inlineStr">
        <is>
          <t>Conduct throughput testing with high-density client load</t>
        </is>
      </c>
      <c r="D20" s="52" t="inlineStr">
        <is>
          <t>EO Engineer</t>
        </is>
      </c>
      <c r="E20" s="53" t="n">
        <v>16</v>
      </c>
      <c r="F20" s="54">
        <f>'Estimate Settings'!$C$6</f>
        <v/>
      </c>
      <c r="G20" s="55">
        <f>$E20*$F20</f>
        <v/>
      </c>
      <c r="H20" s="56" t="n">
        <v>200</v>
      </c>
      <c r="I20" s="55">
        <f>TEXT($G20*$H20,"$#,##0")</f>
        <v/>
      </c>
      <c r="J20" s="52" t="inlineStr">
        <is>
          <t>Location Services Testing</t>
        </is>
      </c>
      <c r="K20" s="52" t="inlineStr">
        <is>
          <t>Validate capacity and performance under real-world wireless conditions</t>
        </is>
      </c>
    </row>
    <row r="21" ht="26" customHeight="1">
      <c r="A21" s="45" t="inlineStr">
        <is>
          <t>Testing</t>
        </is>
      </c>
      <c r="B21" s="46" t="inlineStr">
        <is>
          <t>User Acceptance Testing</t>
        </is>
      </c>
      <c r="C21" s="46" t="inlineStr">
        <is>
          <t>Coordinate UAT with IT and business users for production readiness</t>
        </is>
      </c>
      <c r="D21" s="46" t="inlineStr">
        <is>
          <t>EO Engineer</t>
        </is>
      </c>
      <c r="E21" s="47" t="n">
        <v>24</v>
      </c>
      <c r="F21" s="48">
        <f>'Estimate Settings'!$C$6</f>
        <v/>
      </c>
      <c r="G21" s="49">
        <f>$E21*$F21</f>
        <v/>
      </c>
      <c r="H21" s="50" t="n">
        <v>150</v>
      </c>
      <c r="I21" s="49">
        <f>TEXT($G21*$H21,"$#,##0")</f>
        <v/>
      </c>
      <c r="J21" s="46" t="inlineStr">
        <is>
          <t>Performance Testing</t>
        </is>
      </c>
      <c r="K21" s="46" t="inlineStr">
        <is>
          <t>End-user validation of wireless coverage performance and features</t>
        </is>
      </c>
    </row>
    <row r="22" ht="26" customHeight="1">
      <c r="A22" s="51" t="inlineStr">
        <is>
          <t>Deployment</t>
        </is>
      </c>
      <c r="B22" s="52" t="inlineStr">
        <is>
          <t>Legacy AP Decommissioning</t>
        </is>
      </c>
      <c r="C22" s="52" t="inlineStr">
        <is>
          <t>Decommission old wireless infrastructure and migrate to Mist APs</t>
        </is>
      </c>
      <c r="D22" s="52" t="inlineStr">
        <is>
          <t>EO Engineer</t>
        </is>
      </c>
      <c r="E22" s="53" t="n">
        <v>32</v>
      </c>
      <c r="F22" s="54">
        <f>'Estimate Settings'!$C$7</f>
        <v/>
      </c>
      <c r="G22" s="55">
        <f>$E22*$F22</f>
        <v/>
      </c>
      <c r="H22" s="56" t="n">
        <v>175</v>
      </c>
      <c r="I22" s="55">
        <f>TEXT($G22*$H22,"$#,##0")</f>
        <v/>
      </c>
      <c r="J22" s="52" t="inlineStr">
        <is>
          <t>User Acceptance Testing</t>
        </is>
      </c>
      <c r="K22" s="52" t="inlineStr">
        <is>
          <t>Incremental AP cutover with minimal business disruption</t>
        </is>
      </c>
    </row>
    <row r="23" ht="26" customHeight="1">
      <c r="A23" s="45" t="inlineStr">
        <is>
          <t>Deployment</t>
        </is>
      </c>
      <c r="B23" s="46" t="inlineStr">
        <is>
          <t>Go-Live Support</t>
        </is>
      </c>
      <c r="C23" s="46" t="inlineStr">
        <is>
          <t>Provide on-site support during production cutover and initial operation</t>
        </is>
      </c>
      <c r="D23" s="46" t="inlineStr">
        <is>
          <t>EO Engineer</t>
        </is>
      </c>
      <c r="E23" s="47" t="n">
        <v>40</v>
      </c>
      <c r="F23" s="48">
        <f>'Estimate Settings'!$C$7</f>
        <v/>
      </c>
      <c r="G23" s="49">
        <f>$E23*$F23</f>
        <v/>
      </c>
      <c r="H23" s="50" t="n">
        <v>200</v>
      </c>
      <c r="I23" s="49">
        <f>TEXT($G23*$H23,"$#,##0")</f>
        <v/>
      </c>
      <c r="J23" s="46" t="inlineStr">
        <is>
          <t>Legacy AP Decommissioning</t>
        </is>
      </c>
      <c r="K23" s="46" t="inlineStr">
        <is>
          <t>First week post-deployment support and wireless issue resolution</t>
        </is>
      </c>
    </row>
    <row r="24" ht="26" customHeight="1">
      <c r="A24" s="51" t="inlineStr">
        <is>
          <t>Training</t>
        </is>
      </c>
      <c r="B24" s="52" t="inlineStr">
        <is>
          <t>Mist Dashboard Training</t>
        </is>
      </c>
      <c r="C24" s="52" t="inlineStr">
        <is>
          <t>Train IT administrators on Mist cloud dashboard and configuration</t>
        </is>
      </c>
      <c r="D24" s="52" t="inlineStr">
        <is>
          <t>EO Engineer</t>
        </is>
      </c>
      <c r="E24" s="53" t="n">
        <v>16</v>
      </c>
      <c r="F24" s="54">
        <f>'Estimate Settings'!$C$8</f>
        <v/>
      </c>
      <c r="G24" s="55">
        <f>$E24*$F24</f>
        <v/>
      </c>
      <c r="H24" s="56" t="n">
        <v>200</v>
      </c>
      <c r="I24" s="55">
        <f>TEXT($G24*$H24,"$#,##0")</f>
        <v/>
      </c>
      <c r="J24" s="52" t="inlineStr">
        <is>
          <t>Go-Live Support</t>
        </is>
      </c>
      <c r="K24" s="52" t="inlineStr">
        <is>
          <t>2-day hands-on training for wireless network administrators</t>
        </is>
      </c>
    </row>
    <row r="25" ht="26" customHeight="1">
      <c r="A25" s="45" t="inlineStr">
        <is>
          <t>Training</t>
        </is>
      </c>
      <c r="B25" s="46" t="inlineStr">
        <is>
          <t>Marvis AI Training</t>
        </is>
      </c>
      <c r="C25" s="46" t="inlineStr">
        <is>
          <t>Train IT staff on Marvis VNA conversational AI and troubleshooting</t>
        </is>
      </c>
      <c r="D25" s="46" t="inlineStr">
        <is>
          <t>EO Engineer</t>
        </is>
      </c>
      <c r="E25" s="47" t="n">
        <v>8</v>
      </c>
      <c r="F25" s="48">
        <f>'Estimate Settings'!$C$8</f>
        <v/>
      </c>
      <c r="G25" s="49">
        <f>$E25*$F25</f>
        <v/>
      </c>
      <c r="H25" s="50" t="n">
        <v>200</v>
      </c>
      <c r="I25" s="49">
        <f>TEXT($G25*$H25,"$#,##0")</f>
        <v/>
      </c>
      <c r="J25" s="46" t="inlineStr">
        <is>
          <t>Mist Dashboard Training</t>
        </is>
      </c>
      <c r="K25" s="46" t="inlineStr">
        <is>
          <t>AI-driven operations and proactive wireless monitoring training</t>
        </is>
      </c>
    </row>
    <row r="26" ht="26" customHeight="1">
      <c r="A26" s="51" t="inlineStr">
        <is>
          <t>Training</t>
        </is>
      </c>
      <c r="B26" s="52" t="inlineStr">
        <is>
          <t>Documentation Development</t>
        </is>
      </c>
      <c r="C26" s="52" t="inlineStr">
        <is>
          <t>Create as-built RF maps configuration guides and troubleshooting runbooks</t>
        </is>
      </c>
      <c r="D26" s="52" t="inlineStr">
        <is>
          <t>EO Engineer</t>
        </is>
      </c>
      <c r="E26" s="53" t="n">
        <v>32</v>
      </c>
      <c r="F26" s="54">
        <f>'Estimate Settings'!$C$8</f>
        <v/>
      </c>
      <c r="G26" s="55">
        <f>$E26*$F26</f>
        <v/>
      </c>
      <c r="H26" s="56" t="n">
        <v>150</v>
      </c>
      <c r="I26" s="55">
        <f>TEXT($G26*$H26,"$#,##0")</f>
        <v/>
      </c>
      <c r="J26" s="52" t="inlineStr">
        <is>
          <t>Marvis AI Training</t>
        </is>
      </c>
      <c r="K26" s="52" t="inlineStr">
        <is>
          <t>Deliverable: Operational documentation and wireless knowledge transfer</t>
        </is>
      </c>
    </row>
    <row r="27" ht="26" customHeight="1">
      <c r="A27" s="45" t="inlineStr">
        <is>
          <t>Closeout</t>
        </is>
      </c>
      <c r="B27" s="46" t="inlineStr">
        <is>
          <t>Knowledge Transfer</t>
        </is>
      </c>
      <c r="C27" s="46" t="inlineStr">
        <is>
          <t>Transfer solution ownership to IT operations and support teams</t>
        </is>
      </c>
      <c r="D27" s="46" t="inlineStr">
        <is>
          <t>EO Engineer</t>
        </is>
      </c>
      <c r="E27" s="47" t="n">
        <v>16</v>
      </c>
      <c r="F27" s="48">
        <f>'Estimate Settings'!$C$9</f>
        <v/>
      </c>
      <c r="G27" s="49">
        <f>$E27*$F27</f>
        <v/>
      </c>
      <c r="H27" s="50" t="n">
        <v>175</v>
      </c>
      <c r="I27" s="49">
        <f>TEXT($G27*$H27,"$#,##0")</f>
        <v/>
      </c>
      <c r="J27" s="46" t="inlineStr">
        <is>
          <t>Documentation Development</t>
        </is>
      </c>
      <c r="K27" s="46" t="inlineStr">
        <is>
          <t>Comprehensive handover including operational procedures and escalation</t>
        </is>
      </c>
    </row>
    <row r="28" ht="26" customHeight="1">
      <c r="A28" s="51" t="inlineStr">
        <is>
          <t>Closeout</t>
        </is>
      </c>
      <c r="B28" s="52" t="inlineStr">
        <is>
          <t>SLE Baseline Establishment</t>
        </is>
      </c>
      <c r="C28" s="52" t="inlineStr">
        <is>
          <t>Establish Service Level Expectation baselines for client experience monitoring</t>
        </is>
      </c>
      <c r="D28" s="52" t="inlineStr">
        <is>
          <t>EO Engineer</t>
        </is>
      </c>
      <c r="E28" s="53" t="n">
        <v>8</v>
      </c>
      <c r="F28" s="54">
        <f>'Estimate Settings'!$C$9</f>
        <v/>
      </c>
      <c r="G28" s="55">
        <f>$E28*$F28</f>
        <v/>
      </c>
      <c r="H28" s="56" t="n">
        <v>150</v>
      </c>
      <c r="I28" s="55">
        <f>TEXT($G28*$H28,"$#,##0")</f>
        <v/>
      </c>
      <c r="J28" s="52" t="inlineStr">
        <is>
          <t>Knowledge Transfer</t>
        </is>
      </c>
      <c r="K28" s="52" t="inlineStr">
        <is>
          <t>Successful connects time to connect throughput roaming capacity SLEs</t>
        </is>
      </c>
    </row>
    <row r="29" ht="26" customHeight="1">
      <c r="A29" s="45" t="inlineStr">
        <is>
          <t>Management</t>
        </is>
      </c>
      <c r="B29" s="46" t="inlineStr">
        <is>
          <t>Technical Leadership</t>
        </is>
      </c>
      <c r="C29" s="46" t="inlineStr">
        <is>
          <t>Wireless architecture oversight and RF design review</t>
        </is>
      </c>
      <c r="D29" s="46" t="inlineStr">
        <is>
          <t>EO Quarterback</t>
        </is>
      </c>
      <c r="E29" s="49">
        <f>ROUND(SUM($G$3:$G$28)*0.10,0)</f>
        <v/>
      </c>
      <c r="F29" s="48">
        <f>'Estimate Settings'!$C$11</f>
        <v/>
      </c>
      <c r="G29" s="49">
        <f>$E29*$F29</f>
        <v/>
      </c>
      <c r="H29" s="50" t="n">
        <v>200</v>
      </c>
      <c r="I29" s="49">
        <f>TEXT($G29*$H29,"$#,##0")</f>
        <v/>
      </c>
      <c r="J29" s="46" t="inlineStr"/>
      <c r="K29" s="46" t="inlineStr">
        <is>
          <t>25% of engineering effort for wireless technical guidance and escalation</t>
        </is>
      </c>
    </row>
    <row r="30" ht="26" customHeight="1">
      <c r="A30" s="51" t="inlineStr">
        <is>
          <t>Management</t>
        </is>
      </c>
      <c r="B30" s="52" t="inlineStr">
        <is>
          <t>Project Management</t>
        </is>
      </c>
      <c r="C30" s="52" t="inlineStr">
        <is>
          <t>Project coordination stakeholder management and timeline oversight</t>
        </is>
      </c>
      <c r="D30" s="52" t="inlineStr">
        <is>
          <t>EO Project Manager</t>
        </is>
      </c>
      <c r="E30" s="55">
        <f>ROUND(SUM($G$3:$G$28)*0.10,0)</f>
        <v/>
      </c>
      <c r="F30" s="54">
        <f>'Estimate Settings'!$C$10</f>
        <v/>
      </c>
      <c r="G30" s="55">
        <f>$E30*$F30</f>
        <v/>
      </c>
      <c r="H30" s="56" t="n">
        <v>150</v>
      </c>
      <c r="I30" s="55">
        <f>TEXT($G30*$H30,"$#,##0")</f>
        <v/>
      </c>
      <c r="J30" s="52" t="inlineStr"/>
      <c r="K30" s="52" t="inlineStr">
        <is>
          <t>20% of engineering effort for wireless project delivery coordination</t>
        </is>
      </c>
    </row>
    <row r="31" ht="26" customHeight="1">
      <c r="A31" s="57" t="inlineStr"/>
      <c r="B31" s="57" t="inlineStr"/>
      <c r="C31" s="57" t="inlineStr"/>
      <c r="D31" s="57" t="inlineStr"/>
      <c r="E31" s="57" t="inlineStr"/>
      <c r="F31" s="58" t="inlineStr">
        <is>
          <t>TOTAL HOURS</t>
        </is>
      </c>
      <c r="G31" s="58">
        <f>SUM($G$3:$G$30)</f>
        <v/>
      </c>
      <c r="H31" s="58" t="inlineStr">
        <is>
          <t>TOTAL COST</t>
        </is>
      </c>
      <c r="I31" s="58">
        <f>TEXT(SUMPRODUCT($G$3:$G$30,$H$3:$H$30),"$#,##0")</f>
        <v/>
      </c>
      <c r="J31" s="57" t="inlineStr"/>
      <c r="K31" s="57" t="inlineStr">
        <is>
          <t>EO Sales Engineer: Update phase-based multipliers in Estimate Settings based on wireless deployment scope</t>
        </is>
      </c>
    </row>
  </sheetData>
  <autoFilter ref="A2:K31"/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100" customWidth="1" min="3" max="3"/>
  </cols>
  <sheetData>
    <row r="1" ht="32" customHeight="1">
      <c r="A1" s="35" t="inlineStr">
        <is>
          <t>Credits - Applied to Total Cost (Year 1 Only)</t>
        </is>
      </c>
    </row>
    <row r="2" ht="32" customHeight="1">
      <c r="A2" s="36" t="inlineStr">
        <is>
          <t>Credit Type</t>
        </is>
      </c>
      <c r="B2" s="36" t="inlineStr">
        <is>
          <t>Credit Amount</t>
        </is>
      </c>
      <c r="C2" s="36" t="inlineStr">
        <is>
          <t>Credit Comments</t>
        </is>
      </c>
    </row>
    <row r="3" ht="26" customHeight="1">
      <c r="A3" s="37" t="inlineStr">
        <is>
          <t>Juniper Partner Services Credit</t>
        </is>
      </c>
      <c r="B3" s="59" t="n">
        <v>-8000</v>
      </c>
      <c r="C3" s="38" t="inlineStr">
        <is>
          <t>Juniper Partner Network credit for wireless architecture and Mist AI deployment services</t>
        </is>
      </c>
    </row>
    <row r="4" ht="26" customHeight="1">
      <c r="A4" s="40" t="inlineStr">
        <is>
          <t>Implementation Discount</t>
        </is>
      </c>
      <c r="B4" s="60" t="n">
        <v>0</v>
      </c>
      <c r="C4" s="41" t="inlineStr">
        <is>
          <t>No implementation discount applicable</t>
        </is>
      </c>
    </row>
    <row r="5" ht="26" customHeight="1">
      <c r="A5" s="61" t="inlineStr">
        <is>
          <t>TOTAL</t>
        </is>
      </c>
      <c r="B5" s="62">
        <f>SUMPRODUCT($G$3:$G$30,$H$3:$H$30)-8000</f>
        <v/>
      </c>
      <c r="C5" s="61" t="n"/>
    </row>
  </sheetData>
  <autoFilter ref="A2:C5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2025-11-23T05:45:09Z</dcterms:modified>
  <cp:lastModifiedBy>Kishan Siram</cp:lastModifiedBy>
</cp:coreProperties>
</file>