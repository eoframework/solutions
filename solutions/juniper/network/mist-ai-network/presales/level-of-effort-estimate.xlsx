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Network - Mist Ai Network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WiFi 6E Access Points</t>
        </is>
      </c>
      <c r="C3" s="39" t="inlineStr">
        <is>
          <t>50 Juniper AP45 APs</t>
        </is>
      </c>
      <c r="D3" s="38" t="inlineStr">
        <is>
          <t>50 APs single building</t>
        </is>
      </c>
      <c r="E3" s="38" t="inlineStr">
        <is>
          <t>150 APs multi-building</t>
        </is>
      </c>
      <c r="F3" s="38" t="inlineStr">
        <is>
          <t>500+ APs campus</t>
        </is>
      </c>
      <c r="G3" s="38" t="inlineStr">
        <is>
          <t>Enterprise wireless deployment with Mist AI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Wired Assurance</t>
        </is>
      </c>
      <c r="C4" s="39" t="inlineStr">
        <is>
          <t>4 EX4400 PoE switches</t>
        </is>
      </c>
      <c r="D4" s="41" t="inlineStr">
        <is>
          <t>4 EX4400 switches</t>
        </is>
      </c>
      <c r="E4" s="41" t="inlineStr">
        <is>
          <t>12 EX4400 switches</t>
        </is>
      </c>
      <c r="F4" s="41" t="inlineStr">
        <is>
          <t>30+ EX switches</t>
        </is>
      </c>
      <c r="G4" s="41" t="inlineStr">
        <is>
          <t>Wired infrastructure with AI-driven management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SSIDs and VLANs</t>
        </is>
      </c>
      <c r="C5" s="39" t="inlineStr">
        <is>
          <t>3-5 wireless networks</t>
        </is>
      </c>
      <c r="D5" s="38" t="inlineStr">
        <is>
          <t>3-5 SSIDs (corp guest IoT)</t>
        </is>
      </c>
      <c r="E5" s="38" t="inlineStr">
        <is>
          <t>8-10 SSIDs multi-tenant</t>
        </is>
      </c>
      <c r="F5" s="38" t="inlineStr">
        <is>
          <t>15+ SSIDs complex segmentation</t>
        </is>
      </c>
      <c r="G5" s="38" t="inlineStr">
        <is>
          <t>Wireless network segmentation and access control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</t>
        </is>
      </c>
      <c r="D6" s="41" t="inlineStr">
        <is>
          <t>2 integrations (auth monitoring)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RADIUS SIEM and authentication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Location Services</t>
        </is>
      </c>
      <c r="C7" s="39" t="inlineStr">
        <is>
          <t>Indoor positioning enabled</t>
        </is>
      </c>
      <c r="D7" s="38" t="inlineStr">
        <is>
          <t>vBLE for 1 building</t>
        </is>
      </c>
      <c r="E7" s="38" t="inlineStr">
        <is>
          <t>vBLE for multi-building campus</t>
        </is>
      </c>
      <c r="F7" s="38" t="inlineStr">
        <is>
          <t>Advanced wayfinding asset tracking</t>
        </is>
      </c>
      <c r="G7" s="38" t="inlineStr">
        <is>
          <t>Virtual Bluetooth LE and location analytics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Concurrent Wireless Users</t>
        </is>
      </c>
      <c r="C8" s="39" t="inlineStr">
        <is>
          <t>500-1000 concurrent users</t>
        </is>
      </c>
      <c r="D8" s="41" t="inlineStr">
        <is>
          <t>500-1000 users</t>
        </is>
      </c>
      <c r="E8" s="41" t="inlineStr">
        <is>
          <t>2000-5000 users</t>
        </is>
      </c>
      <c r="F8" s="41" t="inlineStr">
        <is>
          <t>10000+ users</t>
        </is>
      </c>
      <c r="G8" s="41" t="inlineStr">
        <is>
          <t>Peak concurrent wireless client capacity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Network Administrators</t>
        </is>
      </c>
      <c r="C9" s="39" t="inlineStr">
        <is>
          <t>3 wireless administrators</t>
        </is>
      </c>
      <c r="D9" s="38" t="inlineStr">
        <is>
          <t>2-3 administrators</t>
        </is>
      </c>
      <c r="E9" s="38" t="inlineStr">
        <is>
          <t>5-8 administrators</t>
        </is>
      </c>
      <c r="F9" s="38" t="inlineStr">
        <is>
          <t>12+ administrators</t>
        </is>
      </c>
      <c r="G9" s="38" t="inlineStr">
        <is>
          <t>Wireless network administrators and operators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Access Point Count</t>
        </is>
      </c>
      <c r="C10" s="39" t="inlineStr">
        <is>
          <t>50 access points</t>
        </is>
      </c>
      <c r="D10" s="41" t="inlineStr">
        <is>
          <t>50 APs single site</t>
        </is>
      </c>
      <c r="E10" s="41" t="inlineStr">
        <is>
          <t>150 APs multi-site</t>
        </is>
      </c>
      <c r="F10" s="41" t="inlineStr">
        <is>
          <t>500+ APs campus</t>
        </is>
      </c>
      <c r="G10" s="41" t="inlineStr">
        <is>
          <t>Total AP deployment for coverage and capacity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Client Device Count</t>
        </is>
      </c>
      <c r="C11" s="39" t="inlineStr">
        <is>
          <t>2000 total devices</t>
        </is>
      </c>
      <c r="D11" s="38" t="inlineStr">
        <is>
          <t>2000 devices</t>
        </is>
      </c>
      <c r="E11" s="38" t="inlineStr">
        <is>
          <t>8000 devices</t>
        </is>
      </c>
      <c r="F11" s="38" t="inlineStr">
        <is>
          <t>20000+ devices</t>
        </is>
      </c>
      <c r="G11" s="38" t="inlineStr">
        <is>
          <t>Total wireless client device inventory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Building Types</t>
        </is>
      </c>
      <c r="C12" s="39" t="inlineStr">
        <is>
          <t>Office commercial building</t>
        </is>
      </c>
      <c r="D12" s="41" t="inlineStr">
        <is>
          <t>Single building type</t>
        </is>
      </c>
      <c r="E12" s="41" t="inlineStr">
        <is>
          <t>Multi-building campus</t>
        </is>
      </c>
      <c r="F12" s="41" t="inlineStr">
        <is>
          <t>Complex campus multiple building types</t>
        </is>
      </c>
      <c r="G12" s="41" t="inlineStr">
        <is>
          <t>Facility type and RF environment complexity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Deployment Locations</t>
        </is>
      </c>
      <c r="C13" s="39" t="inlineStr">
        <is>
          <t>Single building multi-floor</t>
        </is>
      </c>
      <c r="D13" s="38" t="inlineStr">
        <is>
          <t>Single building</t>
        </is>
      </c>
      <c r="E13" s="38" t="inlineStr">
        <is>
          <t>2-3 buildings</t>
        </is>
      </c>
      <c r="F13" s="38" t="inlineStr">
        <is>
          <t>5+ buildings or campus</t>
        </is>
      </c>
      <c r="G13" s="38" t="inlineStr">
        <is>
          <t>Geographic distribution for wireless deployment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RF Environment</t>
        </is>
      </c>
      <c r="C14" s="39" t="inlineStr">
        <is>
          <t>Standard office construction</t>
        </is>
      </c>
      <c r="D14" s="41" t="inlineStr">
        <is>
          <t>Standard office low interference</t>
        </is>
      </c>
      <c r="E14" s="41" t="inlineStr">
        <is>
          <t>High-density or industrial</t>
        </is>
      </c>
      <c r="F14" s="41" t="inlineStr">
        <is>
          <t>Complex RF stadium healthcare</t>
        </is>
      </c>
      <c r="G14" s="41" t="inlineStr">
        <is>
          <t>RF propagation and interference considerations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Authentication Methods</t>
        </is>
      </c>
      <c r="C15" s="39" t="inlineStr">
        <is>
          <t>802.1X RADIUS</t>
        </is>
      </c>
      <c r="D15" s="38" t="inlineStr">
        <is>
          <t>Basic 802.1X + PSK</t>
        </is>
      </c>
      <c r="E15" s="38" t="inlineStr">
        <is>
          <t>Advanced multi-factor PKI</t>
        </is>
      </c>
      <c r="F15" s="38" t="inlineStr">
        <is>
          <t>Complex federation SSO</t>
        </is>
      </c>
      <c r="G15" s="38" t="inlineStr">
        <is>
          <t>Enterprise wireless authentication architecture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Basic security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(HIPAA PCI)</t>
        </is>
      </c>
      <c r="G16" s="41" t="inlineStr">
        <is>
          <t>Regulatory compliance for wireless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Coverage Requirements</t>
        </is>
      </c>
      <c r="C17" s="39" t="inlineStr">
        <is>
          <t>Standard office coverage</t>
        </is>
      </c>
      <c r="D17" s="38" t="inlineStr">
        <is>
          <t>Standard office coverage</t>
        </is>
      </c>
      <c r="E17" s="38" t="inlineStr">
        <is>
          <t>High-density conference rooms</t>
        </is>
      </c>
      <c r="F17" s="38" t="inlineStr">
        <is>
          <t>Mission-critical 99.99% uptime</t>
        </is>
      </c>
      <c r="G17" s="38" t="inlineStr">
        <is>
          <t>Wireless coverage density and performance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Client Experience SLEs</t>
        </is>
      </c>
      <c r="C18" s="39" t="inlineStr">
        <is>
          <t>99% successful connects</t>
        </is>
      </c>
      <c r="D18" s="41" t="inlineStr">
        <is>
          <t>Standard SLEs 95%</t>
        </is>
      </c>
      <c r="E18" s="41" t="inlineStr">
        <is>
          <t>Enhanced SLEs 98%</t>
        </is>
      </c>
      <c r="F18" s="41" t="inlineStr">
        <is>
          <t>Premium SLEs 99.5%+</t>
        </is>
      </c>
      <c r="G18" s="41" t="inlineStr">
        <is>
          <t>Mist AI Service Level Expectations tracking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(staging prod)</t>
        </is>
      </c>
      <c r="D19" s="38" t="inlineStr">
        <is>
          <t>2 environments</t>
        </is>
      </c>
      <c r="E19" s="38" t="inlineStr">
        <is>
          <t>3 environments (dev stage prod)</t>
        </is>
      </c>
      <c r="F19" s="38" t="inlineStr">
        <is>
          <t>4+ environments with lab</t>
        </is>
      </c>
      <c r="G19" s="38" t="inlineStr">
        <is>
          <t>Environment management for wireless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(Wireless Requirements Assessment, Facility Assessment, Network Integration Analysis)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(RF Site Survey, WLAN Architecture Design, Location Services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(Switch Infrastructure Deployment, Mist Cloud Configuration, AP Installation, Authentication Integration, Marvis AI Activation, Location Services Setup, Wired Assurance Config)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(RF Validation Testing, Client Connectivity Testing, Location Services Testing, Performance Testing,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(Legacy AP Decommissioning,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(Mist Dashboard Training, Marvis AI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SLE Baseline Establishment)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Wireless Requirements Assessment</t>
        </is>
      </c>
      <c r="C3" s="46" t="inlineStr">
        <is>
          <t>Analyze current wireless infrastructure coverage and performance issues</t>
        </is>
      </c>
      <c r="D3" s="46" t="inlineStr">
        <is>
          <t>EO Engineer</t>
        </is>
      </c>
      <c r="E3" s="47" t="n">
        <v>32</v>
      </c>
      <c r="F3" s="48">
        <f>'Estimate Settings'!$C$3</f>
        <v/>
      </c>
      <c r="G3" s="49">
        <f>$E3*$F3</f>
        <v/>
      </c>
      <c r="H3" s="50" t="n">
        <v>200</v>
      </c>
      <c r="I3" s="49">
        <f>TEXT($G3*$H3,"$#,##0")</f>
        <v/>
      </c>
      <c r="J3" s="46" t="inlineStr"/>
      <c r="K3" s="46" t="inlineStr">
        <is>
          <t>Document WiFi dead zones user complaints and capacity needs</t>
        </is>
      </c>
    </row>
    <row r="4" ht="26" customHeight="1">
      <c r="A4" s="51" t="inlineStr">
        <is>
          <t>Discovery</t>
        </is>
      </c>
      <c r="B4" s="52" t="inlineStr">
        <is>
          <t>Facility Assessment</t>
        </is>
      </c>
      <c r="C4" s="52" t="inlineStr">
        <is>
          <t>Review building layouts construction materials and coverage requirements</t>
        </is>
      </c>
      <c r="D4" s="52" t="inlineStr">
        <is>
          <t>EO Engineer</t>
        </is>
      </c>
      <c r="E4" s="53" t="n">
        <v>24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Building floor plans and RF propagation analysis for AP placement</t>
        </is>
      </c>
    </row>
    <row r="5" ht="26" customHeight="1">
      <c r="A5" s="45" t="inlineStr">
        <is>
          <t>Discovery</t>
        </is>
      </c>
      <c r="B5" s="46" t="inlineStr">
        <is>
          <t>Network Integration Analysis</t>
        </is>
      </c>
      <c r="C5" s="46" t="inlineStr">
        <is>
          <t>Assess existing wired network VLANs and authentication infrastructure</t>
        </is>
      </c>
      <c r="D5" s="46" t="inlineStr">
        <is>
          <t>EO Engineer</t>
        </is>
      </c>
      <c r="E5" s="47" t="n">
        <v>16</v>
      </c>
      <c r="F5" s="48">
        <f>'Estimate Settings'!$C$3</f>
        <v/>
      </c>
      <c r="G5" s="49">
        <f>$E5*$F5</f>
        <v/>
      </c>
      <c r="H5" s="50" t="n">
        <v>175</v>
      </c>
      <c r="I5" s="49">
        <f>TEXT($G5*$H5,"$#,##0")</f>
        <v/>
      </c>
      <c r="J5" s="46" t="inlineStr"/>
      <c r="K5" s="46" t="inlineStr">
        <is>
          <t>VLAN design DHCP scopes and RADIUS integration requirements</t>
        </is>
      </c>
    </row>
    <row r="6" ht="26" customHeight="1">
      <c r="A6" s="51" t="inlineStr">
        <is>
          <t>Planning</t>
        </is>
      </c>
      <c r="B6" s="52" t="inlineStr">
        <is>
          <t>RF Site Survey</t>
        </is>
      </c>
      <c r="C6" s="52" t="inlineStr">
        <is>
          <t>Conduct predictive RF site survey using Mist AI planning tools</t>
        </is>
      </c>
      <c r="D6" s="52" t="inlineStr">
        <is>
          <t>EO Engineer</t>
        </is>
      </c>
      <c r="E6" s="53" t="n">
        <v>40</v>
      </c>
      <c r="F6" s="54">
        <f>'Estimate Settings'!$C$4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>
        <is>
          <t>Facility Assessment</t>
        </is>
      </c>
      <c r="K6" s="52" t="inlineStr">
        <is>
          <t>Deliverable: AP placement design for optimal coverage and capacity</t>
        </is>
      </c>
    </row>
    <row r="7" ht="26" customHeight="1">
      <c r="A7" s="45" t="inlineStr">
        <is>
          <t>Planning</t>
        </is>
      </c>
      <c r="B7" s="46" t="inlineStr">
        <is>
          <t>WLAN Architecture Design</t>
        </is>
      </c>
      <c r="C7" s="46" t="inlineStr">
        <is>
          <t>Design SSID strategy VLAN segmentation and security policies</t>
        </is>
      </c>
      <c r="D7" s="46" t="inlineStr">
        <is>
          <t>EO Engineer</t>
        </is>
      </c>
      <c r="E7" s="47" t="n">
        <v>32</v>
      </c>
      <c r="F7" s="48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Network Integration Analysis</t>
        </is>
      </c>
      <c r="K7" s="46" t="inlineStr">
        <is>
          <t>Corporate guest IoT and voice wireless networks architecture</t>
        </is>
      </c>
    </row>
    <row r="8" ht="26" customHeight="1">
      <c r="A8" s="51" t="inlineStr">
        <is>
          <t>Planning</t>
        </is>
      </c>
      <c r="B8" s="52" t="inlineStr">
        <is>
          <t>Location Services Design</t>
        </is>
      </c>
      <c r="C8" s="52" t="inlineStr">
        <is>
          <t>Design vBLE indoor positioning wayfinding and asset tracking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200</v>
      </c>
      <c r="I8" s="55">
        <f>TEXT($G8*$H8,"$#,##0")</f>
        <v/>
      </c>
      <c r="J8" s="52" t="inlineStr">
        <is>
          <t>RF Site Survey</t>
        </is>
      </c>
      <c r="K8" s="52" t="inlineStr">
        <is>
          <t>Location-based services and occupancy analytics requirements</t>
        </is>
      </c>
    </row>
    <row r="9" ht="26" customHeight="1">
      <c r="A9" s="45" t="inlineStr">
        <is>
          <t>Planning</t>
        </is>
      </c>
      <c r="B9" s="46" t="inlineStr">
        <is>
          <t>Implementation Planning</t>
        </is>
      </c>
      <c r="C9" s="46" t="inlineStr">
        <is>
          <t>Develop AP installation schedule and cutover strategy</t>
        </is>
      </c>
      <c r="D9" s="46" t="inlineStr">
        <is>
          <t>EO Engineer</t>
        </is>
      </c>
      <c r="E9" s="47" t="n">
        <v>16</v>
      </c>
      <c r="F9" s="48">
        <f>'Estimate Settings'!$C$4</f>
        <v/>
      </c>
      <c r="G9" s="49">
        <f>$E9*$F9</f>
        <v/>
      </c>
      <c r="H9" s="50" t="n">
        <v>150</v>
      </c>
      <c r="I9" s="49">
        <f>TEXT($G9*$H9,"$#,##0")</f>
        <v/>
      </c>
      <c r="J9" s="46" t="inlineStr">
        <is>
          <t>WLAN Architecture Design</t>
        </is>
      </c>
      <c r="K9" s="46" t="inlineStr">
        <is>
          <t>Deliverable: Minimize business disruption during wireless deployment</t>
        </is>
      </c>
    </row>
    <row r="10" ht="26" customHeight="1">
      <c r="A10" s="51" t="inlineStr">
        <is>
          <t>Development</t>
        </is>
      </c>
      <c r="B10" s="52" t="inlineStr">
        <is>
          <t>Switch Infrastructure Deployment</t>
        </is>
      </c>
      <c r="C10" s="52" t="inlineStr">
        <is>
          <t>Deploy and configure EX4400 PoE switches for AP power and connectivity</t>
        </is>
      </c>
      <c r="D10" s="52" t="inlineStr">
        <is>
          <t>EO Engineer</t>
        </is>
      </c>
      <c r="E10" s="53" t="n">
        <v>32</v>
      </c>
      <c r="F10" s="54">
        <f>'Estimate Settings'!$C$5</f>
        <v/>
      </c>
      <c r="G10" s="55">
        <f>$E10*$F10</f>
        <v/>
      </c>
      <c r="H10" s="56" t="n">
        <v>200</v>
      </c>
      <c r="I10" s="55">
        <f>TEXT($G10*$H10,"$#,##0")</f>
        <v/>
      </c>
      <c r="J10" s="52" t="inlineStr">
        <is>
          <t>Implementation Planning</t>
        </is>
      </c>
      <c r="K10" s="52" t="inlineStr">
        <is>
          <t>4 switches with uplinks to existing network and PoE capacity</t>
        </is>
      </c>
    </row>
    <row r="11" ht="26" customHeight="1">
      <c r="A11" s="45" t="inlineStr">
        <is>
          <t>Development</t>
        </is>
      </c>
      <c r="B11" s="46" t="inlineStr">
        <is>
          <t>Mist Cloud Configuration</t>
        </is>
      </c>
      <c r="C11" s="46" t="inlineStr">
        <is>
          <t>Configure Mist cloud with SSIDs VLANs RF policies and security settings</t>
        </is>
      </c>
      <c r="D11" s="46" t="inlineStr">
        <is>
          <t>EO Engineer</t>
        </is>
      </c>
      <c r="E11" s="47" t="n">
        <v>40</v>
      </c>
      <c r="F11" s="48">
        <f>'Estimate Settings'!$C$5</f>
        <v/>
      </c>
      <c r="G11" s="49">
        <f>$E11*$F11</f>
        <v/>
      </c>
      <c r="H11" s="50" t="n">
        <v>200</v>
      </c>
      <c r="I11" s="49">
        <f>TEXT($G11*$H11,"$#,##0")</f>
        <v/>
      </c>
      <c r="J11" s="46" t="inlineStr">
        <is>
          <t>Switch Infrastructure Deployment</t>
        </is>
      </c>
      <c r="K11" s="46" t="inlineStr">
        <is>
          <t>WLAN profiles RF templates and wireless policy deployment</t>
        </is>
      </c>
    </row>
    <row r="12" ht="26" customHeight="1">
      <c r="A12" s="51" t="inlineStr">
        <is>
          <t>Development</t>
        </is>
      </c>
      <c r="B12" s="52" t="inlineStr">
        <is>
          <t>AP Installation</t>
        </is>
      </c>
      <c r="C12" s="52" t="inlineStr">
        <is>
          <t>Mount cable and deploy 50 Juniper AP45 WiFi 6E access points</t>
        </is>
      </c>
      <c r="D12" s="52" t="inlineStr">
        <is>
          <t>EO Engineer</t>
        </is>
      </c>
      <c r="E12" s="53" t="n">
        <v>100</v>
      </c>
      <c r="F12" s="54">
        <f>'Estimate Settings'!$C$5</f>
        <v/>
      </c>
      <c r="G12" s="55">
        <f>$E12*$F12</f>
        <v/>
      </c>
      <c r="H12" s="56" t="n">
        <v>150</v>
      </c>
      <c r="I12" s="55">
        <f>TEXT($G12*$H12,"$#,##0")</f>
        <v/>
      </c>
      <c r="J12" s="52" t="inlineStr">
        <is>
          <t>Mist Cloud Configuration</t>
        </is>
      </c>
      <c r="K12" s="52" t="inlineStr">
        <is>
          <t>Physical installation across multiple buildings and floors</t>
        </is>
      </c>
    </row>
    <row r="13" ht="26" customHeight="1">
      <c r="A13" s="45" t="inlineStr">
        <is>
          <t>Development</t>
        </is>
      </c>
      <c r="B13" s="46" t="inlineStr">
        <is>
          <t>Authentication Integration</t>
        </is>
      </c>
      <c r="C13" s="46" t="inlineStr">
        <is>
          <t>Integrate Mist with RADIUS Active Directory or SSO for enterprise auth</t>
        </is>
      </c>
      <c r="D13" s="46" t="inlineStr">
        <is>
          <t>EO Engineer</t>
        </is>
      </c>
      <c r="E13" s="47" t="n">
        <v>24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AP Installation</t>
        </is>
      </c>
      <c r="K13" s="46" t="inlineStr">
        <is>
          <t>802.1X configuration and user authentication testing validation</t>
        </is>
      </c>
    </row>
    <row r="14" ht="26" customHeight="1">
      <c r="A14" s="51" t="inlineStr">
        <is>
          <t>Development</t>
        </is>
      </c>
      <c r="B14" s="52" t="inlineStr">
        <is>
          <t>Marvis AI Activation</t>
        </is>
      </c>
      <c r="C14" s="52" t="inlineStr">
        <is>
          <t>Enable Marvis VNA for AI-driven troubleshooting and anomaly detection</t>
        </is>
      </c>
      <c r="D14" s="52" t="inlineStr">
        <is>
          <t>EO Engineer</t>
        </is>
      </c>
      <c r="E14" s="53" t="n">
        <v>16</v>
      </c>
      <c r="F14" s="54">
        <f>'Estimate Settings'!$C$5</f>
        <v/>
      </c>
      <c r="G14" s="55">
        <f>$E14*$F14</f>
        <v/>
      </c>
      <c r="H14" s="56" t="n">
        <v>200</v>
      </c>
      <c r="I14" s="55">
        <f>TEXT($G14*$H14,"$#,##0")</f>
        <v/>
      </c>
      <c r="J14" s="52" t="inlineStr">
        <is>
          <t>Authentication Integration</t>
        </is>
      </c>
      <c r="K14" s="52" t="inlineStr">
        <is>
          <t>AI virtual assistant configuration and SLE baseline establishment</t>
        </is>
      </c>
    </row>
    <row r="15" ht="26" customHeight="1">
      <c r="A15" s="45" t="inlineStr">
        <is>
          <t>Development</t>
        </is>
      </c>
      <c r="B15" s="46" t="inlineStr">
        <is>
          <t>Location Services Setup</t>
        </is>
      </c>
      <c r="C15" s="46" t="inlineStr">
        <is>
          <t>Configure vBLE indoor positioning wayfinding maps and asset tracking</t>
        </is>
      </c>
      <c r="D15" s="46" t="inlineStr">
        <is>
          <t>EO Engineer</t>
        </is>
      </c>
      <c r="E15" s="47" t="n">
        <v>32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Marvis AI Activation</t>
        </is>
      </c>
      <c r="K15" s="46" t="inlineStr">
        <is>
          <t>Virtual BLE beacons location analytics and wayfinding setup</t>
        </is>
      </c>
    </row>
    <row r="16" ht="26" customHeight="1">
      <c r="A16" s="51" t="inlineStr">
        <is>
          <t>Development</t>
        </is>
      </c>
      <c r="B16" s="52" t="inlineStr">
        <is>
          <t>Wired Assurance Config</t>
        </is>
      </c>
      <c r="C16" s="52" t="inlineStr">
        <is>
          <t>Onboard EX4400 switches to Wired Assurance for unified management</t>
        </is>
      </c>
      <c r="D16" s="52" t="inlineStr">
        <is>
          <t>EO Engineer</t>
        </is>
      </c>
      <c r="E16" s="53" t="n">
        <v>16</v>
      </c>
      <c r="F16" s="54">
        <f>'Estimate Settings'!$C$5</f>
        <v/>
      </c>
      <c r="G16" s="55">
        <f>$E16*$F16</f>
        <v/>
      </c>
      <c r="H16" s="56" t="n">
        <v>180</v>
      </c>
      <c r="I16" s="55">
        <f>TEXT($G16*$H16,"$#,##0")</f>
        <v/>
      </c>
      <c r="J16" s="52" t="inlineStr">
        <is>
          <t>Location Services Setup</t>
        </is>
      </c>
      <c r="K16" s="52" t="inlineStr">
        <is>
          <t>Wired network visibility and AI-driven switch operations</t>
        </is>
      </c>
    </row>
    <row r="17" ht="26" customHeight="1">
      <c r="A17" s="45" t="inlineStr">
        <is>
          <t>Testing</t>
        </is>
      </c>
      <c r="B17" s="46" t="inlineStr">
        <is>
          <t>RF Validation Testing</t>
        </is>
      </c>
      <c r="C17" s="46" t="inlineStr">
        <is>
          <t>Conduct coverage testing throughput validation and roaming verification</t>
        </is>
      </c>
      <c r="D17" s="46" t="inlineStr">
        <is>
          <t>EO Engineer</t>
        </is>
      </c>
      <c r="E17" s="47" t="n">
        <v>40</v>
      </c>
      <c r="F17" s="48">
        <f>'Estimate Settings'!$C$6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Wired Assurance Config</t>
        </is>
      </c>
      <c r="K17" s="46" t="inlineStr">
        <is>
          <t>Walk-through testing with spectrum analyzer and wireless client devices</t>
        </is>
      </c>
    </row>
    <row r="18" ht="26" customHeight="1">
      <c r="A18" s="51" t="inlineStr">
        <is>
          <t>Testing</t>
        </is>
      </c>
      <c r="B18" s="52" t="inlineStr">
        <is>
          <t>Client Connectivity Testing</t>
        </is>
      </c>
      <c r="C18" s="52" t="inlineStr">
        <is>
          <t>Test authentication client onboarding and application performance</t>
        </is>
      </c>
      <c r="D18" s="52" t="inlineStr">
        <is>
          <t>EO Engineer</t>
        </is>
      </c>
      <c r="E18" s="53" t="n">
        <v>24</v>
      </c>
      <c r="F18" s="54">
        <f>'Estimate Settings'!$C$6</f>
        <v/>
      </c>
      <c r="G18" s="55">
        <f>$E18*$F18</f>
        <v/>
      </c>
      <c r="H18" s="56" t="n">
        <v>175</v>
      </c>
      <c r="I18" s="55">
        <f>TEXT($G18*$H18,"$#,##0")</f>
        <v/>
      </c>
      <c r="J18" s="52" t="inlineStr">
        <is>
          <t>RF Validation Testing</t>
        </is>
      </c>
      <c r="K18" s="52" t="inlineStr">
        <is>
          <t>Validate corporate guest IoT and voice wireless network connectivity</t>
        </is>
      </c>
    </row>
    <row r="19" ht="26" customHeight="1">
      <c r="A19" s="45" t="inlineStr">
        <is>
          <t>Testing</t>
        </is>
      </c>
      <c r="B19" s="46" t="inlineStr">
        <is>
          <t>Location Services Testing</t>
        </is>
      </c>
      <c r="C19" s="46" t="inlineStr">
        <is>
          <t>Validate vBLE accuracy wayfinding navigation and asset tracking</t>
        </is>
      </c>
      <c r="D19" s="46" t="inlineStr">
        <is>
          <t>EO Engineer</t>
        </is>
      </c>
      <c r="E19" s="47" t="n">
        <v>16</v>
      </c>
      <c r="F19" s="48">
        <f>'Estimate Settings'!$C$6</f>
        <v/>
      </c>
      <c r="G19" s="49">
        <f>$E19*$F19</f>
        <v/>
      </c>
      <c r="H19" s="50" t="n">
        <v>175</v>
      </c>
      <c r="I19" s="49">
        <f>TEXT($G19*$H19,"$#,##0")</f>
        <v/>
      </c>
      <c r="J19" s="46" t="inlineStr">
        <is>
          <t>Client Connectivity Testing</t>
        </is>
      </c>
      <c r="K19" s="46" t="inlineStr">
        <is>
          <t>Indoor positioning accuracy and mobile app integration testing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high-density client load</t>
        </is>
      </c>
      <c r="D20" s="52" t="inlineStr">
        <is>
          <t>EO Engineer</t>
        </is>
      </c>
      <c r="E20" s="53" t="n">
        <v>16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Location Services Testing</t>
        </is>
      </c>
      <c r="K20" s="52" t="inlineStr">
        <is>
          <t>Validate capacity and performance under real-world wireless conditions</t>
        </is>
      </c>
    </row>
    <row r="21" ht="26" customHeight="1">
      <c r="A21" s="45" t="inlineStr">
        <is>
          <t>Testing</t>
        </is>
      </c>
      <c r="B21" s="46" t="inlineStr">
        <is>
          <t>User Acceptance Testing</t>
        </is>
      </c>
      <c r="C21" s="46" t="inlineStr">
        <is>
          <t>Coordinate UAT with IT and business users for production readiness</t>
        </is>
      </c>
      <c r="D21" s="46" t="inlineStr">
        <is>
          <t>EO Engineer</t>
        </is>
      </c>
      <c r="E21" s="47" t="n">
        <v>24</v>
      </c>
      <c r="F21" s="48">
        <f>'Estimate Settings'!$C$6</f>
        <v/>
      </c>
      <c r="G21" s="49">
        <f>$E21*$F21</f>
        <v/>
      </c>
      <c r="H21" s="50" t="n">
        <v>150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End-user validation of wireless coverage performance and features</t>
        </is>
      </c>
    </row>
    <row r="22" ht="26" customHeight="1">
      <c r="A22" s="51" t="inlineStr">
        <is>
          <t>Deployment</t>
        </is>
      </c>
      <c r="B22" s="52" t="inlineStr">
        <is>
          <t>Legacy AP Decommissioning</t>
        </is>
      </c>
      <c r="C22" s="52" t="inlineStr">
        <is>
          <t>Decommission old wireless infrastructure and migrate to Mist APs</t>
        </is>
      </c>
      <c r="D22" s="52" t="inlineStr">
        <is>
          <t>EO Engineer</t>
        </is>
      </c>
      <c r="E22" s="53" t="n">
        <v>32</v>
      </c>
      <c r="F22" s="54">
        <f>'Estimate Settings'!$C$7</f>
        <v/>
      </c>
      <c r="G22" s="55">
        <f>$E22*$F22</f>
        <v/>
      </c>
      <c r="H22" s="56" t="n">
        <v>175</v>
      </c>
      <c r="I22" s="55">
        <f>TEXT($G22*$H22,"$#,##0")</f>
        <v/>
      </c>
      <c r="J22" s="52" t="inlineStr">
        <is>
          <t>User Acceptance Testing</t>
        </is>
      </c>
      <c r="K22" s="52" t="inlineStr">
        <is>
          <t>Incremental AP cutover with minimal business disruption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on-site support during production cutover and initial operation</t>
        </is>
      </c>
      <c r="D23" s="46" t="inlineStr">
        <is>
          <t>EO Engineer</t>
        </is>
      </c>
      <c r="E23" s="47" t="n">
        <v>40</v>
      </c>
      <c r="F23" s="48">
        <f>'Estimate Settings'!$C$7</f>
        <v/>
      </c>
      <c r="G23" s="49">
        <f>$E23*$F23</f>
        <v/>
      </c>
      <c r="H23" s="50" t="n">
        <v>200</v>
      </c>
      <c r="I23" s="49">
        <f>TEXT($G23*$H23,"$#,##0")</f>
        <v/>
      </c>
      <c r="J23" s="46" t="inlineStr">
        <is>
          <t>Legacy AP Decommissioning</t>
        </is>
      </c>
      <c r="K23" s="46" t="inlineStr">
        <is>
          <t>First week post-deployment support and wireless issue resolution</t>
        </is>
      </c>
    </row>
    <row r="24" ht="26" customHeight="1">
      <c r="A24" s="51" t="inlineStr">
        <is>
          <t>Training</t>
        </is>
      </c>
      <c r="B24" s="52" t="inlineStr">
        <is>
          <t>Mist Dashboard Training</t>
        </is>
      </c>
      <c r="C24" s="52" t="inlineStr">
        <is>
          <t>Train IT administrators on Mist cloud dashboard and configuration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200</v>
      </c>
      <c r="I24" s="55">
        <f>TEXT($G24*$H24,"$#,##0")</f>
        <v/>
      </c>
      <c r="J24" s="52" t="inlineStr">
        <is>
          <t>Go-Live Support</t>
        </is>
      </c>
      <c r="K24" s="52" t="inlineStr">
        <is>
          <t>2-day hands-on training for wireless network administrators</t>
        </is>
      </c>
    </row>
    <row r="25" ht="26" customHeight="1">
      <c r="A25" s="45" t="inlineStr">
        <is>
          <t>Training</t>
        </is>
      </c>
      <c r="B25" s="46" t="inlineStr">
        <is>
          <t>Marvis AI Training</t>
        </is>
      </c>
      <c r="C25" s="46" t="inlineStr">
        <is>
          <t>Train IT staff on Marvis VNA conversational AI and troubleshooting</t>
        </is>
      </c>
      <c r="D25" s="46" t="inlineStr">
        <is>
          <t>EO Engineer</t>
        </is>
      </c>
      <c r="E25" s="47" t="n">
        <v>8</v>
      </c>
      <c r="F25" s="48">
        <f>'Estimate Settings'!$C$8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Mist Dashboard Training</t>
        </is>
      </c>
      <c r="K25" s="46" t="inlineStr">
        <is>
          <t>AI-driven operations and proactive wireless monitoring training</t>
        </is>
      </c>
    </row>
    <row r="26" ht="26" customHeight="1">
      <c r="A26" s="51" t="inlineStr">
        <is>
          <t>Training</t>
        </is>
      </c>
      <c r="B26" s="52" t="inlineStr">
        <is>
          <t>Documentation Development</t>
        </is>
      </c>
      <c r="C26" s="52" t="inlineStr">
        <is>
          <t>Create as-built RF maps configuration guides and troubleshooting runbooks</t>
        </is>
      </c>
      <c r="D26" s="52" t="inlineStr">
        <is>
          <t>EO Engineer</t>
        </is>
      </c>
      <c r="E26" s="53" t="n">
        <v>32</v>
      </c>
      <c r="F26" s="54">
        <f>'Estimate Settings'!$C$8</f>
        <v/>
      </c>
      <c r="G26" s="55">
        <f>$E26*$F26</f>
        <v/>
      </c>
      <c r="H26" s="56" t="n">
        <v>150</v>
      </c>
      <c r="I26" s="55">
        <f>TEXT($G26*$H26,"$#,##0")</f>
        <v/>
      </c>
      <c r="J26" s="52" t="inlineStr">
        <is>
          <t>Marvis AI Training</t>
        </is>
      </c>
      <c r="K26" s="52" t="inlineStr">
        <is>
          <t>Deliverable: Operational documentation and wireless knowledge transfer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 and support teams</t>
        </is>
      </c>
      <c r="D27" s="46" t="inlineStr">
        <is>
          <t>EO Engineer</t>
        </is>
      </c>
      <c r="E27" s="47" t="n">
        <v>16</v>
      </c>
      <c r="F27" s="48">
        <f>'Estimate Settings'!$C$9</f>
        <v/>
      </c>
      <c r="G27" s="49">
        <f>$E27*$F27</f>
        <v/>
      </c>
      <c r="H27" s="50" t="n">
        <v>175</v>
      </c>
      <c r="I27" s="49">
        <f>TEXT($G27*$H27,"$#,##0")</f>
        <v/>
      </c>
      <c r="J27" s="46" t="inlineStr">
        <is>
          <t>Documentation Development</t>
        </is>
      </c>
      <c r="K27" s="46" t="inlineStr">
        <is>
          <t>Comprehensive handover including operational procedures and escalation</t>
        </is>
      </c>
    </row>
    <row r="28" ht="26" customHeight="1">
      <c r="A28" s="51" t="inlineStr">
        <is>
          <t>Closeout</t>
        </is>
      </c>
      <c r="B28" s="52" t="inlineStr">
        <is>
          <t>SLE Baseline Establishment</t>
        </is>
      </c>
      <c r="C28" s="52" t="inlineStr">
        <is>
          <t>Establish Service Level Expectation baselines for client experience monitoring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150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Successful connects time to connect throughput roaming capacity SLEs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Wireless architecture oversight and RF design review</t>
        </is>
      </c>
      <c r="D29" s="46" t="inlineStr">
        <is>
          <t>EO Quarterback</t>
        </is>
      </c>
      <c r="E29" s="49">
        <f>ROUND(SUM($G$3:$G$28)*0.10,0)</f>
        <v/>
      </c>
      <c r="F29" s="48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25% of engineering effort for wireless technical guidance and escalation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stakeholder management and timeline oversight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20% of engineering effort for wireless project delivery coordination</t>
        </is>
      </c>
    </row>
    <row r="31" ht="26" customHeight="1">
      <c r="A31" s="57" t="inlineStr"/>
      <c r="B31" s="57" t="inlineStr"/>
      <c r="C31" s="57" t="inlineStr"/>
      <c r="D31" s="57" t="inlineStr"/>
      <c r="E31" s="57" t="inlineStr"/>
      <c r="F31" s="58" t="inlineStr">
        <is>
          <t>TOTAL HOURS</t>
        </is>
      </c>
      <c r="G31" s="58">
        <f>SUM($G$3:$G$30)</f>
        <v/>
      </c>
      <c r="H31" s="58" t="inlineStr">
        <is>
          <t>TOTAL COST</t>
        </is>
      </c>
      <c r="I31" s="58">
        <f>TEXT(SUMPRODUCT($G$3:$G$30,$H$3:$H$30),"$#,##0")</f>
        <v/>
      </c>
      <c r="J31" s="57" t="inlineStr"/>
      <c r="K31" s="57" t="inlineStr">
        <is>
          <t>EO Sales Engineer: Update phase-based multipliers in Estimate Settings based on wireless deployment scope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-8000</v>
      </c>
      <c r="C3" s="38" t="inlineStr">
        <is>
          <t>Juniper Partner Network credit for wireless architecture and Mist AI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SUMPRODUCT($G$3:$G$30,$H$3:$H$30)-8000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2025-11-22T20:23:32Z</dcterms:modified>
  <cp:lastModifiedBy>Kishan Siram</cp:lastModifiedBy>
</cp:coreProperties>
</file>