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Guidelines'!$A$2:$F$12</definedName>
    <definedName name="_xlnm._FilterDatabase" localSheetId="2" hidden="1">'Infrastructure Costs'!$A$2:$K$22</definedName>
    <definedName name="_xlnm._FilterDatabase" localSheetId="3" hidden="1">'Credits'!$A$2:$D$6</definedName>
    <definedName name="_xlnm._FilterDatabase" localSheetId="4" hidden="1">'3-Year Summary'!$A$2:$G$7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Mist Ai Network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Wireless Infrastructure</t>
        </is>
      </c>
      <c r="B3" s="38" t="inlineStr">
        <is>
          <t>Access Point Count</t>
        </is>
      </c>
      <c r="C3" s="39" t="inlineStr">
        <is>
          <t>25 APs</t>
        </is>
      </c>
      <c r="D3" s="39" t="inlineStr">
        <is>
          <t>50 APs</t>
        </is>
      </c>
      <c r="E3" s="39" t="inlineStr">
        <is>
          <t>100+ APs</t>
        </is>
      </c>
      <c r="F3" s="38" t="inlineStr">
        <is>
          <t>WiFi 6E coverage for facility</t>
        </is>
      </c>
    </row>
    <row r="4" ht="26" customHeight="1">
      <c r="A4" s="40" t="inlineStr">
        <is>
          <t>Wireless Infrastructure</t>
        </is>
      </c>
      <c r="B4" s="41" t="inlineStr">
        <is>
          <t>User Capacity</t>
        </is>
      </c>
      <c r="C4" s="42" t="inlineStr">
        <is>
          <t>500 users</t>
        </is>
      </c>
      <c r="D4" s="42" t="inlineStr">
        <is>
          <t>1000 users</t>
        </is>
      </c>
      <c r="E4" s="42" t="inlineStr">
        <is>
          <t>2500+ users</t>
        </is>
      </c>
      <c r="F4" s="41" t="inlineStr">
        <is>
          <t>Concurrent wireless clients</t>
        </is>
      </c>
    </row>
    <row r="5" ht="26" customHeight="1">
      <c r="A5" s="37" t="inlineStr">
        <is>
          <t>Wireless Infrastructure</t>
        </is>
      </c>
      <c r="B5" s="38" t="inlineStr">
        <is>
          <t>Coverage Area</t>
        </is>
      </c>
      <c r="C5" s="39" t="inlineStr">
        <is>
          <t>50K sq ft</t>
        </is>
      </c>
      <c r="D5" s="39" t="inlineStr">
        <is>
          <t>100K sq ft</t>
        </is>
      </c>
      <c r="E5" s="39" t="inlineStr">
        <is>
          <t>250K+ sq ft</t>
        </is>
      </c>
      <c r="F5" s="38" t="inlineStr">
        <is>
          <t>Indoor facility coverage</t>
        </is>
      </c>
    </row>
    <row r="6" ht="26" customHeight="1">
      <c r="A6" s="40" t="inlineStr">
        <is>
          <t>Wireless Infrastructure</t>
        </is>
      </c>
      <c r="B6" s="41" t="inlineStr">
        <is>
          <t>Building Count</t>
        </is>
      </c>
      <c r="C6" s="42" t="inlineStr">
        <is>
          <t>1-2 buildings</t>
        </is>
      </c>
      <c r="D6" s="42" t="inlineStr">
        <is>
          <t>2-5 buildings</t>
        </is>
      </c>
      <c r="E6" s="42" t="inlineStr">
        <is>
          <t>5+ buildings</t>
        </is>
      </c>
      <c r="F6" s="41" t="inlineStr">
        <is>
          <t>Multi-building campus</t>
        </is>
      </c>
    </row>
    <row r="7" ht="26" customHeight="1">
      <c r="A7" s="37" t="inlineStr">
        <is>
          <t>Wired Infrastructure</t>
        </is>
      </c>
      <c r="B7" s="38" t="inlineStr">
        <is>
          <t>Switch Count</t>
        </is>
      </c>
      <c r="C7" s="39" t="inlineStr">
        <is>
          <t>2 switches</t>
        </is>
      </c>
      <c r="D7" s="39" t="inlineStr">
        <is>
          <t>4 switches</t>
        </is>
      </c>
      <c r="E7" s="39" t="inlineStr">
        <is>
          <t>8+ switches</t>
        </is>
      </c>
      <c r="F7" s="38" t="inlineStr">
        <is>
          <t>PoE access switches for APs</t>
        </is>
      </c>
    </row>
    <row r="8" ht="26" customHeight="1">
      <c r="A8" s="40" t="inlineStr">
        <is>
          <t>Wired Infrastructure</t>
        </is>
      </c>
      <c r="B8" s="41" t="inlineStr">
        <is>
          <t>Switch Ports</t>
        </is>
      </c>
      <c r="C8" s="42" t="inlineStr">
        <is>
          <t>48 ports</t>
        </is>
      </c>
      <c r="D8" s="42" t="inlineStr">
        <is>
          <t>96 ports</t>
        </is>
      </c>
      <c r="E8" s="42" t="inlineStr">
        <is>
          <t>192+ ports</t>
        </is>
      </c>
      <c r="F8" s="41" t="inlineStr">
        <is>
          <t>Total switch port capacity</t>
        </is>
      </c>
    </row>
    <row r="9" ht="26" customHeight="1">
      <c r="A9" s="37" t="inlineStr">
        <is>
          <t>Management Platform</t>
        </is>
      </c>
      <c r="B9" s="38" t="inlineStr">
        <is>
          <t>Mist Cloud Tier</t>
        </is>
      </c>
      <c r="C9" s="39" t="inlineStr">
        <is>
          <t>Mist Cloud Standard</t>
        </is>
      </c>
      <c r="D9" s="39" t="inlineStr">
        <is>
          <t>Mist Cloud Premium</t>
        </is>
      </c>
      <c r="E9" s="39" t="inlineStr">
        <is>
          <t>Mist Cloud Premium + Location</t>
        </is>
      </c>
      <c r="F9" s="38" t="inlineStr">
        <is>
          <t>AI-driven wireless management</t>
        </is>
      </c>
    </row>
    <row r="10" ht="26" customHeight="1">
      <c r="A10" s="40" t="inlineStr">
        <is>
          <t>Location Services</t>
        </is>
      </c>
      <c r="B10" s="41" t="inlineStr">
        <is>
          <t>vBLE Beacons</t>
        </is>
      </c>
      <c r="C10" s="42" t="inlineStr">
        <is>
          <t>25 virtual beacons</t>
        </is>
      </c>
      <c r="D10" s="42" t="inlineStr">
        <is>
          <t>50 virtual beacons</t>
        </is>
      </c>
      <c r="E10" s="42" t="inlineStr">
        <is>
          <t>100+ virtual beacons</t>
        </is>
      </c>
      <c r="F10" s="41" t="inlineStr">
        <is>
          <t>Indoor positioning via virtual BLE</t>
        </is>
      </c>
    </row>
    <row r="11" ht="26" customHeight="1">
      <c r="A11" s="37" t="inlineStr">
        <is>
          <t>Location Services</t>
        </is>
      </c>
      <c r="B11" s="38" t="inlineStr">
        <is>
          <t>Location Use Cases</t>
        </is>
      </c>
      <c r="C11" s="39" t="inlineStr">
        <is>
          <t>Basic wayfinding</t>
        </is>
      </c>
      <c r="D11" s="39" t="inlineStr">
        <is>
          <t>Asset tracking + Analytics</t>
        </is>
      </c>
      <c r="E11" s="39" t="inlineStr">
        <is>
          <t>Full location platform</t>
        </is>
      </c>
      <c r="F11" s="38" t="inlineStr">
        <is>
          <t>Location-based services complexity</t>
        </is>
      </c>
    </row>
    <row r="12" ht="26" customHeight="1">
      <c r="A12" s="40" t="inlineStr">
        <is>
          <t>Support &amp; Maintenance</t>
        </is>
      </c>
      <c r="B12" s="41" t="inlineStr">
        <is>
          <t>Support Level</t>
        </is>
      </c>
      <c r="C12" s="42" t="inlineStr">
        <is>
          <t>8x5 JTAC</t>
        </is>
      </c>
      <c r="D12" s="42" t="inlineStr">
        <is>
          <t>24x5 JTAC</t>
        </is>
      </c>
      <c r="E12" s="42" t="inlineStr">
        <is>
          <t>24x7 Premium JTAC</t>
        </is>
      </c>
      <c r="F12" s="41" t="inlineStr">
        <is>
          <t>Juniper technical support coverage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Hardware</t>
        </is>
      </c>
      <c r="B3" s="44" t="inlineStr">
        <is>
          <t>Juniper AP45 WiFi 6E</t>
        </is>
      </c>
      <c r="C3" s="44" t="inlineStr">
        <is>
          <t>WiFi 6E access points with 6 GHz support (9.6 Gbps tri-band)</t>
        </is>
      </c>
      <c r="D3" s="45" t="n">
        <v>50</v>
      </c>
      <c r="E3" s="44" t="inlineStr">
        <is>
          <t>Access Points</t>
        </is>
      </c>
      <c r="F3" s="46" t="n">
        <v>1500</v>
      </c>
      <c r="G3" s="46" t="n">
        <v>0</v>
      </c>
      <c r="H3" s="46" t="n">
        <v>0</v>
      </c>
      <c r="I3" s="46" t="n">
        <v>0</v>
      </c>
      <c r="J3" s="46" t="n">
        <v>75000</v>
      </c>
      <c r="K3" s="44" t="inlineStr">
        <is>
          <t>One-time CapEx for enterprise APs</t>
        </is>
      </c>
    </row>
    <row r="4" ht="26" customHeight="1">
      <c r="A4" s="47" t="inlineStr">
        <is>
          <t>Hardware</t>
        </is>
      </c>
      <c r="B4" s="48" t="inlineStr">
        <is>
          <t>Juniper EX4400 Switches</t>
        </is>
      </c>
      <c r="C4" s="48" t="inlineStr">
        <is>
          <t>48-port PoE++ Gigabit switches with 10G uplinks</t>
        </is>
      </c>
      <c r="D4" s="49" t="n">
        <v>4</v>
      </c>
      <c r="E4" s="48" t="inlineStr">
        <is>
          <t>Switches</t>
        </is>
      </c>
      <c r="F4" s="50" t="n">
        <v>8000</v>
      </c>
      <c r="G4" s="50" t="n">
        <v>0</v>
      </c>
      <c r="H4" s="50" t="n">
        <v>0</v>
      </c>
      <c r="I4" s="50" t="n">
        <v>0</v>
      </c>
      <c r="J4" s="50" t="n">
        <v>32000</v>
      </c>
      <c r="K4" s="48" t="inlineStr">
        <is>
          <t>PoE infrastructure for APs</t>
        </is>
      </c>
    </row>
    <row r="5" ht="26" customHeight="1">
      <c r="A5" s="43" t="inlineStr">
        <is>
          <t>Hardware</t>
        </is>
      </c>
      <c r="B5" s="44" t="inlineStr">
        <is>
          <t>Power Supplies</t>
        </is>
      </c>
      <c r="C5" s="44" t="inlineStr">
        <is>
          <t>Redundant AC power supplies for EX4400 switches</t>
        </is>
      </c>
      <c r="D5" s="45" t="n">
        <v>8</v>
      </c>
      <c r="E5" s="44" t="inlineStr">
        <is>
          <t>Power Supply</t>
        </is>
      </c>
      <c r="F5" s="46" t="n">
        <v>600</v>
      </c>
      <c r="G5" s="46" t="n">
        <v>0</v>
      </c>
      <c r="H5" s="46" t="n">
        <v>0</v>
      </c>
      <c r="I5" s="46" t="n">
        <v>0</v>
      </c>
      <c r="J5" s="46" t="n">
        <v>4800</v>
      </c>
      <c r="K5" s="44" t="inlineStr">
        <is>
          <t>HA redundancy</t>
        </is>
      </c>
    </row>
    <row r="6" ht="26" customHeight="1">
      <c r="A6" s="47" t="inlineStr">
        <is>
          <t>Hardware</t>
        </is>
      </c>
      <c r="B6" s="48" t="inlineStr">
        <is>
          <t>10G SFP+ Optics</t>
        </is>
      </c>
      <c r="C6" s="48" t="inlineStr">
        <is>
          <t>10G SFP+ transceivers for uplinks and stacking</t>
        </is>
      </c>
      <c r="D6" s="49" t="n">
        <v>16</v>
      </c>
      <c r="E6" s="48" t="inlineStr">
        <is>
          <t>Transceiver</t>
        </is>
      </c>
      <c r="F6" s="50" t="n">
        <v>300</v>
      </c>
      <c r="G6" s="50" t="n">
        <v>0</v>
      </c>
      <c r="H6" s="50" t="n">
        <v>0</v>
      </c>
      <c r="I6" s="50" t="n">
        <v>0</v>
      </c>
      <c r="J6" s="50" t="n">
        <v>4800</v>
      </c>
      <c r="K6" s="48" t="inlineStr">
        <is>
          <t>Uplink connectivity modules</t>
        </is>
      </c>
    </row>
    <row r="7" ht="26" customHeight="1">
      <c r="A7" s="43" t="inlineStr">
        <is>
          <t>Software</t>
        </is>
      </c>
      <c r="B7" s="44" t="inlineStr">
        <is>
          <t>Mist Cloud Subscription</t>
        </is>
      </c>
      <c r="C7" s="44" t="inlineStr">
        <is>
          <t>AI-driven wireless management per AP (50 APs)</t>
        </is>
      </c>
      <c r="D7" s="45" t="n">
        <v>50</v>
      </c>
      <c r="E7" s="44" t="inlineStr">
        <is>
          <t>AP/Year</t>
        </is>
      </c>
      <c r="F7" s="46" t="n">
        <v>300</v>
      </c>
      <c r="G7" s="46" t="n">
        <v>15000</v>
      </c>
      <c r="H7" s="46" t="n">
        <v>15000</v>
      </c>
      <c r="I7" s="46" t="n">
        <v>15000</v>
      </c>
      <c r="J7" s="46" t="n">
        <v>45000</v>
      </c>
      <c r="K7" s="44" t="inlineStr">
        <is>
          <t>Annual cloud management subscription</t>
        </is>
      </c>
    </row>
    <row r="8" ht="26" customHeight="1">
      <c r="A8" s="47" t="inlineStr">
        <is>
          <t>Software</t>
        </is>
      </c>
      <c r="B8" s="48" t="inlineStr">
        <is>
          <t>Mist Wired Assurance</t>
        </is>
      </c>
      <c r="C8" s="48" t="inlineStr">
        <is>
          <t>AI-driven switch management per switch (4 switches)</t>
        </is>
      </c>
      <c r="D8" s="49" t="n">
        <v>4</v>
      </c>
      <c r="E8" s="48" t="inlineStr">
        <is>
          <t>Switch/Year</t>
        </is>
      </c>
      <c r="F8" s="50" t="n">
        <v>600</v>
      </c>
      <c r="G8" s="50" t="n">
        <v>2400</v>
      </c>
      <c r="H8" s="50" t="n">
        <v>2400</v>
      </c>
      <c r="I8" s="50" t="n">
        <v>2400</v>
      </c>
      <c r="J8" s="50" t="n">
        <v>7200</v>
      </c>
      <c r="K8" s="48" t="inlineStr">
        <is>
          <t>Wired network management and AI</t>
        </is>
      </c>
    </row>
    <row r="9" ht="26" customHeight="1">
      <c r="A9" s="43" t="inlineStr">
        <is>
          <t>Software</t>
        </is>
      </c>
      <c r="B9" s="44" t="inlineStr">
        <is>
          <t>Location Services License</t>
        </is>
      </c>
      <c r="C9" s="44" t="inlineStr">
        <is>
          <t>Indoor positioning and wayfinding per AP</t>
        </is>
      </c>
      <c r="D9" s="45" t="n">
        <v>50</v>
      </c>
      <c r="E9" s="44" t="inlineStr">
        <is>
          <t>AP/Year</t>
        </is>
      </c>
      <c r="F9" s="46" t="n">
        <v>120</v>
      </c>
      <c r="G9" s="46" t="n">
        <v>6000</v>
      </c>
      <c r="H9" s="46" t="n">
        <v>6000</v>
      </c>
      <c r="I9" s="46" t="n">
        <v>6000</v>
      </c>
      <c r="J9" s="46" t="n">
        <v>18000</v>
      </c>
      <c r="K9" s="44" t="inlineStr">
        <is>
          <t>Virtual BLE location tracking</t>
        </is>
      </c>
    </row>
    <row r="10" ht="26" customHeight="1">
      <c r="A10" s="47" t="inlineStr">
        <is>
          <t>Software</t>
        </is>
      </c>
      <c r="B10" s="48" t="inlineStr">
        <is>
          <t>Marvis VNA</t>
        </is>
      </c>
      <c r="C10" s="48" t="inlineStr">
        <is>
          <t>Virtual Network Assistant AI for 50 APs</t>
        </is>
      </c>
      <c r="D10" s="49" t="n">
        <v>1</v>
      </c>
      <c r="E10" s="48" t="inlineStr">
        <is>
          <t>Subscription/Year</t>
        </is>
      </c>
      <c r="F10" s="50" t="n">
        <v>3000</v>
      </c>
      <c r="G10" s="50" t="n">
        <v>3000</v>
      </c>
      <c r="H10" s="50" t="n">
        <v>3000</v>
      </c>
      <c r="I10" s="50" t="n">
        <v>3000</v>
      </c>
      <c r="J10" s="50" t="n">
        <v>9000</v>
      </c>
      <c r="K10" s="48" t="inlineStr">
        <is>
          <t>Conversational AI troubleshooting</t>
        </is>
      </c>
    </row>
    <row r="11" ht="26" customHeight="1">
      <c r="A11" s="43" t="inlineStr">
        <is>
          <t>Software</t>
        </is>
      </c>
      <c r="B11" s="44" t="inlineStr">
        <is>
          <t>Premium Analytics</t>
        </is>
      </c>
      <c r="C11" s="44" t="inlineStr">
        <is>
          <t>Advanced user engagement and presence analytics</t>
        </is>
      </c>
      <c r="D11" s="45" t="n">
        <v>1</v>
      </c>
      <c r="E11" s="44" t="inlineStr">
        <is>
          <t>Subscription/Year</t>
        </is>
      </c>
      <c r="F11" s="46" t="n">
        <v>5000</v>
      </c>
      <c r="G11" s="46" t="n">
        <v>5000</v>
      </c>
      <c r="H11" s="46" t="n">
        <v>5000</v>
      </c>
      <c r="I11" s="46" t="n">
        <v>5000</v>
      </c>
      <c r="J11" s="46" t="n">
        <v>15000</v>
      </c>
      <c r="K11" s="44" t="inlineStr">
        <is>
          <t>Enhanced analytics beyond standard</t>
        </is>
      </c>
    </row>
    <row r="12" ht="26" customHeight="1">
      <c r="A12" s="47" t="inlineStr">
        <is>
          <t>Support &amp; Maintenance</t>
        </is>
      </c>
      <c r="B12" s="48" t="inlineStr">
        <is>
          <t>Juniper Support Premium</t>
        </is>
      </c>
      <c r="C12" s="48" t="inlineStr">
        <is>
          <t>24x7 JTAC support for APs and switches (54 devices)</t>
        </is>
      </c>
      <c r="D12" s="49" t="n">
        <v>54</v>
      </c>
      <c r="E12" s="48" t="inlineStr">
        <is>
          <t>Device/Year</t>
        </is>
      </c>
      <c r="F12" s="50" t="n">
        <v>180</v>
      </c>
      <c r="G12" s="50" t="n">
        <v>9720</v>
      </c>
      <c r="H12" s="50" t="n">
        <v>9720</v>
      </c>
      <c r="I12" s="50" t="n">
        <v>9720</v>
      </c>
      <c r="J12" s="50" t="n">
        <v>29160</v>
      </c>
      <c r="K12" s="48" t="inlineStr">
        <is>
          <t>Premium support with 4-hour response</t>
        </is>
      </c>
    </row>
    <row r="13" ht="26" customHeight="1">
      <c r="A13" s="43" t="inlineStr">
        <is>
          <t>Professional Services</t>
        </is>
      </c>
      <c r="B13" s="44" t="inlineStr">
        <is>
          <t>Site Survey</t>
        </is>
      </c>
      <c r="C13" s="44" t="inlineStr">
        <is>
          <t>Predictive and validation RF site survey for 100K sq ft</t>
        </is>
      </c>
      <c r="D13" s="45" t="n">
        <v>80</v>
      </c>
      <c r="E13" s="44" t="inlineStr">
        <is>
          <t>Hours</t>
        </is>
      </c>
      <c r="F13" s="46" t="n">
        <v>200</v>
      </c>
      <c r="G13" s="46" t="n">
        <v>16000</v>
      </c>
      <c r="H13" s="46" t="n">
        <v>0</v>
      </c>
      <c r="I13" s="46" t="n">
        <v>0</v>
      </c>
      <c r="J13" s="46" t="n">
        <v>16000</v>
      </c>
      <c r="K13" s="44" t="inlineStr">
        <is>
          <t>RF design and AP placement</t>
        </is>
      </c>
    </row>
    <row r="14" ht="26" customHeight="1">
      <c r="A14" s="47" t="inlineStr">
        <is>
          <t>Professional Services</t>
        </is>
      </c>
      <c r="B14" s="48" t="inlineStr">
        <is>
          <t>Installation Services</t>
        </is>
      </c>
      <c r="C14" s="48" t="inlineStr">
        <is>
          <t>AP mounting cabling and switch configuration</t>
        </is>
      </c>
      <c r="D14" s="49" t="n">
        <v>120</v>
      </c>
      <c r="E14" s="48" t="inlineStr">
        <is>
          <t>Hours</t>
        </is>
      </c>
      <c r="F14" s="50" t="n">
        <v>150</v>
      </c>
      <c r="G14" s="50" t="n">
        <v>18000</v>
      </c>
      <c r="H14" s="50" t="n">
        <v>0</v>
      </c>
      <c r="I14" s="50" t="n">
        <v>0</v>
      </c>
      <c r="J14" s="50" t="n">
        <v>18000</v>
      </c>
      <c r="K14" s="48" t="inlineStr">
        <is>
          <t>Physical installation and cabling</t>
        </is>
      </c>
    </row>
    <row r="15" ht="26" customHeight="1">
      <c r="A15" s="43" t="inlineStr">
        <is>
          <t>Professional Services</t>
        </is>
      </c>
      <c r="B15" s="44" t="inlineStr">
        <is>
          <t>Mist Configuration</t>
        </is>
      </c>
      <c r="C15" s="44" t="inlineStr">
        <is>
          <t>Mist cloud setup WLAN configuration and policy deployment</t>
        </is>
      </c>
      <c r="D15" s="45" t="n">
        <v>60</v>
      </c>
      <c r="E15" s="44" t="inlineStr">
        <is>
          <t>Hours</t>
        </is>
      </c>
      <c r="F15" s="46" t="n">
        <v>200</v>
      </c>
      <c r="G15" s="46" t="n">
        <v>12000</v>
      </c>
      <c r="H15" s="46" t="n">
        <v>0</v>
      </c>
      <c r="I15" s="46" t="n">
        <v>0</v>
      </c>
      <c r="J15" s="46" t="n">
        <v>12000</v>
      </c>
      <c r="K15" s="44" t="inlineStr">
        <is>
          <t>Wireless network configuration</t>
        </is>
      </c>
    </row>
    <row r="16" ht="26" customHeight="1">
      <c r="A16" s="47" t="inlineStr">
        <is>
          <t>Professional Services</t>
        </is>
      </c>
      <c r="B16" s="48" t="inlineStr">
        <is>
          <t>Wired Assurance Setup</t>
        </is>
      </c>
      <c r="C16" s="48" t="inlineStr">
        <is>
          <t>Switch onboarding and wired assurance configuration</t>
        </is>
      </c>
      <c r="D16" s="49" t="n">
        <v>24</v>
      </c>
      <c r="E16" s="48" t="inlineStr">
        <is>
          <t>Hours</t>
        </is>
      </c>
      <c r="F16" s="50" t="n">
        <v>200</v>
      </c>
      <c r="G16" s="50" t="n">
        <v>4800</v>
      </c>
      <c r="H16" s="50" t="n">
        <v>0</v>
      </c>
      <c r="I16" s="50" t="n">
        <v>0</v>
      </c>
      <c r="J16" s="50" t="n">
        <v>4800</v>
      </c>
      <c r="K16" s="48" t="inlineStr">
        <is>
          <t>Wired network integration</t>
        </is>
      </c>
    </row>
    <row r="17" ht="26" customHeight="1">
      <c r="A17" s="43" t="inlineStr">
        <is>
          <t>Professional Services</t>
        </is>
      </c>
      <c r="B17" s="44" t="inlineStr">
        <is>
          <t>Location Services Config</t>
        </is>
      </c>
      <c r="C17" s="44" t="inlineStr">
        <is>
          <t>vBLE setup wayfinding and asset tracking configuration</t>
        </is>
      </c>
      <c r="D17" s="45" t="n">
        <v>32</v>
      </c>
      <c r="E17" s="44" t="inlineStr">
        <is>
          <t>Hours</t>
        </is>
      </c>
      <c r="F17" s="46" t="n">
        <v>200</v>
      </c>
      <c r="G17" s="46" t="n">
        <v>6400</v>
      </c>
      <c r="H17" s="46" t="n">
        <v>0</v>
      </c>
      <c r="I17" s="46" t="n">
        <v>0</v>
      </c>
      <c r="J17" s="46" t="n">
        <v>6400</v>
      </c>
      <c r="K17" s="44" t="inlineStr">
        <is>
          <t>Indoor location services deployment</t>
        </is>
      </c>
    </row>
    <row r="18" ht="26" customHeight="1">
      <c r="A18" s="47" t="inlineStr">
        <is>
          <t>Professional Services</t>
        </is>
      </c>
      <c r="B18" s="48" t="inlineStr">
        <is>
          <t>Testing and Validation</t>
        </is>
      </c>
      <c r="C18" s="48" t="inlineStr">
        <is>
          <t>RF validation client testing and performance verification</t>
        </is>
      </c>
      <c r="D18" s="49" t="n">
        <v>40</v>
      </c>
      <c r="E18" s="48" t="inlineStr">
        <is>
          <t>Hours</t>
        </is>
      </c>
      <c r="F18" s="50" t="n">
        <v>200</v>
      </c>
      <c r="G18" s="50" t="n">
        <v>8000</v>
      </c>
      <c r="H18" s="50" t="n">
        <v>0</v>
      </c>
      <c r="I18" s="50" t="n">
        <v>0</v>
      </c>
      <c r="J18" s="50" t="n">
        <v>8000</v>
      </c>
      <c r="K18" s="48" t="inlineStr">
        <is>
          <t>Coverage and performance validation</t>
        </is>
      </c>
    </row>
    <row r="19" ht="26" customHeight="1">
      <c r="A19" s="43" t="inlineStr">
        <is>
          <t>Professional Services</t>
        </is>
      </c>
      <c r="B19" s="44" t="inlineStr">
        <is>
          <t>Training - IT Admins</t>
        </is>
      </c>
      <c r="C19" s="44" t="inlineStr">
        <is>
          <t>Mist dashboard Marvis AI and troubleshooting training (2 days)</t>
        </is>
      </c>
      <c r="D19" s="45" t="n">
        <v>16</v>
      </c>
      <c r="E19" s="44" t="inlineStr">
        <is>
          <t>Hours</t>
        </is>
      </c>
      <c r="F19" s="46" t="n">
        <v>200</v>
      </c>
      <c r="G19" s="46" t="n">
        <v>3200</v>
      </c>
      <c r="H19" s="46" t="n">
        <v>0</v>
      </c>
      <c r="I19" s="46" t="n">
        <v>0</v>
      </c>
      <c r="J19" s="46" t="n">
        <v>3200</v>
      </c>
      <c r="K19" s="44" t="inlineStr">
        <is>
          <t>Administrator enablement</t>
        </is>
      </c>
    </row>
    <row r="20" ht="26" customHeight="1">
      <c r="A20" s="47" t="inlineStr">
        <is>
          <t>Professional Services</t>
        </is>
      </c>
      <c r="B20" s="48" t="inlineStr">
        <is>
          <t>Documentation</t>
        </is>
      </c>
      <c r="C20" s="48" t="inlineStr">
        <is>
          <t>As-built RF maps configuration guides and runbooks</t>
        </is>
      </c>
      <c r="D20" s="49" t="n">
        <v>24</v>
      </c>
      <c r="E20" s="48" t="inlineStr">
        <is>
          <t>Hours</t>
        </is>
      </c>
      <c r="F20" s="50" t="n">
        <v>150</v>
      </c>
      <c r="G20" s="50" t="n">
        <v>3600</v>
      </c>
      <c r="H20" s="50" t="n">
        <v>0</v>
      </c>
      <c r="I20" s="50" t="n">
        <v>0</v>
      </c>
      <c r="J20" s="50" t="n">
        <v>3600</v>
      </c>
      <c r="K20" s="48" t="inlineStr">
        <is>
          <t>Operational documentation</t>
        </is>
      </c>
    </row>
    <row r="21" ht="26" customHeight="1">
      <c r="A21" s="43" t="inlineStr">
        <is>
          <t>Professional Services</t>
        </is>
      </c>
      <c r="B21" s="44" t="inlineStr">
        <is>
          <t>Project Management</t>
        </is>
      </c>
      <c r="C21" s="44" t="inlineStr">
        <is>
          <t>Project coordination and stakeholder management</t>
        </is>
      </c>
      <c r="D21" s="45" t="n">
        <v>60</v>
      </c>
      <c r="E21" s="44" t="inlineStr">
        <is>
          <t>Hours</t>
        </is>
      </c>
      <c r="F21" s="46" t="n">
        <v>150</v>
      </c>
      <c r="G21" s="46" t="n">
        <v>9000</v>
      </c>
      <c r="H21" s="46" t="n">
        <v>0</v>
      </c>
      <c r="I21" s="46" t="n">
        <v>0</v>
      </c>
      <c r="J21" s="46" t="n">
        <v>9000</v>
      </c>
      <c r="K21" s="44" t="inlineStr">
        <is>
          <t>Overall project delivery</t>
        </is>
      </c>
    </row>
    <row r="22" ht="26" customHeight="1">
      <c r="A22" s="51" t="inlineStr">
        <is>
          <t>TOTAL</t>
        </is>
      </c>
      <c r="B22" s="52" t="n"/>
      <c r="C22" s="52" t="n"/>
      <c r="D22" s="52" t="n"/>
      <c r="E22" s="52" t="n"/>
      <c r="F22" s="52" t="n"/>
      <c r="G22" s="53">
        <f>SUM(G3:G21)</f>
        <v/>
      </c>
      <c r="H22" s="53">
        <f>SUM(H3:H21)</f>
        <v/>
      </c>
      <c r="I22" s="53">
        <f>SUM(I3:I21)</f>
        <v/>
      </c>
      <c r="J22" s="53">
        <f>SUM(J3:J21)</f>
        <v/>
      </c>
      <c r="K22" s="52" t="n"/>
    </row>
  </sheetData>
  <autoFilter ref="A2:K2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Hardware</t>
        </is>
      </c>
      <c r="B3" s="44" t="inlineStr">
        <is>
          <t>Volume Discount</t>
        </is>
      </c>
      <c r="C3" s="46" t="n">
        <v>-5580</v>
      </c>
      <c r="D3" s="44" t="inlineStr">
        <is>
          <t>5% hardware discount for 50+ AP deployment</t>
        </is>
      </c>
    </row>
    <row r="4" ht="26" customHeight="1">
      <c r="A4" s="47" t="inlineStr">
        <is>
          <t>Software</t>
        </is>
      </c>
      <c r="B4" s="48" t="inlineStr">
        <is>
          <t>First Year Subscription Credit</t>
        </is>
      </c>
      <c r="C4" s="50" t="n">
        <v>-7500</v>
      </c>
      <c r="D4" s="48" t="inlineStr">
        <is>
          <t>50% Year 1 Mist Cloud subscription promotional discount</t>
        </is>
      </c>
    </row>
    <row r="5" ht="26" customHeight="1">
      <c r="A5" s="43" t="inlineStr">
        <is>
          <t>Support &amp; Maintenance</t>
        </is>
      </c>
      <c r="B5" s="44" t="inlineStr">
        <is>
          <t>Multi-Year Support Credit</t>
        </is>
      </c>
      <c r="C5" s="46" t="n">
        <v>-2916</v>
      </c>
      <c r="D5" s="44" t="inlineStr">
        <is>
          <t>10% discount for 3-year support commitment</t>
        </is>
      </c>
    </row>
    <row r="6" ht="26" customHeight="1">
      <c r="A6" s="47" t="inlineStr">
        <is>
          <t>Professional Services</t>
        </is>
      </c>
      <c r="B6" s="48" t="inlineStr">
        <is>
          <t>Partner Credit</t>
        </is>
      </c>
      <c r="C6" s="50" t="n">
        <v>0</v>
      </c>
      <c r="D6" s="48" t="inlineStr">
        <is>
          <t>No professional services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Hardware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Software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 &amp; Maintenance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Professional Services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51" t="inlineStr">
        <is>
          <t>TOTAL</t>
        </is>
      </c>
      <c r="B7" s="53">
        <f>SUM(B3:B6)</f>
        <v/>
      </c>
      <c r="C7" s="53">
        <f>SUM(C3:C6)</f>
        <v/>
      </c>
      <c r="D7" s="53">
        <f>SUM(D3:D6)</f>
        <v/>
      </c>
      <c r="E7" s="53">
        <f>SUM(E3:E6)</f>
        <v/>
      </c>
      <c r="F7" s="53">
        <f>SUM(F3:F6)</f>
        <v/>
      </c>
      <c r="G7" s="53">
        <f>SUM(G3:G6)</f>
        <v/>
      </c>
    </row>
  </sheetData>
  <autoFilter ref="A2:G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2025-11-22T23:22:34Z</dcterms:modified>
  <cp:lastModifiedBy>Kishan Siram</cp:lastModifiedBy>
</cp:coreProperties>
</file>