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Mist Ai Network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65</v>
      </c>
      <c r="B2" s="36">
        <f>SUMPRODUCT(--(LEN(F5:F69)&gt;0))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IF('Technical Requirements'!A2="","",'Technical Requirements'!A2)</f>
        <v/>
      </c>
      <c r="B16" s="41">
        <f>IF('Technical Requirements'!B2="","",'Technical Requirements'!B2)</f>
        <v/>
      </c>
      <c r="C16" s="41">
        <f>IF('Technical Requirements'!C2="","",'Technical Requirements'!C2)</f>
        <v/>
      </c>
      <c r="D16" s="41">
        <f>IF('Technical Requirements'!D2="","",'Technical Requirements'!D2)</f>
        <v/>
      </c>
      <c r="E16" s="41">
        <f>IF('Technical Requirements'!E2="","",'Technical Requirements'!E2)</f>
        <v/>
      </c>
      <c r="F16" s="40">
        <f>IF('Technical Requirements'!F2="","",'Technical Requirements'!F2)</f>
        <v/>
      </c>
      <c r="G16" s="41">
        <f>IF('Technical Requirements'!G2="","",'Technical Requirements'!G2)</f>
        <v/>
      </c>
    </row>
    <row r="17">
      <c r="A17" s="39">
        <f>IF('Technical Requirements'!A3="","",'Technical Requirements'!A3)</f>
        <v/>
      </c>
      <c r="B17" s="39">
        <f>IF('Technical Requirements'!B3="","",'Technical Requirements'!B3)</f>
        <v/>
      </c>
      <c r="C17" s="39">
        <f>IF('Technical Requirements'!C3="","",'Technical Requirements'!C3)</f>
        <v/>
      </c>
      <c r="D17" s="39">
        <f>IF('Technical Requirements'!D3="","",'Technical Requirements'!D3)</f>
        <v/>
      </c>
      <c r="E17" s="39">
        <f>IF('Technical Requirements'!E3="","",'Technical Requirements'!E3)</f>
        <v/>
      </c>
      <c r="F17" s="40">
        <f>IF('Technical Requirements'!F3="","",'Technical Requirements'!F3)</f>
        <v/>
      </c>
      <c r="G17" s="39">
        <f>IF('Technical Requirements'!G3="","",'Technical Requirements'!G3)</f>
        <v/>
      </c>
    </row>
    <row r="18">
      <c r="A18" s="41">
        <f>IF('Technical Requirements'!A4="","",'Technical Requirements'!A4)</f>
        <v/>
      </c>
      <c r="B18" s="41">
        <f>IF('Technical Requirements'!B4="","",'Technical Requirements'!B4)</f>
        <v/>
      </c>
      <c r="C18" s="41">
        <f>IF('Technical Requirements'!C4="","",'Technical Requirements'!C4)</f>
        <v/>
      </c>
      <c r="D18" s="41">
        <f>IF('Technical Requirements'!D4="","",'Technical Requirements'!D4)</f>
        <v/>
      </c>
      <c r="E18" s="41">
        <f>IF('Technical Requirements'!E4="","",'Technical Requirements'!E4)</f>
        <v/>
      </c>
      <c r="F18" s="40">
        <f>IF('Technical Requirements'!F4="","",'Technical Requirements'!F4)</f>
        <v/>
      </c>
      <c r="G18" s="41">
        <f>IF('Technical Requirements'!G4="","",'Technical Requirements'!G4)</f>
        <v/>
      </c>
    </row>
    <row r="19">
      <c r="A19" s="39">
        <f>IF('Technical Requirements'!A5="","",'Technical Requirements'!A5)</f>
        <v/>
      </c>
      <c r="B19" s="39">
        <f>IF('Technical Requirements'!B5="","",'Technical Requirements'!B5)</f>
        <v/>
      </c>
      <c r="C19" s="39">
        <f>IF('Technical Requirements'!C5="","",'Technical Requirements'!C5)</f>
        <v/>
      </c>
      <c r="D19" s="39">
        <f>IF('Technical Requirements'!D5="","",'Technical Requirements'!D5)</f>
        <v/>
      </c>
      <c r="E19" s="39">
        <f>IF('Technical Requirements'!E5="","",'Technical Requirements'!E5)</f>
        <v/>
      </c>
      <c r="F19" s="40">
        <f>IF('Technical Requirements'!F5="","",'Technical Requirements'!F5)</f>
        <v/>
      </c>
      <c r="G19" s="39">
        <f>IF('Technical Requirements'!G5="","",'Technical Requirements'!G5)</f>
        <v/>
      </c>
    </row>
    <row r="20">
      <c r="A20" s="41">
        <f>IF('Technical Requirements'!A6="","",'Technical Requirements'!A6)</f>
        <v/>
      </c>
      <c r="B20" s="41">
        <f>IF('Technical Requirements'!B6="","",'Technical Requirements'!B6)</f>
        <v/>
      </c>
      <c r="C20" s="41">
        <f>IF('Technical Requirements'!C6="","",'Technical Requirements'!C6)</f>
        <v/>
      </c>
      <c r="D20" s="41">
        <f>IF('Technical Requirements'!D6="","",'Technical Requirements'!D6)</f>
        <v/>
      </c>
      <c r="E20" s="41">
        <f>IF('Technical Requirements'!E6="","",'Technical Requirements'!E6)</f>
        <v/>
      </c>
      <c r="F20" s="40">
        <f>IF('Technical Requirements'!F6="","",'Technical Requirements'!F6)</f>
        <v/>
      </c>
      <c r="G20" s="41">
        <f>IF('Technical Requirements'!G6="","",'Technical Requirements'!G6)</f>
        <v/>
      </c>
    </row>
    <row r="21">
      <c r="A21" s="39">
        <f>IF('Technical Requirements'!A7="","",'Technical Requirements'!A7)</f>
        <v/>
      </c>
      <c r="B21" s="39">
        <f>IF('Technical Requirements'!B7="","",'Technical Requirements'!B7)</f>
        <v/>
      </c>
      <c r="C21" s="39">
        <f>IF('Technical Requirements'!C7="","",'Technical Requirements'!C7)</f>
        <v/>
      </c>
      <c r="D21" s="39">
        <f>IF('Technical Requirements'!D7="","",'Technical Requirements'!D7)</f>
        <v/>
      </c>
      <c r="E21" s="39">
        <f>IF('Technical Requirements'!E7="","",'Technical Requirements'!E7)</f>
        <v/>
      </c>
      <c r="F21" s="40">
        <f>IF('Technical Requirements'!F7="","",'Technical Requirements'!F7)</f>
        <v/>
      </c>
      <c r="G21" s="39">
        <f>IF('Technical Requirements'!G7="","",'Technical Requirements'!G7)</f>
        <v/>
      </c>
    </row>
    <row r="22">
      <c r="A22" s="41">
        <f>IF('Technical Requirements'!A8="","",'Technical Requirements'!A8)</f>
        <v/>
      </c>
      <c r="B22" s="41">
        <f>IF('Technical Requirements'!B8="","",'Technical Requirements'!B8)</f>
        <v/>
      </c>
      <c r="C22" s="41">
        <f>IF('Technical Requirements'!C8="","",'Technical Requirements'!C8)</f>
        <v/>
      </c>
      <c r="D22" s="41">
        <f>IF('Technical Requirements'!D8="","",'Technical Requirements'!D8)</f>
        <v/>
      </c>
      <c r="E22" s="41">
        <f>IF('Technical Requirements'!E8="","",'Technical Requirements'!E8)</f>
        <v/>
      </c>
      <c r="F22" s="40">
        <f>IF('Technical Requirements'!F8="","",'Technical Requirements'!F8)</f>
        <v/>
      </c>
      <c r="G22" s="41">
        <f>IF('Technical Requirements'!G8="","",'Technical Requirements'!G8)</f>
        <v/>
      </c>
    </row>
    <row r="23">
      <c r="A23" s="39">
        <f>IF('Technical Requirements'!A9="","",'Technical Requirements'!A9)</f>
        <v/>
      </c>
      <c r="B23" s="39">
        <f>IF('Technical Requirements'!B9="","",'Technical Requirements'!B9)</f>
        <v/>
      </c>
      <c r="C23" s="39">
        <f>IF('Technical Requirements'!C9="","",'Technical Requirements'!C9)</f>
        <v/>
      </c>
      <c r="D23" s="39">
        <f>IF('Technical Requirements'!D9="","",'Technical Requirements'!D9)</f>
        <v/>
      </c>
      <c r="E23" s="39">
        <f>IF('Technical Requirements'!E9="","",'Technical Requirements'!E9)</f>
        <v/>
      </c>
      <c r="F23" s="40">
        <f>IF('Technical Requirements'!F9="","",'Technical Requirements'!F9)</f>
        <v/>
      </c>
      <c r="G23" s="39">
        <f>IF('Technical Requirements'!G9="","",'Technical Requirements'!G9)</f>
        <v/>
      </c>
    </row>
    <row r="24">
      <c r="A24" s="41">
        <f>IF('Technical Requirements'!A10="","",'Technical Requirements'!A10)</f>
        <v/>
      </c>
      <c r="B24" s="41">
        <f>IF('Technical Requirements'!B10="","",'Technical Requirements'!B10)</f>
        <v/>
      </c>
      <c r="C24" s="41">
        <f>IF('Technical Requirements'!C10="","",'Technical Requirements'!C10)</f>
        <v/>
      </c>
      <c r="D24" s="41">
        <f>IF('Technical Requirements'!D10="","",'Technical Requirements'!D10)</f>
        <v/>
      </c>
      <c r="E24" s="41">
        <f>IF('Technical Requirements'!E10="","",'Technical Requirements'!E10)</f>
        <v/>
      </c>
      <c r="F24" s="40">
        <f>IF('Technical Requirements'!F10="","",'Technical Requirements'!F10)</f>
        <v/>
      </c>
      <c r="G24" s="41">
        <f>IF('Technical Requirements'!G10="","",'Technical Requirements'!G10)</f>
        <v/>
      </c>
    </row>
    <row r="25">
      <c r="A25" s="39">
        <f>IF('Technical Requirements'!A11="","",'Technical Requirements'!A11)</f>
        <v/>
      </c>
      <c r="B25" s="39">
        <f>IF('Technical Requirements'!B11="","",'Technical Requirements'!B11)</f>
        <v/>
      </c>
      <c r="C25" s="39">
        <f>IF('Technical Requirements'!C11="","",'Technical Requirements'!C11)</f>
        <v/>
      </c>
      <c r="D25" s="39">
        <f>IF('Technical Requirements'!D11="","",'Technical Requirements'!D11)</f>
        <v/>
      </c>
      <c r="E25" s="39">
        <f>IF('Technical Requirements'!E11="","",'Technical Requirements'!E11)</f>
        <v/>
      </c>
      <c r="F25" s="40">
        <f>IF('Technical Requirements'!F11="","",'Technical Requirements'!F11)</f>
        <v/>
      </c>
      <c r="G25" s="39">
        <f>IF('Technical Requirements'!G11="","",'Technical Requirements'!G11)</f>
        <v/>
      </c>
    </row>
    <row r="26">
      <c r="A26" s="41">
        <f>IF('Technical Requirements'!A12="","",'Technical Requirements'!A12)</f>
        <v/>
      </c>
      <c r="B26" s="41">
        <f>IF('Technical Requirements'!B12="","",'Technical Requirements'!B12)</f>
        <v/>
      </c>
      <c r="C26" s="41">
        <f>IF('Technical Requirements'!C12="","",'Technical Requirements'!C12)</f>
        <v/>
      </c>
      <c r="D26" s="41">
        <f>IF('Technical Requirements'!D12="","",'Technical Requirements'!D12)</f>
        <v/>
      </c>
      <c r="E26" s="41">
        <f>IF('Technical Requirements'!E12="","",'Technical Requirements'!E12)</f>
        <v/>
      </c>
      <c r="F26" s="40">
        <f>IF('Technical Requirements'!F12="","",'Technical Requirements'!F12)</f>
        <v/>
      </c>
      <c r="G26" s="41">
        <f>IF('Technical Requirements'!G12="","",'Technical Requirements'!G12)</f>
        <v/>
      </c>
    </row>
    <row r="27">
      <c r="A27" s="39">
        <f>IF('Technical Requirements'!A13="","",'Technical Requirements'!A13)</f>
        <v/>
      </c>
      <c r="B27" s="39">
        <f>IF('Technical Requirements'!B13="","",'Technical Requirements'!B13)</f>
        <v/>
      </c>
      <c r="C27" s="39">
        <f>IF('Technical Requirements'!C13="","",'Technical Requirements'!C13)</f>
        <v/>
      </c>
      <c r="D27" s="39">
        <f>IF('Technical Requirements'!D13="","",'Technical Requirements'!D13)</f>
        <v/>
      </c>
      <c r="E27" s="39">
        <f>IF('Technical Requirements'!E13="","",'Technical Requirements'!E13)</f>
        <v/>
      </c>
      <c r="F27" s="40">
        <f>IF('Technical Requirements'!F13="","",'Technical Requirements'!F13)</f>
        <v/>
      </c>
      <c r="G27" s="39">
        <f>IF('Technical Requirements'!G13="","",'Technical Requirements'!G13)</f>
        <v/>
      </c>
    </row>
    <row r="28">
      <c r="A28" s="41">
        <f>IF('Technical Requirements'!A14="","",'Technical Requirements'!A14)</f>
        <v/>
      </c>
      <c r="B28" s="41">
        <f>IF('Technical Requirements'!B14="","",'Technical Requirements'!B14)</f>
        <v/>
      </c>
      <c r="C28" s="41">
        <f>IF('Technical Requirements'!C14="","",'Technical Requirements'!C14)</f>
        <v/>
      </c>
      <c r="D28" s="41">
        <f>IF('Technical Requirements'!D14="","",'Technical Requirements'!D14)</f>
        <v/>
      </c>
      <c r="E28" s="41">
        <f>IF('Technical Requirements'!E14="","",'Technical Requirements'!E14)</f>
        <v/>
      </c>
      <c r="F28" s="40">
        <f>IF('Technical Requirements'!F14="","",'Technical Requirements'!F14)</f>
        <v/>
      </c>
      <c r="G28" s="41">
        <f>IF('Technical Requirements'!G14="","",'Technical Requirements'!G14)</f>
        <v/>
      </c>
    </row>
    <row r="29">
      <c r="A29" s="39">
        <f>IF('Technical Requirements'!A15="","",'Technical Requirements'!A15)</f>
        <v/>
      </c>
      <c r="B29" s="39">
        <f>IF('Technical Requirements'!B15="","",'Technical Requirements'!B15)</f>
        <v/>
      </c>
      <c r="C29" s="39">
        <f>IF('Technical Requirements'!C15="","",'Technical Requirements'!C15)</f>
        <v/>
      </c>
      <c r="D29" s="39">
        <f>IF('Technical Requirements'!D15="","",'Technical Requirements'!D15)</f>
        <v/>
      </c>
      <c r="E29" s="39">
        <f>IF('Technical Requirements'!E15="","",'Technical Requirements'!E15)</f>
        <v/>
      </c>
      <c r="F29" s="40">
        <f>IF('Technical Requirements'!F15="","",'Technical Requirements'!F15)</f>
        <v/>
      </c>
      <c r="G29" s="39">
        <f>IF('Technical Requirements'!G15="","",'Technical Requirements'!G15)</f>
        <v/>
      </c>
    </row>
    <row r="30">
      <c r="A30" s="41">
        <f>IF('Technical Requirements'!A16="","",'Technical Requirements'!A16)</f>
        <v/>
      </c>
      <c r="B30" s="41">
        <f>IF('Technical Requirements'!B16="","",'Technical Requirements'!B16)</f>
        <v/>
      </c>
      <c r="C30" s="41">
        <f>IF('Technical Requirements'!C16="","",'Technical Requirements'!C16)</f>
        <v/>
      </c>
      <c r="D30" s="41">
        <f>IF('Technical Requirements'!D16="","",'Technical Requirements'!D16)</f>
        <v/>
      </c>
      <c r="E30" s="41">
        <f>IF('Technical Requirements'!E16="","",'Technical Requirements'!E16)</f>
        <v/>
      </c>
      <c r="F30" s="40">
        <f>IF('Technical Requirements'!F16="","",'Technical Requirements'!F16)</f>
        <v/>
      </c>
      <c r="G30" s="41">
        <f>IF('Technical Requirements'!G16="","",'Technical Requirements'!G16)</f>
        <v/>
      </c>
    </row>
    <row r="31">
      <c r="A31" s="39">
        <f>IF('Technical Requirements'!A17="","",'Technical Requirements'!A17)</f>
        <v/>
      </c>
      <c r="B31" s="39">
        <f>IF('Technical Requirements'!B17="","",'Technical Requirements'!B17)</f>
        <v/>
      </c>
      <c r="C31" s="39">
        <f>IF('Technical Requirements'!C17="","",'Technical Requirements'!C17)</f>
        <v/>
      </c>
      <c r="D31" s="39">
        <f>IF('Technical Requirements'!D17="","",'Technical Requirements'!D17)</f>
        <v/>
      </c>
      <c r="E31" s="39">
        <f>IF('Technical Requirements'!E17="","",'Technical Requirements'!E17)</f>
        <v/>
      </c>
      <c r="F31" s="40">
        <f>IF('Technical Requirements'!F17="","",'Technical Requirements'!F17)</f>
        <v/>
      </c>
      <c r="G31" s="39">
        <f>IF('Technical Requirements'!G17="","",'Technical Requirements'!G17)</f>
        <v/>
      </c>
    </row>
    <row r="32">
      <c r="A32" s="41">
        <f>IF('Technical Requirements'!A18="","",'Technical Requirements'!A18)</f>
        <v/>
      </c>
      <c r="B32" s="41">
        <f>IF('Technical Requirements'!B18="","",'Technical Requirements'!B18)</f>
        <v/>
      </c>
      <c r="C32" s="41">
        <f>IF('Technical Requirements'!C18="","",'Technical Requirements'!C18)</f>
        <v/>
      </c>
      <c r="D32" s="41">
        <f>IF('Technical Requirements'!D18="","",'Technical Requirements'!D18)</f>
        <v/>
      </c>
      <c r="E32" s="41">
        <f>IF('Technical Requirements'!E18="","",'Technical Requirements'!E18)</f>
        <v/>
      </c>
      <c r="F32" s="40">
        <f>IF('Technical Requirements'!F18="","",'Technical Requirements'!F18)</f>
        <v/>
      </c>
      <c r="G32" s="41">
        <f>IF('Technical Requirements'!G18="","",'Technical Requirements'!G18)</f>
        <v/>
      </c>
    </row>
    <row r="33">
      <c r="A33" s="39">
        <f>IF('Technical Requirements'!A19="","",'Technical Requirements'!A19)</f>
        <v/>
      </c>
      <c r="B33" s="39">
        <f>IF('Technical Requirements'!B19="","",'Technical Requirements'!B19)</f>
        <v/>
      </c>
      <c r="C33" s="39">
        <f>IF('Technical Requirements'!C19="","",'Technical Requirements'!C19)</f>
        <v/>
      </c>
      <c r="D33" s="39">
        <f>IF('Technical Requirements'!D19="","",'Technical Requirements'!D19)</f>
        <v/>
      </c>
      <c r="E33" s="39">
        <f>IF('Technical Requirements'!E19="","",'Technical Requirements'!E19)</f>
        <v/>
      </c>
      <c r="F33" s="40">
        <f>IF('Technical Requirements'!F19="","",'Technical Requirements'!F19)</f>
        <v/>
      </c>
      <c r="G33" s="39">
        <f>IF('Technical Requirements'!G19="","",'Technical Requirements'!G19)</f>
        <v/>
      </c>
    </row>
    <row r="34">
      <c r="A34" s="41">
        <f>IF('Security &amp; Compliance'!A2="","",'Security &amp; Compliance'!A2)</f>
        <v/>
      </c>
      <c r="B34" s="41">
        <f>IF('Security &amp; Compliance'!B2="","",'Security &amp; Compliance'!B2)</f>
        <v/>
      </c>
      <c r="C34" s="41">
        <f>IF('Security &amp; Compliance'!C2="","",'Security &amp; Compliance'!C2)</f>
        <v/>
      </c>
      <c r="D34" s="41">
        <f>IF('Security &amp; Compliance'!D2="","",'Security &amp; Compliance'!D2)</f>
        <v/>
      </c>
      <c r="E34" s="41">
        <f>IF('Security &amp; Compliance'!E2="","",'Security &amp; Compliance'!E2)</f>
        <v/>
      </c>
      <c r="F34" s="40">
        <f>IF('Security &amp; Compliance'!F2="","",'Security &amp; Compliance'!F2)</f>
        <v/>
      </c>
      <c r="G34" s="41">
        <f>IF('Security &amp; Compliance'!G2="","",'Security &amp; Compliance'!G2)</f>
        <v/>
      </c>
    </row>
    <row r="35">
      <c r="A35" s="39">
        <f>IF('Security &amp; Compliance'!A3="","",'Security &amp; Compliance'!A3)</f>
        <v/>
      </c>
      <c r="B35" s="39">
        <f>IF('Security &amp; Compliance'!B3="","",'Security &amp; Compliance'!B3)</f>
        <v/>
      </c>
      <c r="C35" s="39">
        <f>IF('Security &amp; Compliance'!C3="","",'Security &amp; Compliance'!C3)</f>
        <v/>
      </c>
      <c r="D35" s="39">
        <f>IF('Security &amp; Compliance'!D3="","",'Security &amp; Compliance'!D3)</f>
        <v/>
      </c>
      <c r="E35" s="39">
        <f>IF('Security &amp; Compliance'!E3="","",'Security &amp; Compliance'!E3)</f>
        <v/>
      </c>
      <c r="F35" s="40">
        <f>IF('Security &amp; Compliance'!F3="","",'Security &amp; Compliance'!F3)</f>
        <v/>
      </c>
      <c r="G35" s="39">
        <f>IF('Security &amp; Compliance'!G3="","",'Security &amp; Compliance'!G3)</f>
        <v/>
      </c>
    </row>
    <row r="36">
      <c r="A36" s="41">
        <f>IF('Security &amp; Compliance'!A4="","",'Security &amp; Compliance'!A4)</f>
        <v/>
      </c>
      <c r="B36" s="41">
        <f>IF('Security &amp; Compliance'!B4="","",'Security &amp; Compliance'!B4)</f>
        <v/>
      </c>
      <c r="C36" s="41">
        <f>IF('Security &amp; Compliance'!C4="","",'Security &amp; Compliance'!C4)</f>
        <v/>
      </c>
      <c r="D36" s="41">
        <f>IF('Security &amp; Compliance'!D4="","",'Security &amp; Compliance'!D4)</f>
        <v/>
      </c>
      <c r="E36" s="41">
        <f>IF('Security &amp; Compliance'!E4="","",'Security &amp; Compliance'!E4)</f>
        <v/>
      </c>
      <c r="F36" s="40">
        <f>IF('Security &amp; Compliance'!F4="","",'Security &amp; Compliance'!F4)</f>
        <v/>
      </c>
      <c r="G36" s="41">
        <f>IF('Security &amp; Compliance'!G4="","",'Security &amp; Compliance'!G4)</f>
        <v/>
      </c>
    </row>
    <row r="37">
      <c r="A37" s="39">
        <f>IF('Security &amp; Compliance'!A5="","",'Security &amp; Compliance'!A5)</f>
        <v/>
      </c>
      <c r="B37" s="39">
        <f>IF('Security &amp; Compliance'!B5="","",'Security &amp; Compliance'!B5)</f>
        <v/>
      </c>
      <c r="C37" s="39">
        <f>IF('Security &amp; Compliance'!C5="","",'Security &amp; Compliance'!C5)</f>
        <v/>
      </c>
      <c r="D37" s="39">
        <f>IF('Security &amp; Compliance'!D5="","",'Security &amp; Compliance'!D5)</f>
        <v/>
      </c>
      <c r="E37" s="39">
        <f>IF('Security &amp; Compliance'!E5="","",'Security &amp; Compliance'!E5)</f>
        <v/>
      </c>
      <c r="F37" s="40">
        <f>IF('Security &amp; Compliance'!F5="","",'Security &amp; Compliance'!F5)</f>
        <v/>
      </c>
      <c r="G37" s="39">
        <f>IF('Security &amp; Compliance'!G5="","",'Security &amp; Compliance'!G5)</f>
        <v/>
      </c>
    </row>
    <row r="38">
      <c r="A38" s="41">
        <f>IF('Security &amp; Compliance'!A6="","",'Security &amp; Compliance'!A6)</f>
        <v/>
      </c>
      <c r="B38" s="41">
        <f>IF('Security &amp; Compliance'!B6="","",'Security &amp; Compliance'!B6)</f>
        <v/>
      </c>
      <c r="C38" s="41">
        <f>IF('Security &amp; Compliance'!C6="","",'Security &amp; Compliance'!C6)</f>
        <v/>
      </c>
      <c r="D38" s="41">
        <f>IF('Security &amp; Compliance'!D6="","",'Security &amp; Compliance'!D6)</f>
        <v/>
      </c>
      <c r="E38" s="41">
        <f>IF('Security &amp; Compliance'!E6="","",'Security &amp; Compliance'!E6)</f>
        <v/>
      </c>
      <c r="F38" s="40">
        <f>IF('Security &amp; Compliance'!F6="","",'Security &amp; Compliance'!F6)</f>
        <v/>
      </c>
      <c r="G38" s="41">
        <f>IF('Security &amp; Compliance'!G6="","",'Security &amp; Compliance'!G6)</f>
        <v/>
      </c>
    </row>
    <row r="39">
      <c r="A39" s="39">
        <f>IF('Security &amp; Compliance'!A7="","",'Security &amp; Compliance'!A7)</f>
        <v/>
      </c>
      <c r="B39" s="39">
        <f>IF('Security &amp; Compliance'!B7="","",'Security &amp; Compliance'!B7)</f>
        <v/>
      </c>
      <c r="C39" s="39">
        <f>IF('Security &amp; Compliance'!C7="","",'Security &amp; Compliance'!C7)</f>
        <v/>
      </c>
      <c r="D39" s="39">
        <f>IF('Security &amp; Compliance'!D7="","",'Security &amp; Compliance'!D7)</f>
        <v/>
      </c>
      <c r="E39" s="39">
        <f>IF('Security &amp; Compliance'!E7="","",'Security &amp; Compliance'!E7)</f>
        <v/>
      </c>
      <c r="F39" s="40">
        <f>IF('Security &amp; Compliance'!F7="","",'Security &amp; Compliance'!F7)</f>
        <v/>
      </c>
      <c r="G39" s="39">
        <f>IF('Security &amp; Compliance'!G7="","",'Security &amp; Compliance'!G7)</f>
        <v/>
      </c>
    </row>
    <row r="40">
      <c r="A40" s="41">
        <f>IF('Security &amp; Compliance'!A8="","",'Security &amp; Compliance'!A8)</f>
        <v/>
      </c>
      <c r="B40" s="41">
        <f>IF('Security &amp; Compliance'!B8="","",'Security &amp; Compliance'!B8)</f>
        <v/>
      </c>
      <c r="C40" s="41">
        <f>IF('Security &amp; Compliance'!C8="","",'Security &amp; Compliance'!C8)</f>
        <v/>
      </c>
      <c r="D40" s="41">
        <f>IF('Security &amp; Compliance'!D8="","",'Security &amp; Compliance'!D8)</f>
        <v/>
      </c>
      <c r="E40" s="41">
        <f>IF('Security &amp; Compliance'!E8="","",'Security &amp; Compliance'!E8)</f>
        <v/>
      </c>
      <c r="F40" s="40">
        <f>IF('Security &amp; Compliance'!F8="","",'Security &amp; Compliance'!F8)</f>
        <v/>
      </c>
      <c r="G40" s="41">
        <f>IF('Security &amp; Compliance'!G8="","",'Security &amp; Compliance'!G8)</f>
        <v/>
      </c>
    </row>
    <row r="41">
      <c r="A41" s="39">
        <f>IF('Operations &amp; Support'!A2="","",'Operations &amp; Support'!A2)</f>
        <v/>
      </c>
      <c r="B41" s="39">
        <f>IF('Operations &amp; Support'!B2="","",'Operations &amp; Support'!B2)</f>
        <v/>
      </c>
      <c r="C41" s="39">
        <f>IF('Operations &amp; Support'!C2="","",'Operations &amp; Support'!C2)</f>
        <v/>
      </c>
      <c r="D41" s="39">
        <f>IF('Operations &amp; Support'!D2="","",'Operations &amp; Support'!D2)</f>
        <v/>
      </c>
      <c r="E41" s="39">
        <f>IF('Operations &amp; Support'!E2="","",'Operations &amp; Support'!E2)</f>
        <v/>
      </c>
      <c r="F41" s="40">
        <f>IF('Operations &amp; Support'!F2="","",'Operations &amp; Support'!F2)</f>
        <v/>
      </c>
      <c r="G41" s="39">
        <f>IF('Operations &amp; Support'!G2="","",'Operations &amp; Support'!G2)</f>
        <v/>
      </c>
    </row>
    <row r="42">
      <c r="A42" s="41">
        <f>IF('Operations &amp; Support'!A3="","",'Operations &amp; Support'!A3)</f>
        <v/>
      </c>
      <c r="B42" s="41">
        <f>IF('Operations &amp; Support'!B3="","",'Operations &amp; Support'!B3)</f>
        <v/>
      </c>
      <c r="C42" s="41">
        <f>IF('Operations &amp; Support'!C3="","",'Operations &amp; Support'!C3)</f>
        <v/>
      </c>
      <c r="D42" s="41">
        <f>IF('Operations &amp; Support'!D3="","",'Operations &amp; Support'!D3)</f>
        <v/>
      </c>
      <c r="E42" s="41">
        <f>IF('Operations &amp; Support'!E3="","",'Operations &amp; Support'!E3)</f>
        <v/>
      </c>
      <c r="F42" s="40">
        <f>IF('Operations &amp; Support'!F3="","",'Operations &amp; Support'!F3)</f>
        <v/>
      </c>
      <c r="G42" s="41">
        <f>IF('Operations &amp; Support'!G3="","",'Operations &amp; Support'!G3)</f>
        <v/>
      </c>
    </row>
    <row r="43">
      <c r="A43" s="39">
        <f>IF('Operations &amp; Support'!A4="","",'Operations &amp; Support'!A4)</f>
        <v/>
      </c>
      <c r="B43" s="39">
        <f>IF('Operations &amp; Support'!B4="","",'Operations &amp; Support'!B4)</f>
        <v/>
      </c>
      <c r="C43" s="39">
        <f>IF('Operations &amp; Support'!C4="","",'Operations &amp; Support'!C4)</f>
        <v/>
      </c>
      <c r="D43" s="39">
        <f>IF('Operations &amp; Support'!D4="","",'Operations &amp; Support'!D4)</f>
        <v/>
      </c>
      <c r="E43" s="39">
        <f>IF('Operations &amp; Support'!E4="","",'Operations &amp; Support'!E4)</f>
        <v/>
      </c>
      <c r="F43" s="40">
        <f>IF('Operations &amp; Support'!F4="","",'Operations &amp; Support'!F4)</f>
        <v/>
      </c>
      <c r="G43" s="39">
        <f>IF('Operations &amp; Support'!G4="","",'Operations &amp; Support'!G4)</f>
        <v/>
      </c>
    </row>
    <row r="44">
      <c r="A44" s="41">
        <f>IF('Operations &amp; Support'!A5="","",'Operations &amp; Support'!A5)</f>
        <v/>
      </c>
      <c r="B44" s="41">
        <f>IF('Operations &amp; Support'!B5="","",'Operations &amp; Support'!B5)</f>
        <v/>
      </c>
      <c r="C44" s="41">
        <f>IF('Operations &amp; Support'!C5="","",'Operations &amp; Support'!C5)</f>
        <v/>
      </c>
      <c r="D44" s="41">
        <f>IF('Operations &amp; Support'!D5="","",'Operations &amp; Support'!D5)</f>
        <v/>
      </c>
      <c r="E44" s="41">
        <f>IF('Operations &amp; Support'!E5="","",'Operations &amp; Support'!E5)</f>
        <v/>
      </c>
      <c r="F44" s="40">
        <f>IF('Operations &amp; Support'!F5="","",'Operations &amp; Support'!F5)</f>
        <v/>
      </c>
      <c r="G44" s="41">
        <f>IF('Operations &amp; Support'!G5="","",'Operations &amp; Support'!G5)</f>
        <v/>
      </c>
    </row>
    <row r="45">
      <c r="A45" s="39">
        <f>IF('Operations &amp; Support'!A6="","",'Operations &amp; Support'!A6)</f>
        <v/>
      </c>
      <c r="B45" s="39">
        <f>IF('Operations &amp; Support'!B6="","",'Operations &amp; Support'!B6)</f>
        <v/>
      </c>
      <c r="C45" s="39">
        <f>IF('Operations &amp; Support'!C6="","",'Operations &amp; Support'!C6)</f>
        <v/>
      </c>
      <c r="D45" s="39">
        <f>IF('Operations &amp; Support'!D6="","",'Operations &amp; Support'!D6)</f>
        <v/>
      </c>
      <c r="E45" s="39">
        <f>IF('Operations &amp; Support'!E6="","",'Operations &amp; Support'!E6)</f>
        <v/>
      </c>
      <c r="F45" s="40">
        <f>IF('Operations &amp; Support'!F6="","",'Operations &amp; Support'!F6)</f>
        <v/>
      </c>
      <c r="G45" s="39">
        <f>IF('Operations &amp; Support'!G6="","",'Operations &amp; Support'!G6)</f>
        <v/>
      </c>
    </row>
    <row r="46">
      <c r="A46" s="41">
        <f>IF('Operations &amp; Support'!A7="","",'Operations &amp; Support'!A7)</f>
        <v/>
      </c>
      <c r="B46" s="41">
        <f>IF('Operations &amp; Support'!B7="","",'Operations &amp; Support'!B7)</f>
        <v/>
      </c>
      <c r="C46" s="41">
        <f>IF('Operations &amp; Support'!C7="","",'Operations &amp; Support'!C7)</f>
        <v/>
      </c>
      <c r="D46" s="41">
        <f>IF('Operations &amp; Support'!D7="","",'Operations &amp; Support'!D7)</f>
        <v/>
      </c>
      <c r="E46" s="41">
        <f>IF('Operations &amp; Support'!E7="","",'Operations &amp; Support'!E7)</f>
        <v/>
      </c>
      <c r="F46" s="40">
        <f>IF('Operations &amp; Support'!F7="","",'Operations &amp; Support'!F7)</f>
        <v/>
      </c>
      <c r="G46" s="41">
        <f>IF('Operations &amp; Support'!G7="","",'Operations &amp; Support'!G7)</f>
        <v/>
      </c>
    </row>
    <row r="47">
      <c r="A47" s="39">
        <f>IF('Operations &amp; Support'!A8="","",'Operations &amp; Support'!A8)</f>
        <v/>
      </c>
      <c r="B47" s="39">
        <f>IF('Operations &amp; Support'!B8="","",'Operations &amp; Support'!B8)</f>
        <v/>
      </c>
      <c r="C47" s="39">
        <f>IF('Operations &amp; Support'!C8="","",'Operations &amp; Support'!C8)</f>
        <v/>
      </c>
      <c r="D47" s="39">
        <f>IF('Operations &amp; Support'!D8="","",'Operations &amp; Support'!D8)</f>
        <v/>
      </c>
      <c r="E47" s="39">
        <f>IF('Operations &amp; Support'!E8="","",'Operations &amp; Support'!E8)</f>
        <v/>
      </c>
      <c r="F47" s="40">
        <f>IF('Operations &amp; Support'!F8="","",'Operations &amp; Support'!F8)</f>
        <v/>
      </c>
      <c r="G47" s="39">
        <f>IF('Operations &amp; Support'!G8="","",'Operations &amp; Support'!G8)</f>
        <v/>
      </c>
    </row>
    <row r="48">
      <c r="A48" s="41">
        <f>IF('Operations &amp; Support'!A9="","",'Operations &amp; Support'!A9)</f>
        <v/>
      </c>
      <c r="B48" s="41">
        <f>IF('Operations &amp; Support'!B9="","",'Operations &amp; Support'!B9)</f>
        <v/>
      </c>
      <c r="C48" s="41">
        <f>IF('Operations &amp; Support'!C9="","",'Operations &amp; Support'!C9)</f>
        <v/>
      </c>
      <c r="D48" s="41">
        <f>IF('Operations &amp; Support'!D9="","",'Operations &amp; Support'!D9)</f>
        <v/>
      </c>
      <c r="E48" s="41">
        <f>IF('Operations &amp; Support'!E9="","",'Operations &amp; Support'!E9)</f>
        <v/>
      </c>
      <c r="F48" s="40">
        <f>IF('Operations &amp; Support'!F9="","",'Operations &amp; Support'!F9)</f>
        <v/>
      </c>
      <c r="G48" s="41">
        <f>IF('Operations &amp; Support'!G9="","",'Operations &amp; Support'!G9)</f>
        <v/>
      </c>
    </row>
    <row r="49">
      <c r="A49" s="39">
        <f>IF('Operations &amp; Support'!A10="","",'Operations &amp; Support'!A10)</f>
        <v/>
      </c>
      <c r="B49" s="39">
        <f>IF('Operations &amp; Support'!B10="","",'Operations &amp; Support'!B10)</f>
        <v/>
      </c>
      <c r="C49" s="39">
        <f>IF('Operations &amp; Support'!C10="","",'Operations &amp; Support'!C10)</f>
        <v/>
      </c>
      <c r="D49" s="39">
        <f>IF('Operations &amp; Support'!D10="","",'Operations &amp; Support'!D10)</f>
        <v/>
      </c>
      <c r="E49" s="39">
        <f>IF('Operations &amp; Support'!E10="","",'Operations &amp; Support'!E10)</f>
        <v/>
      </c>
      <c r="F49" s="40">
        <f>IF('Operations &amp; Support'!F10="","",'Operations &amp; Support'!F10)</f>
        <v/>
      </c>
      <c r="G49" s="39">
        <f>IF('Operations &amp; Support'!G10="","",'Operations &amp; Support'!G10)</f>
        <v/>
      </c>
    </row>
    <row r="50">
      <c r="A50" s="41">
        <f>IF('Operations &amp; Support'!A11="","",'Operations &amp; Support'!A11)</f>
        <v/>
      </c>
      <c r="B50" s="41">
        <f>IF('Operations &amp; Support'!B11="","",'Operations &amp; Support'!B11)</f>
        <v/>
      </c>
      <c r="C50" s="41">
        <f>IF('Operations &amp; Support'!C11="","",'Operations &amp; Support'!C11)</f>
        <v/>
      </c>
      <c r="D50" s="41">
        <f>IF('Operations &amp; Support'!D11="","",'Operations &amp; Support'!D11)</f>
        <v/>
      </c>
      <c r="E50" s="41">
        <f>IF('Operations &amp; Support'!E11="","",'Operations &amp; Support'!E11)</f>
        <v/>
      </c>
      <c r="F50" s="40">
        <f>IF('Operations &amp; Support'!F11="","",'Operations &amp; Support'!F11)</f>
        <v/>
      </c>
      <c r="G50" s="41">
        <f>IF('Operations &amp; Support'!G11="","",'Operations &amp; Support'!G11)</f>
        <v/>
      </c>
    </row>
    <row r="51">
      <c r="A51" s="39">
        <f>IF('Operations &amp; Support'!A12="","",'Operations &amp; Support'!A12)</f>
        <v/>
      </c>
      <c r="B51" s="39">
        <f>IF('Operations &amp; Support'!B12="","",'Operations &amp; Support'!B12)</f>
        <v/>
      </c>
      <c r="C51" s="39">
        <f>IF('Operations &amp; Support'!C12="","",'Operations &amp; Support'!C12)</f>
        <v/>
      </c>
      <c r="D51" s="39">
        <f>IF('Operations &amp; Support'!D12="","",'Operations &amp; Support'!D12)</f>
        <v/>
      </c>
      <c r="E51" s="39">
        <f>IF('Operations &amp; Support'!E12="","",'Operations &amp; Support'!E12)</f>
        <v/>
      </c>
      <c r="F51" s="40">
        <f>IF('Operations &amp; Support'!F12="","",'Operations &amp; Support'!F12)</f>
        <v/>
      </c>
      <c r="G51" s="39">
        <f>IF('Operations &amp; Support'!G12="","",'Operations &amp; Support'!G12)</f>
        <v/>
      </c>
    </row>
    <row r="52">
      <c r="A52" s="41">
        <f>IF('Operations &amp; Support'!A13="","",'Operations &amp; Support'!A13)</f>
        <v/>
      </c>
      <c r="B52" s="41">
        <f>IF('Operations &amp; Support'!B13="","",'Operations &amp; Support'!B13)</f>
        <v/>
      </c>
      <c r="C52" s="41">
        <f>IF('Operations &amp; Support'!C13="","",'Operations &amp; Support'!C13)</f>
        <v/>
      </c>
      <c r="D52" s="41">
        <f>IF('Operations &amp; Support'!D13="","",'Operations &amp; Support'!D13)</f>
        <v/>
      </c>
      <c r="E52" s="41">
        <f>IF('Operations &amp; Support'!E13="","",'Operations &amp; Support'!E13)</f>
        <v/>
      </c>
      <c r="F52" s="40">
        <f>IF('Operations &amp; Support'!F13="","",'Operations &amp; Support'!F13)</f>
        <v/>
      </c>
      <c r="G52" s="41">
        <f>IF('Operations &amp; Support'!G13="","",'Operations &amp; Support'!G13)</f>
        <v/>
      </c>
    </row>
    <row r="53">
      <c r="A53" s="39">
        <f>IF('Operations &amp; Support'!A14="","",'Operations &amp; Support'!A14)</f>
        <v/>
      </c>
      <c r="B53" s="39">
        <f>IF('Operations &amp; Support'!B14="","",'Operations &amp; Support'!B14)</f>
        <v/>
      </c>
      <c r="C53" s="39">
        <f>IF('Operations &amp; Support'!C14="","",'Operations &amp; Support'!C14)</f>
        <v/>
      </c>
      <c r="D53" s="39">
        <f>IF('Operations &amp; Support'!D14="","",'Operations &amp; Support'!D14)</f>
        <v/>
      </c>
      <c r="E53" s="39">
        <f>IF('Operations &amp; Support'!E14="","",'Operations &amp; Support'!E14)</f>
        <v/>
      </c>
      <c r="F53" s="40">
        <f>IF('Operations &amp; Support'!F14="","",'Operations &amp; Support'!F14)</f>
        <v/>
      </c>
      <c r="G53" s="39">
        <f>IF('Operations &amp; Support'!G14="","",'Operations &amp; Support'!G14)</f>
        <v/>
      </c>
    </row>
    <row r="54">
      <c r="A54" s="41">
        <f>IF('Implementation Planning'!A2="","",'Implementation Planning'!A2)</f>
        <v/>
      </c>
      <c r="B54" s="41">
        <f>IF('Implementation Planning'!B2="","",'Implementation Planning'!B2)</f>
        <v/>
      </c>
      <c r="C54" s="41">
        <f>IF('Implementation Planning'!C2="","",'Implementation Planning'!C2)</f>
        <v/>
      </c>
      <c r="D54" s="41">
        <f>IF('Implementation Planning'!D2="","",'Implementation Planning'!D2)</f>
        <v/>
      </c>
      <c r="E54" s="41">
        <f>IF('Implementation Planning'!E2="","",'Implementation Planning'!E2)</f>
        <v/>
      </c>
      <c r="F54" s="40">
        <f>IF('Implementation Planning'!F2="","",'Implementation Planning'!F2)</f>
        <v/>
      </c>
      <c r="G54" s="41">
        <f>IF('Implementation Planning'!G2="","",'Implementation Planning'!G2)</f>
        <v/>
      </c>
    </row>
    <row r="55">
      <c r="A55" s="39">
        <f>IF('Implementation Planning'!A3="","",'Implementation Planning'!A3)</f>
        <v/>
      </c>
      <c r="B55" s="39">
        <f>IF('Implementation Planning'!B3="","",'Implementation Planning'!B3)</f>
        <v/>
      </c>
      <c r="C55" s="39">
        <f>IF('Implementation Planning'!C3="","",'Implementation Planning'!C3)</f>
        <v/>
      </c>
      <c r="D55" s="39">
        <f>IF('Implementation Planning'!D3="","",'Implementation Planning'!D3)</f>
        <v/>
      </c>
      <c r="E55" s="39">
        <f>IF('Implementation Planning'!E3="","",'Implementation Planning'!E3)</f>
        <v/>
      </c>
      <c r="F55" s="40">
        <f>IF('Implementation Planning'!F3="","",'Implementation Planning'!F3)</f>
        <v/>
      </c>
      <c r="G55" s="39">
        <f>IF('Implementation Planning'!G3="","",'Implementation Planning'!G3)</f>
        <v/>
      </c>
    </row>
    <row r="56">
      <c r="A56" s="41">
        <f>IF('Implementation Planning'!A4="","",'Implementation Planning'!A4)</f>
        <v/>
      </c>
      <c r="B56" s="41">
        <f>IF('Implementation Planning'!B4="","",'Implementation Planning'!B4)</f>
        <v/>
      </c>
      <c r="C56" s="41">
        <f>IF('Implementation Planning'!C4="","",'Implementation Planning'!C4)</f>
        <v/>
      </c>
      <c r="D56" s="41">
        <f>IF('Implementation Planning'!D4="","",'Implementation Planning'!D4)</f>
        <v/>
      </c>
      <c r="E56" s="41">
        <f>IF('Implementation Planning'!E4="","",'Implementation Planning'!E4)</f>
        <v/>
      </c>
      <c r="F56" s="40">
        <f>IF('Implementation Planning'!F4="","",'Implementation Planning'!F4)</f>
        <v/>
      </c>
      <c r="G56" s="41">
        <f>IF('Implementation Planning'!G4="","",'Implementation Planning'!G4)</f>
        <v/>
      </c>
    </row>
    <row r="57">
      <c r="A57" s="39">
        <f>IF('Implementation Planning'!A5="","",'Implementation Planning'!A5)</f>
        <v/>
      </c>
      <c r="B57" s="39">
        <f>IF('Implementation Planning'!B5="","",'Implementation Planning'!B5)</f>
        <v/>
      </c>
      <c r="C57" s="39">
        <f>IF('Implementation Planning'!C5="","",'Implementation Planning'!C5)</f>
        <v/>
      </c>
      <c r="D57" s="39">
        <f>IF('Implementation Planning'!D5="","",'Implementation Planning'!D5)</f>
        <v/>
      </c>
      <c r="E57" s="39">
        <f>IF('Implementation Planning'!E5="","",'Implementation Planning'!E5)</f>
        <v/>
      </c>
      <c r="F57" s="40">
        <f>IF('Implementation Planning'!F5="","",'Implementation Planning'!F5)</f>
        <v/>
      </c>
      <c r="G57" s="39">
        <f>IF('Implementation Planning'!G5="","",'Implementation Planning'!G5)</f>
        <v/>
      </c>
    </row>
    <row r="58">
      <c r="A58" s="41">
        <f>IF('Implementation Planning'!A6="","",'Implementation Planning'!A6)</f>
        <v/>
      </c>
      <c r="B58" s="41">
        <f>IF('Implementation Planning'!B6="","",'Implementation Planning'!B6)</f>
        <v/>
      </c>
      <c r="C58" s="41">
        <f>IF('Implementation Planning'!C6="","",'Implementation Planning'!C6)</f>
        <v/>
      </c>
      <c r="D58" s="41">
        <f>IF('Implementation Planning'!D6="","",'Implementation Planning'!D6)</f>
        <v/>
      </c>
      <c r="E58" s="41">
        <f>IF('Implementation Planning'!E6="","",'Implementation Planning'!E6)</f>
        <v/>
      </c>
      <c r="F58" s="40">
        <f>IF('Implementation Planning'!F6="","",'Implementation Planning'!F6)</f>
        <v/>
      </c>
      <c r="G58" s="41">
        <f>IF('Implementation Planning'!G6="","",'Implementation Planning'!G6)</f>
        <v/>
      </c>
    </row>
    <row r="59">
      <c r="A59" s="39">
        <f>IF('Implementation Planning'!A7="","",'Implementation Planning'!A7)</f>
        <v/>
      </c>
      <c r="B59" s="39">
        <f>IF('Implementation Planning'!B7="","",'Implementation Planning'!B7)</f>
        <v/>
      </c>
      <c r="C59" s="39">
        <f>IF('Implementation Planning'!C7="","",'Implementation Planning'!C7)</f>
        <v/>
      </c>
      <c r="D59" s="39">
        <f>IF('Implementation Planning'!D7="","",'Implementation Planning'!D7)</f>
        <v/>
      </c>
      <c r="E59" s="39">
        <f>IF('Implementation Planning'!E7="","",'Implementation Planning'!E7)</f>
        <v/>
      </c>
      <c r="F59" s="40">
        <f>IF('Implementation Planning'!F7="","",'Implementation Planning'!F7)</f>
        <v/>
      </c>
      <c r="G59" s="39">
        <f>IF('Implementation Planning'!G7="","",'Implementation Planning'!G7)</f>
        <v/>
      </c>
    </row>
    <row r="60">
      <c r="A60" s="41">
        <f>IF('Implementation Planning'!A8="","",'Implementation Planning'!A8)</f>
        <v/>
      </c>
      <c r="B60" s="41">
        <f>IF('Implementation Planning'!B8="","",'Implementation Planning'!B8)</f>
        <v/>
      </c>
      <c r="C60" s="41">
        <f>IF('Implementation Planning'!C8="","",'Implementation Planning'!C8)</f>
        <v/>
      </c>
      <c r="D60" s="41">
        <f>IF('Implementation Planning'!D8="","",'Implementation Planning'!D8)</f>
        <v/>
      </c>
      <c r="E60" s="41">
        <f>IF('Implementation Planning'!E8="","",'Implementation Planning'!E8)</f>
        <v/>
      </c>
      <c r="F60" s="40">
        <f>IF('Implementation Planning'!F8="","",'Implementation Planning'!F8)</f>
        <v/>
      </c>
      <c r="G60" s="41">
        <f>IF('Implementation Planning'!G8="","",'Implementation Planning'!G8)</f>
        <v/>
      </c>
    </row>
    <row r="61">
      <c r="A61" s="39">
        <f>IF('Implementation Planning'!A9="","",'Implementation Planning'!A9)</f>
        <v/>
      </c>
      <c r="B61" s="39">
        <f>IF('Implementation Planning'!B9="","",'Implementation Planning'!B9)</f>
        <v/>
      </c>
      <c r="C61" s="39">
        <f>IF('Implementation Planning'!C9="","",'Implementation Planning'!C9)</f>
        <v/>
      </c>
      <c r="D61" s="39">
        <f>IF('Implementation Planning'!D9="","",'Implementation Planning'!D9)</f>
        <v/>
      </c>
      <c r="E61" s="39">
        <f>IF('Implementation Planning'!E9="","",'Implementation Planning'!E9)</f>
        <v/>
      </c>
      <c r="F61" s="40">
        <f>IF('Implementation Planning'!F9="","",'Implementation Planning'!F9)</f>
        <v/>
      </c>
      <c r="G61" s="39">
        <f>IF('Implementation Planning'!G9="","",'Implementation Planning'!G9)</f>
        <v/>
      </c>
    </row>
    <row r="62">
      <c r="A62" s="41">
        <f>IF('Implementation Planning'!A10="","",'Implementation Planning'!A10)</f>
        <v/>
      </c>
      <c r="B62" s="41">
        <f>IF('Implementation Planning'!B10="","",'Implementation Planning'!B10)</f>
        <v/>
      </c>
      <c r="C62" s="41">
        <f>IF('Implementation Planning'!C10="","",'Implementation Planning'!C10)</f>
        <v/>
      </c>
      <c r="D62" s="41">
        <f>IF('Implementation Planning'!D10="","",'Implementation Planning'!D10)</f>
        <v/>
      </c>
      <c r="E62" s="41">
        <f>IF('Implementation Planning'!E10="","",'Implementation Planning'!E10)</f>
        <v/>
      </c>
      <c r="F62" s="40">
        <f>IF('Implementation Planning'!F10="","",'Implementation Planning'!F10)</f>
        <v/>
      </c>
      <c r="G62" s="41">
        <f>IF('Implementation Planning'!G10="","",'Implementation Planning'!G10)</f>
        <v/>
      </c>
    </row>
    <row r="63">
      <c r="A63" s="39">
        <f>IF('Implementation Planning'!A11="","",'Implementation Planning'!A11)</f>
        <v/>
      </c>
      <c r="B63" s="39">
        <f>IF('Implementation Planning'!B11="","",'Implementation Planning'!B11)</f>
        <v/>
      </c>
      <c r="C63" s="39">
        <f>IF('Implementation Planning'!C11="","",'Implementation Planning'!C11)</f>
        <v/>
      </c>
      <c r="D63" s="39">
        <f>IF('Implementation Planning'!D11="","",'Implementation Planning'!D11)</f>
        <v/>
      </c>
      <c r="E63" s="39">
        <f>IF('Implementation Planning'!E11="","",'Implementation Planning'!E11)</f>
        <v/>
      </c>
      <c r="F63" s="40">
        <f>IF('Implementation Planning'!F11="","",'Implementation Planning'!F11)</f>
        <v/>
      </c>
      <c r="G63" s="39">
        <f>IF('Implementation Planning'!G11="","",'Implementation Planning'!G11)</f>
        <v/>
      </c>
    </row>
    <row r="64">
      <c r="A64" s="41">
        <f>IF('Risk &amp; Constraints'!A2="","",'Risk &amp; Constraints'!A2)</f>
        <v/>
      </c>
      <c r="B64" s="41">
        <f>IF('Risk &amp; Constraints'!B2="","",'Risk &amp; Constraints'!B2)</f>
        <v/>
      </c>
      <c r="C64" s="41">
        <f>IF('Risk &amp; Constraints'!C2="","",'Risk &amp; Constraints'!C2)</f>
        <v/>
      </c>
      <c r="D64" s="41">
        <f>IF('Risk &amp; Constraints'!D2="","",'Risk &amp; Constraints'!D2)</f>
        <v/>
      </c>
      <c r="E64" s="41">
        <f>IF('Risk &amp; Constraints'!E2="","",'Risk &amp; Constraints'!E2)</f>
        <v/>
      </c>
      <c r="F64" s="40">
        <f>IF('Risk &amp; Constraints'!F2="","",'Risk &amp; Constraints'!F2)</f>
        <v/>
      </c>
      <c r="G64" s="41">
        <f>IF('Risk &amp; Constraints'!G2="","",'Risk &amp; Constraints'!G2)</f>
        <v/>
      </c>
    </row>
    <row r="65">
      <c r="A65" s="39">
        <f>IF('Risk &amp; Constraints'!A3="","",'Risk &amp; Constraints'!A3)</f>
        <v/>
      </c>
      <c r="B65" s="39">
        <f>IF('Risk &amp; Constraints'!B3="","",'Risk &amp; Constraints'!B3)</f>
        <v/>
      </c>
      <c r="C65" s="39">
        <f>IF('Risk &amp; Constraints'!C3="","",'Risk &amp; Constraints'!C3)</f>
        <v/>
      </c>
      <c r="D65" s="39">
        <f>IF('Risk &amp; Constraints'!D3="","",'Risk &amp; Constraints'!D3)</f>
        <v/>
      </c>
      <c r="E65" s="39">
        <f>IF('Risk &amp; Constraints'!E3="","",'Risk &amp; Constraints'!E3)</f>
        <v/>
      </c>
      <c r="F65" s="40">
        <f>IF('Risk &amp; Constraints'!F3="","",'Risk &amp; Constraints'!F3)</f>
        <v/>
      </c>
      <c r="G65" s="39">
        <f>IF('Risk &amp; Constraints'!G3="","",'Risk &amp; Constraints'!G3)</f>
        <v/>
      </c>
    </row>
    <row r="66">
      <c r="A66" s="41">
        <f>IF('Risk &amp; Constraints'!A4="","",'Risk &amp; Constraints'!A4)</f>
        <v/>
      </c>
      <c r="B66" s="41">
        <f>IF('Risk &amp; Constraints'!B4="","",'Risk &amp; Constraints'!B4)</f>
        <v/>
      </c>
      <c r="C66" s="41">
        <f>IF('Risk &amp; Constraints'!C4="","",'Risk &amp; Constraints'!C4)</f>
        <v/>
      </c>
      <c r="D66" s="41">
        <f>IF('Risk &amp; Constraints'!D4="","",'Risk &amp; Constraints'!D4)</f>
        <v/>
      </c>
      <c r="E66" s="41">
        <f>IF('Risk &amp; Constraints'!E4="","",'Risk &amp; Constraints'!E4)</f>
        <v/>
      </c>
      <c r="F66" s="40">
        <f>IF('Risk &amp; Constraints'!F4="","",'Risk &amp; Constraints'!F4)</f>
        <v/>
      </c>
      <c r="G66" s="41">
        <f>IF('Risk &amp; Constraints'!G4="","",'Risk &amp; Constraints'!G4)</f>
        <v/>
      </c>
    </row>
    <row r="67">
      <c r="A67" s="39">
        <f>IF('Risk &amp; Constraints'!A5="","",'Risk &amp; Constraints'!A5)</f>
        <v/>
      </c>
      <c r="B67" s="39">
        <f>IF('Risk &amp; Constraints'!B5="","",'Risk &amp; Constraints'!B5)</f>
        <v/>
      </c>
      <c r="C67" s="39">
        <f>IF('Risk &amp; Constraints'!C5="","",'Risk &amp; Constraints'!C5)</f>
        <v/>
      </c>
      <c r="D67" s="39">
        <f>IF('Risk &amp; Constraints'!D5="","",'Risk &amp; Constraints'!D5)</f>
        <v/>
      </c>
      <c r="E67" s="39">
        <f>IF('Risk &amp; Constraints'!E5="","",'Risk &amp; Constraints'!E5)</f>
        <v/>
      </c>
      <c r="F67" s="40">
        <f>IF('Risk &amp; Constraints'!F5="","",'Risk &amp; Constraints'!F5)</f>
        <v/>
      </c>
      <c r="G67" s="39">
        <f>IF('Risk &amp; Constraints'!G5="","",'Risk &amp; Constraints'!G5)</f>
        <v/>
      </c>
    </row>
    <row r="68">
      <c r="A68" s="41">
        <f>IF('Risk &amp; Constraints'!A6="","",'Risk &amp; Constraints'!A6)</f>
        <v/>
      </c>
      <c r="B68" s="41">
        <f>IF('Risk &amp; Constraints'!B6="","",'Risk &amp; Constraints'!B6)</f>
        <v/>
      </c>
      <c r="C68" s="41">
        <f>IF('Risk &amp; Constraints'!C6="","",'Risk &amp; Constraints'!C6)</f>
        <v/>
      </c>
      <c r="D68" s="41">
        <f>IF('Risk &amp; Constraints'!D6="","",'Risk &amp; Constraints'!D6)</f>
        <v/>
      </c>
      <c r="E68" s="41">
        <f>IF('Risk &amp; Constraints'!E6="","",'Risk &amp; Constraints'!E6)</f>
        <v/>
      </c>
      <c r="F68" s="40">
        <f>IF('Risk &amp; Constraints'!F6="","",'Risk &amp; Constraints'!F6)</f>
        <v/>
      </c>
      <c r="G68" s="41">
        <f>IF('Risk &amp; Constraints'!G6="","",'Risk &amp; Constraints'!G6)</f>
        <v/>
      </c>
    </row>
    <row r="69">
      <c r="A69" s="39">
        <f>IF('Risk &amp; Constraints'!A7="","",'Risk &amp; Constraints'!A7)</f>
        <v/>
      </c>
      <c r="B69" s="39">
        <f>IF('Risk &amp; Constraints'!B7="","",'Risk &amp; Constraints'!B7)</f>
        <v/>
      </c>
      <c r="C69" s="39">
        <f>IF('Risk &amp; Constraints'!C7="","",'Risk &amp; Constraints'!C7)</f>
        <v/>
      </c>
      <c r="D69" s="39">
        <f>IF('Risk &amp; Constraints'!D7="","",'Risk &amp; Constraints'!D7)</f>
        <v/>
      </c>
      <c r="E69" s="39">
        <f>IF('Risk &amp; Constraints'!E7="","",'Risk &amp; Constraints'!E7)</f>
        <v/>
      </c>
      <c r="F69" s="40">
        <f>IF('Risk &amp; Constraints'!F7="","",'Risk &amp; Constraints'!F7)</f>
        <v/>
      </c>
      <c r="G69" s="39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wireless network modernization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Wi-Fi infrastructure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wireless connectivity challenges are driving this network upgrade?</t>
        </is>
      </c>
      <c r="E4" s="41" t="inlineStr">
        <is>
          <t>Common challenges: Poor WiFi coverage, Slow performance, No visibility, Manual troubleshooting, Capacity constraints, Guest access complexity</t>
        </is>
      </c>
      <c r="F4" s="40" t="n"/>
      <c r="G4" s="41" t="inlineStr">
        <is>
          <t>Primary business driver for wireless modernization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wireless infrastructure?</t>
        </is>
      </c>
      <c r="E5" s="39" t="inlineStr">
        <is>
          <t>Describe current vendor/model, controller type, AP count, and limitations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Current State</t>
        </is>
      </c>
      <c r="D6" s="41" t="inlineStr">
        <is>
          <t>What are the most common Wi-Fi issues your users experience?</t>
        </is>
      </c>
      <c r="E6" s="41" t="inlineStr">
        <is>
          <t>Common issues: Slow speeds, Dropped connections, Dead zones, Roaming problems, Guest access difficulties</t>
        </is>
      </c>
      <c r="F6" s="40" t="n"/>
      <c r="G6" s="41" t="inlineStr">
        <is>
          <t>User experience pain points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Objectives</t>
        </is>
      </c>
      <c r="D7" s="39" t="inlineStr">
        <is>
          <t>What are your primary goals for wireless network modernization?</t>
        </is>
      </c>
      <c r="E7" s="39" t="inlineStr">
        <is>
          <t>Common goals: Improve coverage, Increase speed, Simplify management, Enable location services, Reduce troubleshooting time, Support growth</t>
        </is>
      </c>
      <c r="F7" s="40" t="n"/>
      <c r="G7" s="39" t="inlineStr">
        <is>
          <t>Business objectives and expected outcomes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Success Criteria</t>
        </is>
      </c>
      <c r="D8" s="41" t="inlineStr">
        <is>
          <t>How will you measure wireless network success?</t>
        </is>
      </c>
      <c r="E8" s="41" t="inlineStr">
        <is>
          <t>Define KPIs: uptime %, user satisfaction, helpdesk ticket reduction, troubleshooting time, coverage improvements</t>
        </is>
      </c>
      <c r="F8" s="40" t="n"/>
      <c r="G8" s="41" t="inlineStr">
        <is>
          <t>Success metrics for project evaluation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Timeline</t>
        </is>
      </c>
      <c r="D9" s="39" t="inlineStr">
        <is>
          <t>What is your expected timeline for Wi-Fi deployment?</t>
        </is>
      </c>
      <c r="E9" s="39" t="inlineStr">
        <is>
          <t>Typical ranges: 0-3 months, 3-6 months, 6-12 months, 12+ months</t>
        </is>
      </c>
      <c r="F9" s="40" t="n"/>
      <c r="G9" s="39" t="inlineStr">
        <is>
          <t>Project timeline expectations and constraints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Budget</t>
        </is>
      </c>
      <c r="D10" s="41" t="inlineStr">
        <is>
          <t>What is your approved budget range for wireless infrastructure?</t>
        </is>
      </c>
      <c r="E10" s="41" t="inlineStr">
        <is>
          <t>Common ranges: $50K-100K, $100K-300K, $300K-1M, $1M+. Include hardware software and services</t>
        </is>
      </c>
      <c r="F10" s="40" t="n"/>
      <c r="G10" s="41" t="inlineStr">
        <is>
          <t>Budget constraints for solution sizing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Future Vision</t>
        </is>
      </c>
      <c r="D11" s="39" t="inlineStr">
        <is>
          <t>What is your long-term vision for network infrastructure?</t>
        </is>
      </c>
      <c r="E11" s="39" t="inlineStr">
        <is>
          <t>Consider AI-driven operations, location analytics, IoT integration, automation</t>
        </is>
      </c>
      <c r="F11" s="40" t="n"/>
      <c r="G11" s="39" t="inlineStr">
        <is>
          <t>Future roadmap and scalability planning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Growth Projections</t>
        </is>
      </c>
      <c r="D12" s="41" t="inlineStr">
        <is>
          <t>How do you expect wireless device counts to change over 3 years?</t>
        </is>
      </c>
      <c r="E12" s="41" t="inlineStr">
        <is>
          <t>Provide current device count and projected annual growth rate</t>
        </is>
      </c>
      <c r="F12" s="40" t="n"/>
      <c r="G12" s="41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Facility Information</t>
        </is>
      </c>
      <c r="D2" s="41" t="inlineStr">
        <is>
          <t>What is the size and type of your facility?</t>
        </is>
      </c>
      <c r="E2" s="41" t="inlineStr">
        <is>
          <t>Describe square footage, building materials, floor count, facility type (office, campus, warehouse)</t>
        </is>
      </c>
      <c r="F2" s="40" t="n"/>
      <c r="G2" s="41" t="inlineStr">
        <is>
          <t>RF coverage planning and AP density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Facility Information</t>
        </is>
      </c>
      <c r="D3" s="39" t="inlineStr">
        <is>
          <t>How many buildings or locations need wireless coverage?</t>
        </is>
      </c>
      <c r="E3" s="39" t="inlineStr">
        <is>
          <t>Count separate buildings, floors, and remote locations</t>
        </is>
      </c>
      <c r="F3" s="40" t="n"/>
      <c r="G3" s="39" t="inlineStr">
        <is>
          <t>Deployment scope and complexity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Coverage Requirements</t>
        </is>
      </c>
      <c r="D4" s="41" t="inlineStr">
        <is>
          <t>What areas require wireless coverage?</t>
        </is>
      </c>
      <c r="E4" s="41" t="inlineStr">
        <is>
          <t>Specify: Office spaces, Conference rooms, Common areas, Outdoor areas, Warehouses, Parking lots</t>
        </is>
      </c>
      <c r="F4" s="40" t="n"/>
      <c r="G4" s="41" t="inlineStr">
        <is>
          <t>Coverage area mapping and AP placement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User Capacity</t>
        </is>
      </c>
      <c r="D5" s="39" t="inlineStr">
        <is>
          <t>How many concurrent wireless users do you need to support?</t>
        </is>
      </c>
      <c r="E5" s="39" t="inlineStr">
        <is>
          <t>Typical ranges: 50-100, 100-500, 500-1000, 1000+</t>
        </is>
      </c>
      <c r="F5" s="40" t="n"/>
      <c r="G5" s="39" t="inlineStr">
        <is>
          <t>AP density and capacity planning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Device Types</t>
        </is>
      </c>
      <c r="D6" s="41" t="inlineStr">
        <is>
          <t>What types of devices connect to your wireless network?</t>
        </is>
      </c>
      <c r="E6" s="41" t="inlineStr">
        <is>
          <t>Devices: Laptops, Smartphones, Tablets, IoT sensors, Printers, VoIP phones, Medical devices</t>
        </is>
      </c>
      <c r="F6" s="40" t="n"/>
      <c r="G6" s="41" t="inlineStr">
        <is>
          <t>Client compatibility and feature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Performance Requirements</t>
        </is>
      </c>
      <c r="D7" s="39" t="inlineStr">
        <is>
          <t>What throughput and bandwidth do you require?</t>
        </is>
      </c>
      <c r="E7" s="39" t="inlineStr">
        <is>
          <t>Specify: Per-user bandwidth, Application requirements, Download/upload speeds</t>
        </is>
      </c>
      <c r="F7" s="40" t="n"/>
      <c r="G7" s="39" t="inlineStr">
        <is>
          <t>Performance targets for solution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Wi-Fi Standards</t>
        </is>
      </c>
      <c r="D8" s="41" t="inlineStr">
        <is>
          <t>What Wi-Fi standards do you need to support?</t>
        </is>
      </c>
      <c r="E8" s="41" t="inlineStr">
        <is>
          <t>Standards: Wi-Fi 6 (802.11ax), Wi-Fi 6E (6 GHz), Wi-Fi 7 future-proofing</t>
        </is>
      </c>
      <c r="F8" s="40" t="n"/>
      <c r="G8" s="41" t="inlineStr">
        <is>
          <t>Technology selection and future-proofing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Frequency Bands</t>
        </is>
      </c>
      <c r="D9" s="39" t="inlineStr">
        <is>
          <t>Do you need 6 GHz support (Wi-Fi 6E)?</t>
        </is>
      </c>
      <c r="E9" s="39" t="inlineStr">
        <is>
          <t>Benefits: More spectrum, Less interference, Higher throughput, Future-proofing</t>
        </is>
      </c>
      <c r="F9" s="40" t="n"/>
      <c r="G9" s="39" t="inlineStr">
        <is>
          <t>Frequency planning and client support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Network Architecture</t>
        </is>
      </c>
      <c r="D10" s="41" t="inlineStr">
        <is>
          <t>What is your preferred wireless architecture?</t>
        </is>
      </c>
      <c r="E10" s="41" t="inlineStr">
        <is>
          <t>Options: Cloud-managed (Mist), On-premises controller, Hybrid approach</t>
        </is>
      </c>
      <c r="F10" s="40" t="n"/>
      <c r="G10" s="41" t="inlineStr">
        <is>
          <t>Management platform selection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Wired Network</t>
        </is>
      </c>
      <c r="D11" s="39" t="inlineStr">
        <is>
          <t>Do you need wired network infrastructure upgrades?</t>
        </is>
      </c>
      <c r="E11" s="39" t="inlineStr">
        <is>
          <t>Consider: PoE switches, Switch port capacity, Uplink bandwidth, Network segmentation</t>
        </is>
      </c>
      <c r="F11" s="40" t="n"/>
      <c r="G11" s="39" t="inlineStr">
        <is>
          <t>Wired assurance and switch management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Network Integration</t>
        </is>
      </c>
      <c r="D12" s="41" t="inlineStr">
        <is>
          <t>What routing and switching infrastructure exists?</t>
        </is>
      </c>
      <c r="E12" s="41" t="inlineStr">
        <is>
          <t>Describe: Core switches, Distribution switches, VLANs, Routing protocols</t>
        </is>
      </c>
      <c r="F12" s="40" t="n"/>
      <c r="G12" s="41" t="inlineStr">
        <is>
          <t>Network architecture integration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VLAN Requirements</t>
        </is>
      </c>
      <c r="D13" s="39" t="inlineStr">
        <is>
          <t>How many SSIDs and VLANs do you need?</t>
        </is>
      </c>
      <c r="E13" s="39" t="inlineStr">
        <is>
          <t>Common VLANs: Corporate, Guest, IoT, Voice, Management</t>
        </is>
      </c>
      <c r="F13" s="40" t="n"/>
      <c r="G13" s="39" t="inlineStr">
        <is>
          <t>Network segmentation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Roaming Requirements</t>
        </is>
      </c>
      <c r="D14" s="41" t="inlineStr">
        <is>
          <t>Do you need seamless roaming across APs?</t>
        </is>
      </c>
      <c r="E14" s="41" t="inlineStr">
        <is>
          <t>Use cases: VoIP calls, Video streaming, Real-time applications, Large facilities</t>
        </is>
      </c>
      <c r="F14" s="40" t="n"/>
      <c r="G14" s="41" t="inlineStr">
        <is>
          <t>Roaming performance and client experience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Guest Access</t>
        </is>
      </c>
      <c r="D15" s="39" t="inlineStr">
        <is>
          <t>What guest Wi-Fi capabilities do you need?</t>
        </is>
      </c>
      <c r="E15" s="39" t="inlineStr">
        <is>
          <t>Features: Captive portal, Social login, Vouchers, Sponsored access, Self-registration</t>
        </is>
      </c>
      <c r="F15" s="40" t="n"/>
      <c r="G15" s="39" t="inlineStr">
        <is>
          <t>Guest access requirements and workflows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Authentication</t>
        </is>
      </c>
      <c r="D16" s="41" t="inlineStr">
        <is>
          <t>What authentication methods are required?</t>
        </is>
      </c>
      <c r="E16" s="41" t="inlineStr">
        <is>
          <t>Methods: 802.1X (RADIUS), WPA2/WPA3 Enterprise, Certificate-based, PSK, Open with portal</t>
        </is>
      </c>
      <c r="F16" s="40" t="n"/>
      <c r="G16" s="41" t="inlineStr">
        <is>
          <t>Security and authentication architecture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IoT Devices</t>
        </is>
      </c>
      <c r="D17" s="39" t="inlineStr">
        <is>
          <t>Do you have IoT devices requiring wireless connectivity?</t>
        </is>
      </c>
      <c r="E17" s="39" t="inlineStr">
        <is>
          <t>Common IoT: Sensors, Cameras, Building automation, Medical devices, Asset tracking</t>
        </is>
      </c>
      <c r="F17" s="40" t="n"/>
      <c r="G17" s="39" t="inlineStr">
        <is>
          <t>IoT segmentation and management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Location Services</t>
        </is>
      </c>
      <c r="D18" s="41" t="inlineStr">
        <is>
          <t>Do you need indoor location tracking?</t>
        </is>
      </c>
      <c r="E18" s="41" t="inlineStr">
        <is>
          <t>Use cases: Wayfinding, Asset tracking, People counting, Occupancy analytics, Contact tracing</t>
        </is>
      </c>
      <c r="F18" s="40" t="n"/>
      <c r="G18" s="41" t="inlineStr">
        <is>
          <t>Virtual Bluetooth LE (vBLE)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Analytics</t>
        </is>
      </c>
      <c r="D19" s="39" t="inlineStr">
        <is>
          <t>What wireless analytics capabilities do you need?</t>
        </is>
      </c>
      <c r="E19" s="39" t="inlineStr">
        <is>
          <t>Analytics: User engagement, Application usage, Presence analytics, Heatmaps, Dwell time</t>
        </is>
      </c>
      <c r="F19" s="40" t="n"/>
      <c r="G19" s="39" t="inlineStr">
        <is>
          <t>Mist Premium Analytics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Wireless Security</t>
        </is>
      </c>
      <c r="D2" s="41" t="inlineStr">
        <is>
          <t>What wireless security standards must you meet?</t>
        </is>
      </c>
      <c r="E2" s="41" t="inlineStr">
        <is>
          <t>Standards: WPA2, WPA3, 802.1X, MAC filtering, Rogue AP detection</t>
        </is>
      </c>
      <c r="F2" s="40" t="n"/>
      <c r="G2" s="41" t="inlineStr">
        <is>
          <t>Security policy and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Network Segmentation</t>
        </is>
      </c>
      <c r="D3" s="39" t="inlineStr">
        <is>
          <t>Do you need wireless network segmentation?</t>
        </is>
      </c>
      <c r="E3" s="39" t="inlineStr">
        <is>
          <t>Segmentation: Guest isolation, IoT isolation, Corporate separation, Role-based access</t>
        </is>
      </c>
      <c r="F3" s="40" t="n"/>
      <c r="G3" s="39" t="inlineStr">
        <is>
          <t>VLAN and security zone architecture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frameworks must the wireless network support?</t>
        </is>
      </c>
      <c r="E4" s="41" t="inlineStr">
        <is>
          <t>Common standards: PCI DSS, HIPAA, SOC 2, ISO 27001, NIST, FedRAMP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Rogue Detection</t>
        </is>
      </c>
      <c r="D5" s="39" t="inlineStr">
        <is>
          <t>Do you need rogue AP and client detection?</t>
        </is>
      </c>
      <c r="E5" s="39" t="inlineStr">
        <is>
          <t>Capabilities: Wireless intrusion detection, Rogue AP containment, Client isolation</t>
        </is>
      </c>
      <c r="F5" s="40" t="n"/>
      <c r="G5" s="39" t="inlineStr">
        <is>
          <t>Wireless security monitoring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Encryption</t>
        </is>
      </c>
      <c r="D6" s="41" t="inlineStr">
        <is>
          <t>What encryption requirements apply?</t>
        </is>
      </c>
      <c r="E6" s="41" t="inlineStr">
        <is>
          <t>Requirements: WPA3 (AES-256), 802.1X with EAP-TLS, Certificate management</t>
        </is>
      </c>
      <c r="F6" s="40" t="n"/>
      <c r="G6" s="41" t="inlineStr">
        <is>
          <t>Wireless encryption standards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access control policies are required?</t>
        </is>
      </c>
      <c r="E7" s="39" t="inlineStr">
        <is>
          <t>Policies: Role-based access, Time-based access, Location-based access, Device posture</t>
        </is>
      </c>
      <c r="F7" s="40" t="n"/>
      <c r="G7" s="39" t="inlineStr">
        <is>
          <t>Dynamic policy enforcement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Data Privacy</t>
        </is>
      </c>
      <c r="D8" s="41" t="inlineStr">
        <is>
          <t>What data privacy requirements do you have?</t>
        </is>
      </c>
      <c r="E8" s="41" t="inlineStr">
        <is>
          <t>Privacy: User tracking consent, Data retention policies, GDPR compliance, Anonymization</t>
        </is>
      </c>
      <c r="F8" s="40" t="n"/>
      <c r="G8" s="41" t="inlineStr">
        <is>
          <t>Privacy and regulatory 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Uptime Requirements</t>
        </is>
      </c>
      <c r="D2" s="41" t="inlineStr">
        <is>
          <t>What uptime requirements do you have for wireless services?</t>
        </is>
      </c>
      <c r="E2" s="41" t="inlineStr">
        <is>
          <t>Common targets: 99%, 99.5%, 99.9%, 99.95%, 99.99%</t>
        </is>
      </c>
      <c r="F2" s="40" t="n"/>
      <c r="G2" s="41" t="inlineStr">
        <is>
          <t>SLA requirements and redundancy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Support Coverage</t>
        </is>
      </c>
      <c r="D3" s="39" t="inlineStr">
        <is>
          <t>What support coverage do you require?</t>
        </is>
      </c>
      <c r="E3" s="39" t="inlineStr">
        <is>
          <t>Options: Business hours (8x5), Extended (24x5), Full (24x7)</t>
        </is>
      </c>
      <c r="F3" s="40" t="n"/>
      <c r="G3" s="39" t="inlineStr">
        <is>
          <t>Support staffing and escalation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Troubleshooting</t>
        </is>
      </c>
      <c r="D4" s="41" t="inlineStr">
        <is>
          <t>How do you currently troubleshoot wireless issues?</t>
        </is>
      </c>
      <c r="E4" s="41" t="inlineStr">
        <is>
          <t>Current process: Packet captures, AP logs, Controller diagnostics, User reports, Site visits</t>
        </is>
      </c>
      <c r="F4" s="40" t="n"/>
      <c r="G4" s="41" t="inlineStr">
        <is>
          <t>AI-driven troubleshooting value proposition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alerting is required?</t>
        </is>
      </c>
      <c r="E5" s="39" t="inlineStr">
        <is>
          <t>Requirements: Uptime metrics, Performance dashboards, Anomaly alerts, Client experience scores</t>
        </is>
      </c>
      <c r="F5" s="40" t="n"/>
      <c r="G5" s="39" t="inlineStr">
        <is>
          <t>Operational visibility and proactive monitoring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Change Management</t>
        </is>
      </c>
      <c r="D6" s="41" t="inlineStr">
        <is>
          <t>What is your process for wireless configuration changes?</t>
        </is>
      </c>
      <c r="E6" s="41" t="inlineStr">
        <is>
          <t>Describe: Change windows, Approval process, Testing requirements, Rollback procedures</t>
        </is>
      </c>
      <c r="F6" s="40" t="n"/>
      <c r="G6" s="41" t="inlineStr">
        <is>
          <t>Configuration management and automation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Helpdesk Integration</t>
        </is>
      </c>
      <c r="D7" s="39" t="inlineStr">
        <is>
          <t>Do you need integration with helpdesk/ITSM systems?</t>
        </is>
      </c>
      <c r="E7" s="39" t="inlineStr">
        <is>
          <t>Systems: ServiceNow, Jira Service Desk, Zendesk, Email ticketing</t>
        </is>
      </c>
      <c r="F7" s="40" t="n"/>
      <c r="G7" s="39" t="inlineStr">
        <is>
          <t>Incident management integration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Network Documentation</t>
        </is>
      </c>
      <c r="D8" s="41" t="inlineStr">
        <is>
          <t>What documentation do you require?</t>
        </is>
      </c>
      <c r="E8" s="41" t="inlineStr">
        <is>
          <t>Types: As-built RF maps, AP placement diagrams, Configuration guides, Troubleshooting runbooks</t>
        </is>
      </c>
      <c r="F8" s="40" t="n"/>
      <c r="G8" s="41" t="inlineStr">
        <is>
          <t>Documentation deliverables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Marvis AI</t>
        </is>
      </c>
      <c r="D9" s="39" t="inlineStr">
        <is>
          <t>Are you interested in AI-driven network troubleshooting?</t>
        </is>
      </c>
      <c r="E9" s="39" t="inlineStr">
        <is>
          <t>Marvis capabilities: Conversational AI, Proactive anomaly detection, Root cause analysis, Self-healing</t>
        </is>
      </c>
      <c r="F9" s="40" t="n"/>
      <c r="G9" s="39" t="inlineStr">
        <is>
          <t>Virtual network assistant adoption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AI Operations</t>
        </is>
      </c>
      <c r="D10" s="41" t="inlineStr">
        <is>
          <t>What network operations tasks consume the most time?</t>
        </is>
      </c>
      <c r="E10" s="41" t="inlineStr">
        <is>
          <t>Common tasks: Troubleshooting, RF optimization, Configuration changes, Client diagnostics, Capacity planning</t>
        </is>
      </c>
      <c r="F10" s="40" t="n"/>
      <c r="G10" s="41" t="inlineStr">
        <is>
          <t>AIOps value proposition and use cases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Predictive Analytics</t>
        </is>
      </c>
      <c r="D11" s="39" t="inlineStr">
        <is>
          <t>Do you want predictive network insights?</t>
        </is>
      </c>
      <c r="E11" s="39" t="inlineStr">
        <is>
          <t>Insights: Anomaly detection before user impact, Capacity forecasting, Performance trends, Client experience prediction</t>
        </is>
      </c>
      <c r="F11" s="40" t="n"/>
      <c r="G11" s="39" t="inlineStr">
        <is>
          <t>Mist AI capabilities requirements</t>
        </is>
      </c>
    </row>
    <row r="12">
      <c r="A12" s="41" t="inlineStr">
        <is>
          <t>OPS-011</t>
        </is>
      </c>
      <c r="B12" s="41" t="inlineStr">
        <is>
          <t>Operations &amp; Support</t>
        </is>
      </c>
      <c r="C12" s="41" t="inlineStr">
        <is>
          <t>Automation</t>
        </is>
      </c>
      <c r="D12" s="41" t="inlineStr">
        <is>
          <t>What network tasks would you like to automate?</t>
        </is>
      </c>
      <c r="E12" s="41" t="inlineStr">
        <is>
          <t>Tasks: RF optimization, Channel selection, Power adjustment, Client steering, Configuration deployment</t>
        </is>
      </c>
      <c r="F12" s="40" t="n"/>
      <c r="G12" s="41" t="inlineStr">
        <is>
          <t>AI-driven automation requirements</t>
        </is>
      </c>
    </row>
    <row r="13">
      <c r="A13" s="39" t="inlineStr">
        <is>
          <t>OPS-012</t>
        </is>
      </c>
      <c r="B13" s="39" t="inlineStr">
        <is>
          <t>Operations &amp; Support</t>
        </is>
      </c>
      <c r="C13" s="39" t="inlineStr">
        <is>
          <t>User Experience</t>
        </is>
      </c>
      <c r="D13" s="39" t="inlineStr">
        <is>
          <t>How do you measure wireless user experience today?</t>
        </is>
      </c>
      <c r="E13" s="39" t="inlineStr">
        <is>
          <t>Current metrics: Speed tests, Helpdesk tickets, User surveys, AP uptime, Coverage maps</t>
        </is>
      </c>
      <c r="F13" s="40" t="n"/>
      <c r="G13" s="39" t="inlineStr">
        <is>
          <t>Client experience SLE tracking</t>
        </is>
      </c>
    </row>
    <row r="14">
      <c r="A14" s="41" t="inlineStr">
        <is>
          <t>OPS-013</t>
        </is>
      </c>
      <c r="B14" s="41" t="inlineStr">
        <is>
          <t>Operations &amp; Support</t>
        </is>
      </c>
      <c r="C14" s="41" t="inlineStr">
        <is>
          <t>SLE Tracking</t>
        </is>
      </c>
      <c r="D14" s="41" t="inlineStr">
        <is>
          <t>What Service Level Expectations (SLEs) matter most?</t>
        </is>
      </c>
      <c r="E14" s="41" t="inlineStr">
        <is>
          <t>SLEs: Successful connects, Time to connect, Throughput, Roaming, Capacity</t>
        </is>
      </c>
      <c r="F14" s="40" t="n"/>
      <c r="G14" s="41" t="inlineStr">
        <is>
          <t>SLE definition and monitoring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wireless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wireless deployment?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Juniper Experience</t>
        </is>
      </c>
      <c r="D4" s="41" t="inlineStr">
        <is>
          <t>What is your team's experience with Mist/Juniper wireless?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 and knowledge transfer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Deployment Approach</t>
        </is>
      </c>
      <c r="D5" s="39" t="inlineStr">
        <is>
          <t>What is your preferred deployment approach?</t>
        </is>
      </c>
      <c r="E5" s="39" t="inlineStr">
        <is>
          <t>Options: Phased by building/floor, Pilot then rollout, Big bang replacement, Parallel run with cutover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Site Survey</t>
        </is>
      </c>
      <c r="D6" s="41" t="inlineStr">
        <is>
          <t>Do you need a professional RF site survey?</t>
        </is>
      </c>
      <c r="E6" s="41" t="inlineStr">
        <is>
          <t>Survey types: Predictive (design), Pre-deployment (validation), Post-deployment (verification)</t>
        </is>
      </c>
      <c r="F6" s="40" t="n"/>
      <c r="G6" s="41" t="inlineStr">
        <is>
          <t>Site survey requirements and AP placement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Cabling</t>
        </is>
      </c>
      <c r="D7" s="39" t="inlineStr">
        <is>
          <t>What cabling infrastructure exists for APs?</t>
        </is>
      </c>
      <c r="E7" s="39" t="inlineStr">
        <is>
          <t>Describe: Cat6/Cat6a, PoE capacity, Drop ceiling access, Plenum requirements</t>
        </is>
      </c>
      <c r="F7" s="40" t="n"/>
      <c r="G7" s="39" t="inlineStr">
        <is>
          <t>Physical installation requirements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PoE Capacity</t>
        </is>
      </c>
      <c r="D8" s="41" t="inlineStr">
        <is>
          <t>What PoE switch infrastructure do you have?</t>
        </is>
      </c>
      <c r="E8" s="41" t="inlineStr">
        <is>
          <t>PoE standards: 802.3af (15.4W), 802.3at (25.5W), 802.3bt (60-90W for Wi-Fi 6E)</t>
        </is>
      </c>
      <c r="F8" s="40" t="n"/>
      <c r="G8" s="41" t="inlineStr">
        <is>
          <t>Power infrastructure and switch upgrades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Cutover Strategy</t>
        </is>
      </c>
      <c r="D9" s="39" t="inlineStr">
        <is>
          <t>What is your preferred AP cutover strategy?</t>
        </is>
      </c>
      <c r="E9" s="39" t="inlineStr">
        <is>
          <t>Options: Off-hours replacement, Weekend deployment, Staged building-by-building, Zero-downtime overlap</t>
        </is>
      </c>
      <c r="F9" s="40" t="n"/>
      <c r="G9" s="39" t="inlineStr">
        <is>
          <t>Migration planning and business continuity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 Requirements</t>
        </is>
      </c>
      <c r="D10" s="41" t="inlineStr">
        <is>
          <t>What testing approach do you require?</t>
        </is>
      </c>
      <c r="E10" s="41" t="inlineStr">
        <is>
          <t>Types: RF validation, Client connectivity, Roaming, Application performance, Throughput validation</t>
        </is>
      </c>
      <c r="F10" s="40" t="n"/>
      <c r="G10" s="41" t="inlineStr">
        <is>
          <t>Testing and validation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Training Needs</t>
        </is>
      </c>
      <c r="D11" s="39" t="inlineStr">
        <is>
          <t>What training will be needed for IT staff?</t>
        </is>
      </c>
      <c r="E11" s="39" t="inlineStr">
        <is>
          <t>Types: Mist dashboard training, Marvis AI usage, Troubleshooting, RF fundamentals, Best practices</t>
        </is>
      </c>
      <c r="F11" s="40" t="n"/>
      <c r="G11" s="39" t="inlineStr">
        <is>
          <t>Knowledge transfer scope and timeline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wireless infrastructure migration?</t>
        </is>
      </c>
      <c r="E2" s="41" t="inlineStr">
        <is>
          <t>Consider: Downtime risk, Coverage gaps, Performance issues, Budget overruns, Timeline delays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wireless project to fail?</t>
        </is>
      </c>
      <c r="E3" s="39" t="inlineStr">
        <is>
          <t>Consider: Poor RF planning, Inadequate testing, Resource constraints, User resistance, Integration issues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Coverage Risks</t>
        </is>
      </c>
      <c r="D4" s="41" t="inlineStr">
        <is>
          <t>What are your concerns about achieving complete coverage?</t>
        </is>
      </c>
      <c r="E4" s="41" t="inlineStr">
        <is>
          <t>Consider: Building materials, Outdoor areas, Interference sources, Legacy client support</t>
        </is>
      </c>
      <c r="F4" s="40" t="n"/>
      <c r="G4" s="41" t="inlineStr">
        <is>
          <t>RF design and coverage validation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Performance Risks</t>
        </is>
      </c>
      <c r="D5" s="39" t="inlineStr">
        <is>
          <t>What performance risks worry you most?</t>
        </is>
      </c>
      <c r="E5" s="39" t="inlineStr">
        <is>
          <t>Consider: User density, High-bandwidth applications, IoT device volume, Interference, Capacity limits</t>
        </is>
      </c>
      <c r="F5" s="40" t="n"/>
      <c r="G5" s="39" t="inlineStr">
        <is>
          <t>Capacity planning and performance validation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Examples: Cabling contractors, Electricians, PoE switch procurement, Building access approvals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solution work within?</t>
        </is>
      </c>
      <c r="E7" s="39" t="inlineStr">
        <is>
          <t>Consider: Budget limits, Timeline, Building restrictions, Aesthetic requirements, IT policies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2025-11-22T23:22:34Z</dcterms:modified>
  <cp:lastModifiedBy>Kishan Siram</cp:lastModifiedBy>
</cp:coreProperties>
</file>