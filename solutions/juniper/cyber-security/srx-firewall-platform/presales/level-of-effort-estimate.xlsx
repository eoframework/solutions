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Assumptions'!$A$2:$H$19</definedName>
    <definedName name="_xlnm._FilterDatabase" localSheetId="2" hidden="1">'Estimate Settings'!$A$2:$E$11</definedName>
    <definedName name="_xlnm._FilterDatabase" localSheetId="3" hidden="1">'LOE'!$A$2:$K$34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JUNIPER - Cyber-Security - Srx Firewall Platform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Solution Scope</t>
        </is>
      </c>
      <c r="B3" s="38" t="inlineStr">
        <is>
          <t>Datacenter Firewalls</t>
        </is>
      </c>
      <c r="C3" s="39" t="inlineStr">
        <is>
          <t>2 SRX4600 (HA pair)</t>
        </is>
      </c>
      <c r="D3" s="38" t="inlineStr">
        <is>
          <t>2 SRX4600 (HA pair)</t>
        </is>
      </c>
      <c r="E3" s="38" t="inlineStr">
        <is>
          <t>4 SRX5400 (2 HA pairs)</t>
        </is>
      </c>
      <c r="F3" s="38" t="inlineStr">
        <is>
          <t>8+ SRX5800 (4 HA pairs)</t>
        </is>
      </c>
      <c r="G3" s="38" t="inlineStr">
        <is>
          <t>Enterprise datacenter firewall deployment</t>
        </is>
      </c>
      <c r="H3" s="38" t="inlineStr"/>
    </row>
    <row r="4" ht="26" customHeight="1">
      <c r="A4" s="40" t="inlineStr">
        <is>
          <t>Solution Scope</t>
        </is>
      </c>
      <c r="B4" s="41" t="inlineStr">
        <is>
          <t>Branch Firewalls</t>
        </is>
      </c>
      <c r="C4" s="39" t="inlineStr">
        <is>
          <t>10 SRX300 branch sites</t>
        </is>
      </c>
      <c r="D4" s="41" t="inlineStr">
        <is>
          <t>10 SRX300 branch sites</t>
        </is>
      </c>
      <c r="E4" s="41" t="inlineStr">
        <is>
          <t>25 SRX345 branch sites</t>
        </is>
      </c>
      <c r="F4" s="41" t="inlineStr">
        <is>
          <t>50+ SRX380 branch sites</t>
        </is>
      </c>
      <c r="G4" s="41" t="inlineStr">
        <is>
          <t>Branch office firewall and SD-WAN deployment</t>
        </is>
      </c>
      <c r="H4" s="41" t="inlineStr"/>
    </row>
    <row r="5" ht="26" customHeight="1">
      <c r="A5" s="37" t="inlineStr">
        <is>
          <t>Integration</t>
        </is>
      </c>
      <c r="B5" s="38" t="inlineStr">
        <is>
          <t>Firewall Rules to Migrate</t>
        </is>
      </c>
      <c r="C5" s="39" t="inlineStr">
        <is>
          <t>500 firewall rules</t>
        </is>
      </c>
      <c r="D5" s="38" t="inlineStr">
        <is>
          <t>500 firewall rules</t>
        </is>
      </c>
      <c r="E5" s="38" t="inlineStr">
        <is>
          <t>1500 firewall rules</t>
        </is>
      </c>
      <c r="F5" s="38" t="inlineStr">
        <is>
          <t>3000+ firewall rules</t>
        </is>
      </c>
      <c r="G5" s="38" t="inlineStr">
        <is>
          <t>Policy migration from legacy ASA or firewall platform</t>
        </is>
      </c>
      <c r="H5" s="38" t="inlineStr"/>
    </row>
    <row r="6" ht="26" customHeight="1">
      <c r="A6" s="40" t="inlineStr">
        <is>
          <t>Integration</t>
        </is>
      </c>
      <c r="B6" s="41" t="inlineStr">
        <is>
          <t>External System Integrations</t>
        </is>
      </c>
      <c r="C6" s="39" t="inlineStr">
        <is>
          <t>2 integrations (SIEM NAC)</t>
        </is>
      </c>
      <c r="D6" s="41" t="inlineStr">
        <is>
          <t>2 integrations (SIEM NAC)</t>
        </is>
      </c>
      <c r="E6" s="41" t="inlineStr">
        <is>
          <t>4-6 systems</t>
        </is>
      </c>
      <c r="F6" s="41" t="inlineStr">
        <is>
          <t>8+ systems or complex protocols</t>
        </is>
      </c>
      <c r="G6" s="41" t="inlineStr">
        <is>
          <t>SIEM NAC authentication and management integration</t>
        </is>
      </c>
      <c r="H6" s="41" t="inlineStr"/>
    </row>
    <row r="7" ht="26" customHeight="1">
      <c r="A7" s="37" t="inlineStr">
        <is>
          <t>Integration</t>
        </is>
      </c>
      <c r="B7" s="38" t="inlineStr">
        <is>
          <t>VPN Tunnels</t>
        </is>
      </c>
      <c r="C7" s="39" t="inlineStr">
        <is>
          <t>30 site-to-site + 100 SSL VPN</t>
        </is>
      </c>
      <c r="D7" s="38" t="inlineStr">
        <is>
          <t>30 site-to-site + 100 SSL VPN</t>
        </is>
      </c>
      <c r="E7" s="38" t="inlineStr">
        <is>
          <t>100 site-to-site + 500 SSL VPN</t>
        </is>
      </c>
      <c r="F7" s="38" t="inlineStr">
        <is>
          <t>300+ site-to-site + 1500 SSL VPN</t>
        </is>
      </c>
      <c r="G7" s="38" t="inlineStr">
        <is>
          <t>IPsec VPN tunnels and SSL VPN remote users</t>
        </is>
      </c>
      <c r="H7" s="38" t="inlineStr"/>
    </row>
    <row r="8" ht="26" customHeight="1">
      <c r="A8" s="40" t="inlineStr">
        <is>
          <t>User Base</t>
        </is>
      </c>
      <c r="B8" s="41" t="inlineStr">
        <is>
          <t>Network Administrators</t>
        </is>
      </c>
      <c r="C8" s="39" t="inlineStr">
        <is>
          <t>4 firewall administrators</t>
        </is>
      </c>
      <c r="D8" s="41" t="inlineStr">
        <is>
          <t>2-4 administrators</t>
        </is>
      </c>
      <c r="E8" s="41" t="inlineStr">
        <is>
          <t>6-10 administrators</t>
        </is>
      </c>
      <c r="F8" s="41" t="inlineStr">
        <is>
          <t>15+ administrators</t>
        </is>
      </c>
      <c r="G8" s="41" t="inlineStr">
        <is>
          <t>Firewall administrators and security operators</t>
        </is>
      </c>
      <c r="H8" s="41" t="inlineStr"/>
    </row>
    <row r="9" ht="26" customHeight="1">
      <c r="A9" s="37" t="inlineStr">
        <is>
          <t>User Base</t>
        </is>
      </c>
      <c r="B9" s="38" t="inlineStr">
        <is>
          <t>Remote Users</t>
        </is>
      </c>
      <c r="C9" s="39" t="inlineStr">
        <is>
          <t>100 SSL VPN users</t>
        </is>
      </c>
      <c r="D9" s="38" t="inlineStr">
        <is>
          <t>100 SSL VPN users</t>
        </is>
      </c>
      <c r="E9" s="38" t="inlineStr">
        <is>
          <t>500 SSL VPN users</t>
        </is>
      </c>
      <c r="F9" s="38" t="inlineStr">
        <is>
          <t>1500+ SSL VPN users</t>
        </is>
      </c>
      <c r="G9" s="38" t="inlineStr">
        <is>
          <t>Remote access SSL VPN concurrent users</t>
        </is>
      </c>
      <c r="H9" s="38" t="inlineStr"/>
    </row>
    <row r="10" ht="26" customHeight="1">
      <c r="A10" s="40" t="inlineStr">
        <is>
          <t>Data Volume</t>
        </is>
      </c>
      <c r="B10" s="41" t="inlineStr">
        <is>
          <t>Firewall Throughput</t>
        </is>
      </c>
      <c r="C10" s="39" t="inlineStr">
        <is>
          <t>80 Gbps datacenter firewall</t>
        </is>
      </c>
      <c r="D10" s="41" t="inlineStr">
        <is>
          <t>80 Gbps datacenter</t>
        </is>
      </c>
      <c r="E10" s="41" t="inlineStr">
        <is>
          <t>160 Gbps datacenter</t>
        </is>
      </c>
      <c r="F10" s="41" t="inlineStr">
        <is>
          <t>400+ Gbps datacenter</t>
        </is>
      </c>
      <c r="G10" s="41" t="inlineStr">
        <is>
          <t>Total firewall throughput with security services</t>
        </is>
      </c>
      <c r="H10" s="41" t="inlineStr"/>
    </row>
    <row r="11" ht="26" customHeight="1">
      <c r="A11" s="37" t="inlineStr">
        <is>
          <t>Data Volume</t>
        </is>
      </c>
      <c r="B11" s="38" t="inlineStr">
        <is>
          <t>IPS Throughput</t>
        </is>
      </c>
      <c r="C11" s="39" t="inlineStr">
        <is>
          <t>40 Gbps IPS inspection</t>
        </is>
      </c>
      <c r="D11" s="38" t="inlineStr">
        <is>
          <t>40 Gbps IPS</t>
        </is>
      </c>
      <c r="E11" s="38" t="inlineStr">
        <is>
          <t>80 Gbps IPS</t>
        </is>
      </c>
      <c r="F11" s="38" t="inlineStr">
        <is>
          <t>200+ Gbps IPS</t>
        </is>
      </c>
      <c r="G11" s="38" t="inlineStr">
        <is>
          <t>Intrusion prevention system throughput</t>
        </is>
      </c>
      <c r="H11" s="38" t="inlineStr"/>
    </row>
    <row r="12" ht="26" customHeight="1">
      <c r="A12" s="40" t="inlineStr">
        <is>
          <t>Technical Environment</t>
        </is>
      </c>
      <c r="B12" s="41" t="inlineStr">
        <is>
          <t>Deployment Locations</t>
        </is>
      </c>
      <c r="C12" s="39" t="inlineStr">
        <is>
          <t>1 datacenter + 10 branches</t>
        </is>
      </c>
      <c r="D12" s="41" t="inlineStr">
        <is>
          <t>1 datacenter + 10 branches</t>
        </is>
      </c>
      <c r="E12" s="41" t="inlineStr">
        <is>
          <t>2 datacenters + 25 branches</t>
        </is>
      </c>
      <c r="F12" s="41" t="inlineStr">
        <is>
          <t>4+ datacenters + 50+ branches</t>
        </is>
      </c>
      <c r="G12" s="41" t="inlineStr">
        <is>
          <t>Geographic distribution for firewall deployment</t>
        </is>
      </c>
      <c r="H12" s="41" t="inlineStr"/>
    </row>
    <row r="13" ht="26" customHeight="1">
      <c r="A13" s="37" t="inlineStr">
        <is>
          <t>Technical Environment</t>
        </is>
      </c>
      <c r="B13" s="38" t="inlineStr">
        <is>
          <t>Availability Requirements</t>
        </is>
      </c>
      <c r="C13" s="39" t="inlineStr">
        <is>
          <t>High availability (99.9%)</t>
        </is>
      </c>
      <c r="D13" s="38" t="inlineStr">
        <is>
          <t>High availability (99.9%)</t>
        </is>
      </c>
      <c r="E13" s="38" t="inlineStr">
        <is>
          <t>Mission critical (99.95%)</t>
        </is>
      </c>
      <c r="F13" s="38" t="inlineStr">
        <is>
          <t>Five nines (99.99%+)</t>
        </is>
      </c>
      <c r="G13" s="38" t="inlineStr">
        <is>
          <t>SLA for firewall uptime and failover</t>
        </is>
      </c>
      <c r="H13" s="38" t="inlineStr"/>
    </row>
    <row r="14" ht="26" customHeight="1">
      <c r="A14" s="40" t="inlineStr">
        <is>
          <t>Technical Environment</t>
        </is>
      </c>
      <c r="B14" s="41" t="inlineStr">
        <is>
          <t>Infrastructure Complexity</t>
        </is>
      </c>
      <c r="C14" s="39" t="inlineStr">
        <is>
          <t>Active/passive HA</t>
        </is>
      </c>
      <c r="D14" s="41" t="inlineStr">
        <is>
          <t>Active/passive HA</t>
        </is>
      </c>
      <c r="E14" s="41" t="inlineStr">
        <is>
          <t>Active/active HA multi-zone</t>
        </is>
      </c>
      <c r="F14" s="41" t="inlineStr">
        <is>
          <t>Clustered HA multi-tenant</t>
        </is>
      </c>
      <c r="G14" s="41" t="inlineStr">
        <is>
          <t>SRX HA architecture and redundancy design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Security Services</t>
        </is>
      </c>
      <c r="C15" s="39" t="inlineStr">
        <is>
          <t>IPS ATP Cloud SecIntel</t>
        </is>
      </c>
      <c r="D15" s="38" t="inlineStr">
        <is>
          <t>IPS ATP Cloud SecIntel</t>
        </is>
      </c>
      <c r="E15" s="38" t="inlineStr">
        <is>
          <t>+ SSL Inspection + URL Filtering</t>
        </is>
      </c>
      <c r="F15" s="38" t="inlineStr">
        <is>
          <t>+ Advanced Malware + Sandbox</t>
        </is>
      </c>
      <c r="G15" s="38" t="inlineStr">
        <is>
          <t>Advanced security subscriptions and threat prevention</t>
        </is>
      </c>
      <c r="H15" s="38" t="inlineStr"/>
    </row>
    <row r="16" ht="26" customHeight="1">
      <c r="A16" s="40" t="inlineStr">
        <is>
          <t>Security &amp; Compliance</t>
        </is>
      </c>
      <c r="B16" s="41" t="inlineStr">
        <is>
          <t>Compliance Frameworks</t>
        </is>
      </c>
      <c r="C16" s="39" t="inlineStr">
        <is>
          <t>PCI DSS SOC 2</t>
        </is>
      </c>
      <c r="D16" s="41" t="inlineStr">
        <is>
          <t>1-2 basic standards</t>
        </is>
      </c>
      <c r="E16" s="41" t="inlineStr">
        <is>
          <t>3-4 industry standards</t>
        </is>
      </c>
      <c r="F16" s="41" t="inlineStr">
        <is>
          <t>Multiple complex frameworks (FedRAMP HIPAA)</t>
        </is>
      </c>
      <c r="G16" s="41" t="inlineStr">
        <is>
          <t>Regulatory compliance for firewall security</t>
        </is>
      </c>
      <c r="H16" s="41" t="inlineStr"/>
    </row>
    <row r="17" ht="26" customHeight="1">
      <c r="A17" s="37" t="inlineStr">
        <is>
          <t>Performance</t>
        </is>
      </c>
      <c r="B17" s="38" t="inlineStr">
        <is>
          <t>Inspection Requirements</t>
        </is>
      </c>
      <c r="C17" s="39" t="inlineStr">
        <is>
          <t>Standard L3/L4 + IPS</t>
        </is>
      </c>
      <c r="D17" s="38" t="inlineStr">
        <is>
          <t>Standard L3/L4 + IPS</t>
        </is>
      </c>
      <c r="E17" s="38" t="inlineStr">
        <is>
          <t>Deep packet inspection + SSL</t>
        </is>
      </c>
      <c r="F17" s="38" t="inlineStr">
        <is>
          <t>Full DPI + SSL + Sandboxing</t>
        </is>
      </c>
      <c r="G17" s="38" t="inlineStr">
        <is>
          <t>Firewall inspection depth and performance requirements</t>
        </is>
      </c>
      <c r="H17" s="38" t="inlineStr"/>
    </row>
    <row r="18" ht="26" customHeight="1">
      <c r="A18" s="40" t="inlineStr">
        <is>
          <t>Performance</t>
        </is>
      </c>
      <c r="B18" s="41" t="inlineStr">
        <is>
          <t>Session Capacity</t>
        </is>
      </c>
      <c r="C18" s="39" t="inlineStr">
        <is>
          <t>2 million concurrent sessions</t>
        </is>
      </c>
      <c r="D18" s="41" t="inlineStr">
        <is>
          <t>2 million sessions</t>
        </is>
      </c>
      <c r="E18" s="41" t="inlineStr">
        <is>
          <t>8 million sessions</t>
        </is>
      </c>
      <c r="F18" s="41" t="inlineStr">
        <is>
          <t>20+ million sessions</t>
        </is>
      </c>
      <c r="G18" s="41" t="inlineStr">
        <is>
          <t>Concurrent firewall session capacity</t>
        </is>
      </c>
      <c r="H18" s="41" t="inlineStr"/>
    </row>
    <row r="19" ht="26" customHeight="1">
      <c r="A19" s="37" t="inlineStr">
        <is>
          <t>Environment</t>
        </is>
      </c>
      <c r="B19" s="38" t="inlineStr">
        <is>
          <t>Deployment Environments</t>
        </is>
      </c>
      <c r="C19" s="39" t="inlineStr">
        <is>
          <t>2 environments (lab prod)</t>
        </is>
      </c>
      <c r="D19" s="38" t="inlineStr">
        <is>
          <t>2 environments (lab prod)</t>
        </is>
      </c>
      <c r="E19" s="38" t="inlineStr">
        <is>
          <t>3 environments (lab stage prod)</t>
        </is>
      </c>
      <c r="F19" s="38" t="inlineStr">
        <is>
          <t>4+ environments with DR</t>
        </is>
      </c>
      <c r="G19" s="38" t="inlineStr">
        <is>
          <t>Environment management for firewall deployment</t>
        </is>
      </c>
      <c r="H19" s="38" t="inlineStr"/>
    </row>
  </sheetData>
  <autoFilter ref="A2:H1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(Security Architecture Assessment, Policy Migration Analysis, Network Topology Documentation, Requirements Gathering)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(SRX Security Architecture Design, Policy Migration Strategy, SD-WAN Design, Implementation Planning)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(Lab Environment Setup, Datacenter/Branch SRX Deployment, Security Policy Implementation, Advanced Security Services, VPN Configuration, Security Director Setup, SIEM Integration)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(Lab Validation Testing, Performance Testing, HA Failover Testing, Security Validation, User Acceptance Testing)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(Datacenter Production Cutover, Branch Production Deployment, Go-Live Support)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(SRX Administrator Training, Security Operations Training, Documentation Development)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Baseline)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 - 10% of actual engineering hours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Quarterback/Technical Leadership overhead - 10% of actual engineering hours</t>
        </is>
      </c>
      <c r="E11" s="38" t="inlineStr"/>
    </row>
    <row r="13" ht="20" customHeight="1">
      <c r="A13" s="44" t="inlineStr">
        <is>
          <t>EO Sales Engineer Updates Multipliers Based on Customer Scope</t>
        </is>
      </c>
    </row>
  </sheetData>
  <autoFilter ref="A2:E11"/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Security Architecture Assessment</t>
        </is>
      </c>
      <c r="C3" s="46" t="inlineStr">
        <is>
          <t>Analyze current firewall infrastructure security policies and network topology</t>
        </is>
      </c>
      <c r="D3" s="46" t="inlineStr">
        <is>
          <t>EO Engineer</t>
        </is>
      </c>
      <c r="E3" s="47" t="n">
        <v>40</v>
      </c>
      <c r="F3" s="48">
        <f>'Estimate Settings'!$C$3</f>
        <v/>
      </c>
      <c r="G3" s="49">
        <f>$E3*$F3</f>
        <v/>
      </c>
      <c r="H3" s="50" t="n">
        <v>225</v>
      </c>
      <c r="I3" s="49">
        <f>TEXT($G3*$H3,"$#,##0")</f>
        <v/>
      </c>
      <c r="J3" s="46" t="inlineStr"/>
      <c r="K3" s="46" t="inlineStr">
        <is>
          <t>Document existing ASA/firewall rules and security zones for migration analysis</t>
        </is>
      </c>
    </row>
    <row r="4" ht="26" customHeight="1">
      <c r="A4" s="51" t="inlineStr">
        <is>
          <t>Discovery</t>
        </is>
      </c>
      <c r="B4" s="52" t="inlineStr">
        <is>
          <t>Policy Migration Analysis</t>
        </is>
      </c>
      <c r="C4" s="52" t="inlineStr">
        <is>
          <t>Review and analyze 500+ firewall rules for migration and optimization</t>
        </is>
      </c>
      <c r="D4" s="52" t="inlineStr">
        <is>
          <t>EO Engineer</t>
        </is>
      </c>
      <c r="E4" s="53" t="n">
        <v>48</v>
      </c>
      <c r="F4" s="54">
        <f>'Estimate Settings'!$C$3</f>
        <v/>
      </c>
      <c r="G4" s="55">
        <f>$E4*$F4</f>
        <v/>
      </c>
      <c r="H4" s="56" t="n">
        <v>225</v>
      </c>
      <c r="I4" s="55">
        <f>TEXT($G4*$H4,"$#,##0")</f>
        <v/>
      </c>
      <c r="J4" s="52" t="inlineStr"/>
      <c r="K4" s="52" t="inlineStr">
        <is>
          <t>Identify redundant rules consolidation opportunities and policy cleanup</t>
        </is>
      </c>
    </row>
    <row r="5" ht="26" customHeight="1">
      <c r="A5" s="45" t="inlineStr">
        <is>
          <t>Discovery</t>
        </is>
      </c>
      <c r="B5" s="46" t="inlineStr">
        <is>
          <t>Network Topology Documentation</t>
        </is>
      </c>
      <c r="C5" s="46" t="inlineStr">
        <is>
          <t>Document datacenter and branch network architecture with traffic flows</t>
        </is>
      </c>
      <c r="D5" s="46" t="inlineStr">
        <is>
          <t>EO Engineer</t>
        </is>
      </c>
      <c r="E5" s="47" t="n">
        <v>24</v>
      </c>
      <c r="F5" s="48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Include all security zones DMZ trust untrust and cloud connectivity</t>
        </is>
      </c>
    </row>
    <row r="6" ht="26" customHeight="1">
      <c r="A6" s="51" t="inlineStr">
        <is>
          <t>Discovery</t>
        </is>
      </c>
      <c r="B6" s="52" t="inlineStr">
        <is>
          <t>Requirements Gathering</t>
        </is>
      </c>
      <c r="C6" s="52" t="inlineStr">
        <is>
          <t>Conduct stakeholder interviews for security and compliance requirements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200</v>
      </c>
      <c r="I6" s="55">
        <f>TEXT($G6*$H6,"$#,##0")</f>
        <v/>
      </c>
      <c r="J6" s="52" t="inlineStr"/>
      <c r="K6" s="52" t="inlineStr">
        <is>
          <t>PCI DSS SOC 2 compliance and audit requirements documentation</t>
        </is>
      </c>
    </row>
    <row r="7" ht="26" customHeight="1">
      <c r="A7" s="45" t="inlineStr">
        <is>
          <t>Planning</t>
        </is>
      </c>
      <c r="B7" s="46" t="inlineStr">
        <is>
          <t>SRX Security Architecture Design</t>
        </is>
      </c>
      <c r="C7" s="46" t="inlineStr">
        <is>
          <t>Design security zones segmentation and SRX HA architecture</t>
        </is>
      </c>
      <c r="D7" s="46" t="inlineStr">
        <is>
          <t>EO Engineer</t>
        </is>
      </c>
      <c r="E7" s="47" t="n">
        <v>56</v>
      </c>
      <c r="F7" s="48">
        <f>'Estimate Settings'!$C$4</f>
        <v/>
      </c>
      <c r="G7" s="49">
        <f>$E7*$F7</f>
        <v/>
      </c>
      <c r="H7" s="50" t="n">
        <v>225</v>
      </c>
      <c r="I7" s="49">
        <f>TEXT($G7*$H7,"$#,##0")</f>
        <v/>
      </c>
      <c r="J7" s="46" t="inlineStr">
        <is>
          <t>Security Architecture Assessment</t>
        </is>
      </c>
      <c r="K7" s="46" t="inlineStr">
        <is>
          <t>Deliverable: Multi-zone design with DMZ trust untrust and management zones</t>
        </is>
      </c>
    </row>
    <row r="8" ht="26" customHeight="1">
      <c r="A8" s="51" t="inlineStr">
        <is>
          <t>Planning</t>
        </is>
      </c>
      <c r="B8" s="52" t="inlineStr">
        <is>
          <t>Policy Migration Strategy</t>
        </is>
      </c>
      <c r="C8" s="52" t="inlineStr">
        <is>
          <t>Develop policy migration approach with optimization and testing plan</t>
        </is>
      </c>
      <c r="D8" s="52" t="inlineStr">
        <is>
          <t>EO Engineer</t>
        </is>
      </c>
      <c r="E8" s="53" t="n">
        <v>40</v>
      </c>
      <c r="F8" s="54">
        <f>'Estimate Settings'!$C$4</f>
        <v/>
      </c>
      <c r="G8" s="55">
        <f>$E8*$F8</f>
        <v/>
      </c>
      <c r="H8" s="56" t="n">
        <v>225</v>
      </c>
      <c r="I8" s="55">
        <f>TEXT($G8*$H8,"$#,##0")</f>
        <v/>
      </c>
      <c r="J8" s="52" t="inlineStr">
        <is>
          <t>Policy Migration Analysis</t>
        </is>
      </c>
      <c r="K8" s="52" t="inlineStr">
        <is>
          <t>Lab validation before production deployment with rollback procedures</t>
        </is>
      </c>
    </row>
    <row r="9" ht="26" customHeight="1">
      <c r="A9" s="45" t="inlineStr">
        <is>
          <t>Planning</t>
        </is>
      </c>
      <c r="B9" s="46" t="inlineStr">
        <is>
          <t>SD-WAN Design</t>
        </is>
      </c>
      <c r="C9" s="46" t="inlineStr">
        <is>
          <t>Design branch SD-WAN architecture with application-based routing</t>
        </is>
      </c>
      <c r="D9" s="46" t="inlineStr">
        <is>
          <t>EO Engineer</t>
        </is>
      </c>
      <c r="E9" s="47" t="n">
        <v>32</v>
      </c>
      <c r="F9" s="48">
        <f>'Estimate Settings'!$C$4</f>
        <v/>
      </c>
      <c r="G9" s="49">
        <f>$E9*$F9</f>
        <v/>
      </c>
      <c r="H9" s="50" t="n">
        <v>200</v>
      </c>
      <c r="I9" s="49">
        <f>TEXT($G9*$H9,"$#,##0")</f>
        <v/>
      </c>
      <c r="J9" s="46" t="inlineStr">
        <is>
          <t>SRX Security Architecture Design</t>
        </is>
      </c>
      <c r="K9" s="46" t="inlineStr">
        <is>
          <t>10 branch sites with SRX300 and centralized Security Director management</t>
        </is>
      </c>
    </row>
    <row r="10" ht="26" customHeight="1">
      <c r="A10" s="51" t="inlineStr">
        <is>
          <t>Planning</t>
        </is>
      </c>
      <c r="B10" s="52" t="inlineStr">
        <is>
          <t>Implementation Planning</t>
        </is>
      </c>
      <c r="C10" s="52" t="inlineStr">
        <is>
          <t>Develop detailed cutover strategy and timeline with risk mitigation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150</v>
      </c>
      <c r="I10" s="55">
        <f>TEXT($G10*$H10,"$#,##0")</f>
        <v/>
      </c>
      <c r="J10" s="52" t="inlineStr">
        <is>
          <t>Policy Migration Strategy</t>
        </is>
      </c>
      <c r="K10" s="52" t="inlineStr">
        <is>
          <t>Deliverable: Zero-downtime parallel deployment approach with maintenance windows</t>
        </is>
      </c>
    </row>
    <row r="11" ht="26" customHeight="1">
      <c r="A11" s="45" t="inlineStr">
        <is>
          <t>Development</t>
        </is>
      </c>
      <c r="B11" s="46" t="inlineStr">
        <is>
          <t>Lab Environment Setup</t>
        </is>
      </c>
      <c r="C11" s="46" t="inlineStr">
        <is>
          <t>Build lab validation environment for SRX testing and policy validation</t>
        </is>
      </c>
      <c r="D11" s="46" t="inlineStr">
        <is>
          <t>EO Engineer</t>
        </is>
      </c>
      <c r="E11" s="47" t="n">
        <v>32</v>
      </c>
      <c r="F11" s="48">
        <f>'Estimate Settings'!$C$5</f>
        <v/>
      </c>
      <c r="G11" s="49">
        <f>$E11*$F11</f>
        <v/>
      </c>
      <c r="H11" s="50" t="n">
        <v>180</v>
      </c>
      <c r="I11" s="49">
        <f>TEXT($G11*$H11,"$#,##0")</f>
        <v/>
      </c>
      <c r="J11" s="46" t="inlineStr">
        <is>
          <t>Implementation Planning</t>
        </is>
      </c>
      <c r="K11" s="46" t="inlineStr">
        <is>
          <t>Replicate production network zones for accurate firewall testing</t>
        </is>
      </c>
    </row>
    <row r="12" ht="26" customHeight="1">
      <c r="A12" s="51" t="inlineStr">
        <is>
          <t>Development</t>
        </is>
      </c>
      <c r="B12" s="52" t="inlineStr">
        <is>
          <t>Datacenter SRX4600 Deployment</t>
        </is>
      </c>
      <c r="C12" s="52" t="inlineStr">
        <is>
          <t>Deploy and configure SRX4600 HA pair with base networking and routing</t>
        </is>
      </c>
      <c r="D12" s="52" t="inlineStr">
        <is>
          <t>EO Engineer</t>
        </is>
      </c>
      <c r="E12" s="53" t="n">
        <v>64</v>
      </c>
      <c r="F12" s="54">
        <f>'Estimate Settings'!$C$5</f>
        <v/>
      </c>
      <c r="G12" s="55">
        <f>$E12*$F12</f>
        <v/>
      </c>
      <c r="H12" s="56" t="n">
        <v>200</v>
      </c>
      <c r="I12" s="55">
        <f>TEXT($G12*$H12,"$#,##0")</f>
        <v/>
      </c>
      <c r="J12" s="52" t="inlineStr">
        <is>
          <t>Lab Environment Setup</t>
        </is>
      </c>
      <c r="K12" s="52" t="inlineStr">
        <is>
          <t>Active/passive HA with sub-second failover and chassis cluster configuration</t>
        </is>
      </c>
    </row>
    <row r="13" ht="26" customHeight="1">
      <c r="A13" s="45" t="inlineStr">
        <is>
          <t>Development</t>
        </is>
      </c>
      <c r="B13" s="46" t="inlineStr">
        <is>
          <t>Security Policy Implementation</t>
        </is>
      </c>
      <c r="C13" s="46" t="inlineStr">
        <is>
          <t>Migrate and implement 500+ firewall rules with optimization</t>
        </is>
      </c>
      <c r="D13" s="46" t="inlineStr">
        <is>
          <t>EO Engineer</t>
        </is>
      </c>
      <c r="E13" s="47" t="n">
        <v>72</v>
      </c>
      <c r="F13" s="48">
        <f>'Estimate Settings'!$C$5</f>
        <v/>
      </c>
      <c r="G13" s="49">
        <f>$E13*$F13</f>
        <v/>
      </c>
      <c r="H13" s="50" t="n">
        <v>200</v>
      </c>
      <c r="I13" s="49">
        <f>TEXT($G13*$H13,"$#,##0")</f>
        <v/>
      </c>
      <c r="J13" s="46" t="inlineStr">
        <is>
          <t>Datacenter SRX4600 Deployment</t>
        </is>
      </c>
      <c r="K13" s="46" t="inlineStr">
        <is>
          <t>Zone-based policies with application control ALG and logging</t>
        </is>
      </c>
    </row>
    <row r="14" ht="26" customHeight="1">
      <c r="A14" s="51" t="inlineStr">
        <is>
          <t>Development</t>
        </is>
      </c>
      <c r="B14" s="52" t="inlineStr">
        <is>
          <t>Advanced Security Services</t>
        </is>
      </c>
      <c r="C14" s="52" t="inlineStr">
        <is>
          <t>Configure IPS ATP Cloud SecIntel and SSL inspection</t>
        </is>
      </c>
      <c r="D14" s="52" t="inlineStr">
        <is>
          <t>EO Engineer</t>
        </is>
      </c>
      <c r="E14" s="53" t="n">
        <v>48</v>
      </c>
      <c r="F14" s="54">
        <f>'Estimate Settings'!$C$5</f>
        <v/>
      </c>
      <c r="G14" s="55">
        <f>$E14*$F14</f>
        <v/>
      </c>
      <c r="H14" s="56" t="n">
        <v>225</v>
      </c>
      <c r="I14" s="55">
        <f>TEXT($G14*$H14,"$#,##0")</f>
        <v/>
      </c>
      <c r="J14" s="52" t="inlineStr">
        <is>
          <t>Security Policy Implementation</t>
        </is>
      </c>
      <c r="K14" s="52" t="inlineStr">
        <is>
          <t>40 Gbps IPS 20 Gbps SSL inspection with threat intelligence feeds</t>
        </is>
      </c>
    </row>
    <row r="15" ht="26" customHeight="1">
      <c r="A15" s="45" t="inlineStr">
        <is>
          <t>Development</t>
        </is>
      </c>
      <c r="B15" s="46" t="inlineStr">
        <is>
          <t>Branch SRX300 Deployment</t>
        </is>
      </c>
      <c r="C15" s="46" t="inlineStr">
        <is>
          <t>Deploy and configure 10 branch SRX300 firewalls with SD-WAN</t>
        </is>
      </c>
      <c r="D15" s="46" t="inlineStr">
        <is>
          <t>EO Engineer</t>
        </is>
      </c>
      <c r="E15" s="47" t="n">
        <v>80</v>
      </c>
      <c r="F15" s="48">
        <f>'Estimate Settings'!$C$5</f>
        <v/>
      </c>
      <c r="G15" s="49">
        <f>$E15*$F15</f>
        <v/>
      </c>
      <c r="H15" s="50" t="n">
        <v>200</v>
      </c>
      <c r="I15" s="49">
        <f>TEXT($G15*$H15,"$#,##0")</f>
        <v/>
      </c>
      <c r="J15" s="46" t="inlineStr">
        <is>
          <t>Advanced Security Services</t>
        </is>
      </c>
      <c r="K15" s="46" t="inlineStr">
        <is>
          <t>Standardized security policies and SD-WAN routing across all branch locations</t>
        </is>
      </c>
    </row>
    <row r="16" ht="26" customHeight="1">
      <c r="A16" s="51" t="inlineStr">
        <is>
          <t>Development</t>
        </is>
      </c>
      <c r="B16" s="52" t="inlineStr">
        <is>
          <t>VPN Configuration</t>
        </is>
      </c>
      <c r="C16" s="52" t="inlineStr">
        <is>
          <t>Configure 30 site-to-site IPsec VPN and 100 SSL VPN for remote users</t>
        </is>
      </c>
      <c r="D16" s="52" t="inlineStr">
        <is>
          <t>EO Engineer</t>
        </is>
      </c>
      <c r="E16" s="53" t="n">
        <v>40</v>
      </c>
      <c r="F16" s="54">
        <f>'Estimate Settings'!$C$5</f>
        <v/>
      </c>
      <c r="G16" s="55">
        <f>$E16*$F16</f>
        <v/>
      </c>
      <c r="H16" s="56" t="n">
        <v>200</v>
      </c>
      <c r="I16" s="55">
        <f>TEXT($G16*$H16,"$#,##0")</f>
        <v/>
      </c>
      <c r="J16" s="52" t="inlineStr">
        <is>
          <t>Branch SRX300 Deployment</t>
        </is>
      </c>
      <c r="K16" s="52" t="inlineStr">
        <is>
          <t>AWS Azure GCP cloud VPN tunnels and branch-to-datacenter connectivity</t>
        </is>
      </c>
    </row>
    <row r="17" ht="26" customHeight="1">
      <c r="A17" s="45" t="inlineStr">
        <is>
          <t>Development</t>
        </is>
      </c>
      <c r="B17" s="46" t="inlineStr">
        <is>
          <t>Security Director Setup</t>
        </is>
      </c>
      <c r="C17" s="46" t="inlineStr">
        <is>
          <t>Deploy and configure Junos Space Security Director for centralized management</t>
        </is>
      </c>
      <c r="D17" s="46" t="inlineStr">
        <is>
          <t>EO Engineer</t>
        </is>
      </c>
      <c r="E17" s="47" t="n">
        <v>32</v>
      </c>
      <c r="F17" s="48">
        <f>'Estimate Settings'!$C$5</f>
        <v/>
      </c>
      <c r="G17" s="49">
        <f>$E17*$F17</f>
        <v/>
      </c>
      <c r="H17" s="50" t="n">
        <v>200</v>
      </c>
      <c r="I17" s="49">
        <f>TEXT($G17*$H17,"$#,##0")</f>
        <v/>
      </c>
      <c r="J17" s="46" t="inlineStr">
        <is>
          <t>VPN Configuration</t>
        </is>
      </c>
      <c r="K17" s="46" t="inlineStr">
        <is>
          <t>Centralized policy management visibility and compliance reporting for all SRX devices</t>
        </is>
      </c>
    </row>
    <row r="18" ht="26" customHeight="1">
      <c r="A18" s="51" t="inlineStr">
        <is>
          <t>Development</t>
        </is>
      </c>
      <c r="B18" s="52" t="inlineStr">
        <is>
          <t>SIEM Integration</t>
        </is>
      </c>
      <c r="C18" s="52" t="inlineStr">
        <is>
          <t>Integrate SRX with Splunk SIEM for security event correlation and alerting</t>
        </is>
      </c>
      <c r="D18" s="52" t="inlineStr">
        <is>
          <t>EO Engineer</t>
        </is>
      </c>
      <c r="E18" s="53" t="n">
        <v>24</v>
      </c>
      <c r="F18" s="54">
        <f>'Estimate Settings'!$C$5</f>
        <v/>
      </c>
      <c r="G18" s="55">
        <f>$E18*$F18</f>
        <v/>
      </c>
      <c r="H18" s="56" t="n">
        <v>200</v>
      </c>
      <c r="I18" s="55">
        <f>TEXT($G18*$H18,"$#,##0")</f>
        <v/>
      </c>
      <c r="J18" s="52" t="inlineStr">
        <is>
          <t>Security Director Setup</t>
        </is>
      </c>
      <c r="K18" s="52" t="inlineStr">
        <is>
          <t>Syslog forwarding for threat logs traffic logs and NetFlow integration</t>
        </is>
      </c>
    </row>
    <row r="19" ht="26" customHeight="1">
      <c r="A19" s="45" t="inlineStr">
        <is>
          <t>Testing</t>
        </is>
      </c>
      <c r="B19" s="46" t="inlineStr">
        <is>
          <t>Lab Validation Testing</t>
        </is>
      </c>
      <c r="C19" s="46" t="inlineStr">
        <is>
          <t>Test policy migration HA failover and performance in lab environment</t>
        </is>
      </c>
      <c r="D19" s="46" t="inlineStr">
        <is>
          <t>EO Engineer</t>
        </is>
      </c>
      <c r="E19" s="47" t="n">
        <v>40</v>
      </c>
      <c r="F19" s="48">
        <f>'Estimate Settings'!$C$6</f>
        <v/>
      </c>
      <c r="G19" s="49">
        <f>$E19*$F19</f>
        <v/>
      </c>
      <c r="H19" s="50" t="n">
        <v>200</v>
      </c>
      <c r="I19" s="49">
        <f>TEXT($G19*$H19,"$#,##0")</f>
        <v/>
      </c>
      <c r="J19" s="46" t="inlineStr">
        <is>
          <t>SIEM Integration</t>
        </is>
      </c>
      <c r="K19" s="46" t="inlineStr">
        <is>
          <t>Validate all security policies before production deployment</t>
        </is>
      </c>
    </row>
    <row r="20" ht="26" customHeight="1">
      <c r="A20" s="51" t="inlineStr">
        <is>
          <t>Testing</t>
        </is>
      </c>
      <c r="B20" s="52" t="inlineStr">
        <is>
          <t>Performance Testing</t>
        </is>
      </c>
      <c r="C20" s="52" t="inlineStr">
        <is>
          <t>Conduct throughput testing with 80 Gbps firewall and 40 Gbps IPS</t>
        </is>
      </c>
      <c r="D20" s="52" t="inlineStr">
        <is>
          <t>EO Engineer</t>
        </is>
      </c>
      <c r="E20" s="53" t="n">
        <v>24</v>
      </c>
      <c r="F20" s="54">
        <f>'Estimate Settings'!$C$6</f>
        <v/>
      </c>
      <c r="G20" s="55">
        <f>$E20*$F20</f>
        <v/>
      </c>
      <c r="H20" s="56" t="n">
        <v>200</v>
      </c>
      <c r="I20" s="55">
        <f>TEXT($G20*$H20,"$#,##0")</f>
        <v/>
      </c>
      <c r="J20" s="52" t="inlineStr">
        <is>
          <t>Lab Validation Testing</t>
        </is>
      </c>
      <c r="K20" s="52" t="inlineStr">
        <is>
          <t>Validate performance with all security services enabled under load</t>
        </is>
      </c>
    </row>
    <row r="21" ht="26" customHeight="1">
      <c r="A21" s="45" t="inlineStr">
        <is>
          <t>Testing</t>
        </is>
      </c>
      <c r="B21" s="46" t="inlineStr">
        <is>
          <t>HA Failover Testing</t>
        </is>
      </c>
      <c r="C21" s="46" t="inlineStr">
        <is>
          <t>Test active/passive failover and traffic recovery</t>
        </is>
      </c>
      <c r="D21" s="46" t="inlineStr">
        <is>
          <t>EO Engineer</t>
        </is>
      </c>
      <c r="E21" s="47" t="n">
        <v>16</v>
      </c>
      <c r="F21" s="48">
        <f>'Estimate Settings'!$C$6</f>
        <v/>
      </c>
      <c r="G21" s="49">
        <f>$E21*$F21</f>
        <v/>
      </c>
      <c r="H21" s="50" t="n">
        <v>200</v>
      </c>
      <c r="I21" s="49">
        <f>TEXT($G21*$H21,"$#,##0")</f>
        <v/>
      </c>
      <c r="J21" s="46" t="inlineStr">
        <is>
          <t>Performance Testing</t>
        </is>
      </c>
      <c r="K21" s="46" t="inlineStr">
        <is>
          <t>Sub-second failover with zero packet loss validation</t>
        </is>
      </c>
    </row>
    <row r="22" ht="26" customHeight="1">
      <c r="A22" s="51" t="inlineStr">
        <is>
          <t>Testing</t>
        </is>
      </c>
      <c r="B22" s="52" t="inlineStr">
        <is>
          <t>Security Validation</t>
        </is>
      </c>
      <c r="C22" s="52" t="inlineStr">
        <is>
          <t>Validate IPS ATP and SSL inspection threat detection</t>
        </is>
      </c>
      <c r="D22" s="52" t="inlineStr">
        <is>
          <t>EO Engineer</t>
        </is>
      </c>
      <c r="E22" s="53" t="n">
        <v>24</v>
      </c>
      <c r="F22" s="54">
        <f>'Estimate Settings'!$C$6</f>
        <v/>
      </c>
      <c r="G22" s="55">
        <f>$E22*$F22</f>
        <v/>
      </c>
      <c r="H22" s="56" t="n">
        <v>225</v>
      </c>
      <c r="I22" s="55">
        <f>TEXT($G22*$H22,"$#,##0")</f>
        <v/>
      </c>
      <c r="J22" s="52" t="inlineStr">
        <is>
          <t>HA Failover Testing</t>
        </is>
      </c>
      <c r="K22" s="52" t="inlineStr">
        <is>
          <t>Test malware detection command and control blocking and threat prevention</t>
        </is>
      </c>
    </row>
    <row r="23" ht="26" customHeight="1">
      <c r="A23" s="45" t="inlineStr">
        <is>
          <t>Testing</t>
        </is>
      </c>
      <c r="B23" s="46" t="inlineStr">
        <is>
          <t>User Acceptance Testing</t>
        </is>
      </c>
      <c r="C23" s="46" t="inlineStr">
        <is>
          <t>Coordinate UAT with network and security teams for production readiness</t>
        </is>
      </c>
      <c r="D23" s="46" t="inlineStr">
        <is>
          <t>EO Engineer</t>
        </is>
      </c>
      <c r="E23" s="47" t="n">
        <v>32</v>
      </c>
      <c r="F23" s="48">
        <f>'Estimate Settings'!$C$6</f>
        <v/>
      </c>
      <c r="G23" s="49">
        <f>$E23*$F23</f>
        <v/>
      </c>
      <c r="H23" s="50" t="n">
        <v>150</v>
      </c>
      <c r="I23" s="49">
        <f>TEXT($G23*$H23,"$#,##0")</f>
        <v/>
      </c>
      <c r="J23" s="46" t="inlineStr">
        <is>
          <t>Security Validation</t>
        </is>
      </c>
      <c r="K23" s="46" t="inlineStr">
        <is>
          <t>Validate all security zones VPN tunnels and SD-WAN functionality</t>
        </is>
      </c>
    </row>
    <row r="24" ht="26" customHeight="1">
      <c r="A24" s="51" t="inlineStr">
        <is>
          <t>Deployment</t>
        </is>
      </c>
      <c r="B24" s="52" t="inlineStr">
        <is>
          <t>Datacenter Production Cutover</t>
        </is>
      </c>
      <c r="C24" s="52" t="inlineStr">
        <is>
          <t>Migrate datacenter traffic zone-by-zone to SRX4600 with rollback capability</t>
        </is>
      </c>
      <c r="D24" s="52" t="inlineStr">
        <is>
          <t>EO Engineer</t>
        </is>
      </c>
      <c r="E24" s="53" t="n">
        <v>48</v>
      </c>
      <c r="F24" s="54">
        <f>'Estimate Settings'!$C$7</f>
        <v/>
      </c>
      <c r="G24" s="55">
        <f>$E24*$F24</f>
        <v/>
      </c>
      <c r="H24" s="56" t="n">
        <v>225</v>
      </c>
      <c r="I24" s="55">
        <f>TEXT($G24*$H24,"$#,##0")</f>
        <v/>
      </c>
      <c r="J24" s="52" t="inlineStr">
        <is>
          <t>User Acceptance Testing</t>
        </is>
      </c>
      <c r="K24" s="52" t="inlineStr">
        <is>
          <t>Parallel deployment during maintenance windows with incremental cutover</t>
        </is>
      </c>
    </row>
    <row r="25" ht="26" customHeight="1">
      <c r="A25" s="45" t="inlineStr">
        <is>
          <t>Deployment</t>
        </is>
      </c>
      <c r="B25" s="46" t="inlineStr">
        <is>
          <t>Branch Production Deployment</t>
        </is>
      </c>
      <c r="C25" s="46" t="inlineStr">
        <is>
          <t>Deploy and cutover production traffic at 10 branch locations</t>
        </is>
      </c>
      <c r="D25" s="46" t="inlineStr">
        <is>
          <t>EO Engineer</t>
        </is>
      </c>
      <c r="E25" s="47" t="n">
        <v>40</v>
      </c>
      <c r="F25" s="48">
        <f>'Estimate Settings'!$C$7</f>
        <v/>
      </c>
      <c r="G25" s="49">
        <f>$E25*$F25</f>
        <v/>
      </c>
      <c r="H25" s="50" t="n">
        <v>200</v>
      </c>
      <c r="I25" s="49">
        <f>TEXT($G25*$H25,"$#,##0")</f>
        <v/>
      </c>
      <c r="J25" s="46" t="inlineStr">
        <is>
          <t>Datacenter Production Cutover</t>
        </is>
      </c>
      <c r="K25" s="46" t="inlineStr">
        <is>
          <t>Pilot site deployment first then standardized rollout to remaining branches</t>
        </is>
      </c>
    </row>
    <row r="26" ht="26" customHeight="1">
      <c r="A26" s="51" t="inlineStr">
        <is>
          <t>Deployment</t>
        </is>
      </c>
      <c r="B26" s="52" t="inlineStr">
        <is>
          <t>Go-Live Support</t>
        </is>
      </c>
      <c r="C26" s="52" t="inlineStr">
        <is>
          <t>Provide 24x7 support during production cutover and stabilization</t>
        </is>
      </c>
      <c r="D26" s="52" t="inlineStr">
        <is>
          <t>EO Engineer</t>
        </is>
      </c>
      <c r="E26" s="53" t="n">
        <v>80</v>
      </c>
      <c r="F26" s="54">
        <f>'Estimate Settings'!$C$7</f>
        <v/>
      </c>
      <c r="G26" s="55">
        <f>$E26*$F26</f>
        <v/>
      </c>
      <c r="H26" s="56" t="n">
        <v>200</v>
      </c>
      <c r="I26" s="55">
        <f>TEXT($G26*$H26,"$#,##0")</f>
        <v/>
      </c>
      <c r="J26" s="52" t="inlineStr">
        <is>
          <t>Branch Production Deployment</t>
        </is>
      </c>
      <c r="K26" s="52" t="inlineStr">
        <is>
          <t>First 2 weeks post-deployment with on-call support and rapid issue resolution</t>
        </is>
      </c>
    </row>
    <row r="27" ht="26" customHeight="1">
      <c r="A27" s="45" t="inlineStr">
        <is>
          <t>Training</t>
        </is>
      </c>
      <c r="B27" s="46" t="inlineStr">
        <is>
          <t>SRX Administrator Training</t>
        </is>
      </c>
      <c r="C27" s="46" t="inlineStr">
        <is>
          <t>Train firewall administrators on SRX management Junos OS and troubleshooting</t>
        </is>
      </c>
      <c r="D27" s="46" t="inlineStr">
        <is>
          <t>EO Engineer</t>
        </is>
      </c>
      <c r="E27" s="47" t="n">
        <v>16</v>
      </c>
      <c r="F27" s="48">
        <f>'Estimate Settings'!$C$8</f>
        <v/>
      </c>
      <c r="G27" s="49">
        <f>$E27*$F27</f>
        <v/>
      </c>
      <c r="H27" s="50" t="n">
        <v>200</v>
      </c>
      <c r="I27" s="49">
        <f>TEXT($G27*$H27,"$#,##0")</f>
        <v/>
      </c>
      <c r="J27" s="46" t="inlineStr">
        <is>
          <t>Datacenter Production Cutover</t>
        </is>
      </c>
      <c r="K27" s="46" t="inlineStr">
        <is>
          <t>2-day hands-on training for up to 8 network and security administrators</t>
        </is>
      </c>
    </row>
    <row r="28" ht="26" customHeight="1">
      <c r="A28" s="51" t="inlineStr">
        <is>
          <t>Training</t>
        </is>
      </c>
      <c r="B28" s="52" t="inlineStr">
        <is>
          <t>Security Operations Training</t>
        </is>
      </c>
      <c r="C28" s="52" t="inlineStr">
        <is>
          <t>Train SOC team on policy management threat investigation and Security Director</t>
        </is>
      </c>
      <c r="D28" s="52" t="inlineStr">
        <is>
          <t>EO Engineer</t>
        </is>
      </c>
      <c r="E28" s="53" t="n">
        <v>8</v>
      </c>
      <c r="F28" s="54">
        <f>'Estimate Settings'!$C$8</f>
        <v/>
      </c>
      <c r="G28" s="55">
        <f>$E28*$F28</f>
        <v/>
      </c>
      <c r="H28" s="56" t="n">
        <v>200</v>
      </c>
      <c r="I28" s="55">
        <f>TEXT($G28*$H28,"$#,##0")</f>
        <v/>
      </c>
      <c r="J28" s="52" t="inlineStr">
        <is>
          <t>SRX Administrator Training</t>
        </is>
      </c>
      <c r="K28" s="52" t="inlineStr">
        <is>
          <t>1-day training for security operations and monitoring teams</t>
        </is>
      </c>
    </row>
    <row r="29" ht="26" customHeight="1">
      <c r="A29" s="45" t="inlineStr">
        <is>
          <t>Training</t>
        </is>
      </c>
      <c r="B29" s="46" t="inlineStr">
        <is>
          <t>Documentation Development</t>
        </is>
      </c>
      <c r="C29" s="46" t="inlineStr">
        <is>
          <t>Create as-built diagrams runbooks and operational procedures</t>
        </is>
      </c>
      <c r="D29" s="46" t="inlineStr">
        <is>
          <t>EO Engineer</t>
        </is>
      </c>
      <c r="E29" s="47" t="n">
        <v>40</v>
      </c>
      <c r="F29" s="48">
        <f>'Estimate Settings'!$C$8</f>
        <v/>
      </c>
      <c r="G29" s="49">
        <f>$E29*$F29</f>
        <v/>
      </c>
      <c r="H29" s="50" t="n">
        <v>150</v>
      </c>
      <c r="I29" s="49">
        <f>TEXT($G29*$H29,"$#,##0")</f>
        <v/>
      </c>
      <c r="J29" s="46" t="inlineStr">
        <is>
          <t>Security Operations Training</t>
        </is>
      </c>
      <c r="K29" s="46" t="inlineStr">
        <is>
          <t>Deliverable: Architecture diagrams configuration guides and troubleshooting runbooks</t>
        </is>
      </c>
    </row>
    <row r="30" ht="26" customHeight="1">
      <c r="A30" s="51" t="inlineStr">
        <is>
          <t>Closeout</t>
        </is>
      </c>
      <c r="B30" s="52" t="inlineStr">
        <is>
          <t>Knowledge Transfer</t>
        </is>
      </c>
      <c r="C30" s="52" t="inlineStr">
        <is>
          <t>Transfer solution ownership to client operations and security teams</t>
        </is>
      </c>
      <c r="D30" s="52" t="inlineStr">
        <is>
          <t>EO Engineer</t>
        </is>
      </c>
      <c r="E30" s="53" t="n">
        <v>16</v>
      </c>
      <c r="F30" s="54">
        <f>'Estimate Settings'!$C$9</f>
        <v/>
      </c>
      <c r="G30" s="55">
        <f>$E30*$F30</f>
        <v/>
      </c>
      <c r="H30" s="56" t="n">
        <v>200</v>
      </c>
      <c r="I30" s="55">
        <f>TEXT($G30*$H30,"$#,##0")</f>
        <v/>
      </c>
      <c r="J30" s="52" t="inlineStr">
        <is>
          <t>Documentation Development</t>
        </is>
      </c>
      <c r="K30" s="52" t="inlineStr">
        <is>
          <t>Comprehensive handover including operational procedures escalation paths and maintenance</t>
        </is>
      </c>
    </row>
    <row r="31" ht="26" customHeight="1">
      <c r="A31" s="45" t="inlineStr">
        <is>
          <t>Closeout</t>
        </is>
      </c>
      <c r="B31" s="46" t="inlineStr">
        <is>
          <t>Performance Baseline</t>
        </is>
      </c>
      <c r="C31" s="46" t="inlineStr">
        <is>
          <t>Establish performance baselines security metrics and monitoring SLAs</t>
        </is>
      </c>
      <c r="D31" s="46" t="inlineStr">
        <is>
          <t>EO Engineer</t>
        </is>
      </c>
      <c r="E31" s="47" t="n">
        <v>8</v>
      </c>
      <c r="F31" s="48">
        <f>'Estimate Settings'!$C$9</f>
        <v/>
      </c>
      <c r="G31" s="49">
        <f>$E31*$F31</f>
        <v/>
      </c>
      <c r="H31" s="50" t="n">
        <v>150</v>
      </c>
      <c r="I31" s="49">
        <f>TEXT($G31*$H31,"$#,##0")</f>
        <v/>
      </c>
      <c r="J31" s="46" t="inlineStr">
        <is>
          <t>Knowledge Transfer</t>
        </is>
      </c>
      <c r="K31" s="46" t="inlineStr">
        <is>
          <t>Throughput metrics security events blocked threats and uptime monitoring</t>
        </is>
      </c>
    </row>
    <row r="32" ht="26" customHeight="1">
      <c r="A32" s="51" t="inlineStr">
        <is>
          <t>Management</t>
        </is>
      </c>
      <c r="B32" s="52" t="inlineStr">
        <is>
          <t>Technical Leadership</t>
        </is>
      </c>
      <c r="C32" s="52" t="inlineStr">
        <is>
          <t>Security architecture oversight and technical review throughout project</t>
        </is>
      </c>
      <c r="D32" s="52" t="inlineStr">
        <is>
          <t>EO Quarterback</t>
        </is>
      </c>
      <c r="E32" s="55">
        <f>ROUND(SUM($G$3:$G$31)*0.10,0)</f>
        <v/>
      </c>
      <c r="F32" s="54">
        <f>'Estimate Settings'!$C$11</f>
        <v/>
      </c>
      <c r="G32" s="55">
        <f>$E32*$F32</f>
        <v/>
      </c>
      <c r="H32" s="56" t="n">
        <v>225</v>
      </c>
      <c r="I32" s="55">
        <f>TEXT($G32*$H32,"$#,##0")</f>
        <v/>
      </c>
      <c r="J32" s="52" t="inlineStr"/>
      <c r="K32" s="52" t="inlineStr">
        <is>
          <t>25% of engineering effort for architecture guidance and technical escalation</t>
        </is>
      </c>
    </row>
    <row r="33" ht="26" customHeight="1">
      <c r="A33" s="45" t="inlineStr">
        <is>
          <t>Management</t>
        </is>
      </c>
      <c r="B33" s="46" t="inlineStr">
        <is>
          <t>Project Management</t>
        </is>
      </c>
      <c r="C33" s="46" t="inlineStr">
        <is>
          <t>Project coordination stakeholder management and timeline oversight</t>
        </is>
      </c>
      <c r="D33" s="46" t="inlineStr">
        <is>
          <t>EO Project Manager</t>
        </is>
      </c>
      <c r="E33" s="49">
        <f>ROUND(SUM($G$3:$G$31)*0.10,0)</f>
        <v/>
      </c>
      <c r="F33" s="48">
        <f>'Estimate Settings'!$C$10</f>
        <v/>
      </c>
      <c r="G33" s="49">
        <f>$E33*$F33</f>
        <v/>
      </c>
      <c r="H33" s="50" t="n">
        <v>150</v>
      </c>
      <c r="I33" s="49">
        <f>TEXT($G33*$H33,"$#,##0")</f>
        <v/>
      </c>
      <c r="J33" s="46" t="inlineStr"/>
      <c r="K33" s="46" t="inlineStr">
        <is>
          <t>20% of engineering effort for project delivery and stakeholder coordination</t>
        </is>
      </c>
    </row>
    <row r="34" ht="26" customHeight="1">
      <c r="A34" s="57" t="inlineStr"/>
      <c r="B34" s="57" t="inlineStr"/>
      <c r="C34" s="57" t="inlineStr"/>
      <c r="D34" s="57" t="inlineStr"/>
      <c r="E34" s="57" t="inlineStr"/>
      <c r="F34" s="58" t="inlineStr">
        <is>
          <t>TOTAL HOURS</t>
        </is>
      </c>
      <c r="G34" s="58">
        <f>SUM($G$3:$G$33)</f>
        <v/>
      </c>
      <c r="H34" s="58" t="inlineStr">
        <is>
          <t>TOTAL COST</t>
        </is>
      </c>
      <c r="I34" s="58">
        <f>TEXT(SUMPRODUCT($G$3:$G$33,$H$3:$H$33),"$#,##0")</f>
        <v/>
      </c>
      <c r="J34" s="57" t="inlineStr"/>
      <c r="K34" s="57" t="inlineStr">
        <is>
          <t>EO Sales Engineer: Update phase-based multipliers in Estimate Settings based on firewall deployment scope</t>
        </is>
      </c>
    </row>
  </sheetData>
  <autoFilter ref="A2:K34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Juniper Partner Services Credit</t>
        </is>
      </c>
      <c r="B3" s="59" t="n">
        <v>-12000</v>
      </c>
      <c r="C3" s="38" t="inlineStr">
        <is>
          <t>Juniper Partner Network credit for security architecture and SRX deployment services</t>
        </is>
      </c>
    </row>
    <row r="4" ht="26" customHeight="1">
      <c r="A4" s="40" t="inlineStr">
        <is>
          <t>Implementation Discount</t>
        </is>
      </c>
      <c r="B4" s="60" t="n">
        <v>0</v>
      </c>
      <c r="C4" s="41" t="inlineStr">
        <is>
          <t>No implementation discount applicable</t>
        </is>
      </c>
    </row>
    <row r="5" ht="26" customHeight="1">
      <c r="A5" s="61" t="inlineStr">
        <is>
          <t>TOTAL</t>
        </is>
      </c>
      <c r="B5" s="62">
        <f>SUMPRODUCT($G$3:$G$33,$H$3:$H$33)-12000</f>
        <v/>
      </c>
      <c r="C5" s="61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2025-11-25T05:04:40Z</dcterms:modified>
  <cp:lastModifiedBy>Kishan Siram</cp:lastModifiedBy>
</cp:coreProperties>
</file>