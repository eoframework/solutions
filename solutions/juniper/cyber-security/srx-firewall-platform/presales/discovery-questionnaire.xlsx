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24, 2025</t>
        </is>
      </c>
    </row>
    <row r="8" ht="18" customHeight="1">
      <c r="B8" s="2" t="inlineStr">
        <is>
          <t>Customer:</t>
        </is>
      </c>
      <c r="C8" s="3" t="inlineStr">
        <is>
          <t>Srx Firewall Platform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60</v>
      </c>
      <c r="B2" s="36">
        <f>SUMPRODUCT(--(LEN(F5:F64)&gt;0))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IF('Business Requirements'!A12="","",'Business Requirements'!A12)</f>
        <v/>
      </c>
      <c r="B15" s="39">
        <f>IF('Business Requirements'!B12="","",'Business Requirements'!B12)</f>
        <v/>
      </c>
      <c r="C15" s="39">
        <f>IF('Business Requirements'!C12="","",'Business Requirements'!C12)</f>
        <v/>
      </c>
      <c r="D15" s="39">
        <f>IF('Business Requirements'!D12="","",'Business Requirements'!D12)</f>
        <v/>
      </c>
      <c r="E15" s="39">
        <f>IF('Business Requirements'!E12="","",'Business Requirements'!E12)</f>
        <v/>
      </c>
      <c r="F15" s="40">
        <f>IF('Business Requirements'!F12="","",'Business Requirements'!F12)</f>
        <v/>
      </c>
      <c r="G15" s="39">
        <f>IF('Business Requirements'!G12="","",'Business Requirements'!G12)</f>
        <v/>
      </c>
    </row>
    <row r="16">
      <c r="A16" s="41">
        <f>IF('Technical Requirements'!A2="","",'Technical Requirements'!A2)</f>
        <v/>
      </c>
      <c r="B16" s="41">
        <f>IF('Technical Requirements'!B2="","",'Technical Requirements'!B2)</f>
        <v/>
      </c>
      <c r="C16" s="41">
        <f>IF('Technical Requirements'!C2="","",'Technical Requirements'!C2)</f>
        <v/>
      </c>
      <c r="D16" s="41">
        <f>IF('Technical Requirements'!D2="","",'Technical Requirements'!D2)</f>
        <v/>
      </c>
      <c r="E16" s="41">
        <f>IF('Technical Requirements'!E2="","",'Technical Requirements'!E2)</f>
        <v/>
      </c>
      <c r="F16" s="40">
        <f>IF('Technical Requirements'!F2="","",'Technical Requirements'!F2)</f>
        <v/>
      </c>
      <c r="G16" s="41">
        <f>IF('Technical Requirements'!G2="","",'Technical Requirements'!G2)</f>
        <v/>
      </c>
    </row>
    <row r="17">
      <c r="A17" s="39">
        <f>IF('Technical Requirements'!A3="","",'Technical Requirements'!A3)</f>
        <v/>
      </c>
      <c r="B17" s="39">
        <f>IF('Technical Requirements'!B3="","",'Technical Requirements'!B3)</f>
        <v/>
      </c>
      <c r="C17" s="39">
        <f>IF('Technical Requirements'!C3="","",'Technical Requirements'!C3)</f>
        <v/>
      </c>
      <c r="D17" s="39">
        <f>IF('Technical Requirements'!D3="","",'Technical Requirements'!D3)</f>
        <v/>
      </c>
      <c r="E17" s="39">
        <f>IF('Technical Requirements'!E3="","",'Technical Requirements'!E3)</f>
        <v/>
      </c>
      <c r="F17" s="40">
        <f>IF('Technical Requirements'!F3="","",'Technical Requirements'!F3)</f>
        <v/>
      </c>
      <c r="G17" s="39">
        <f>IF('Technical Requirements'!G3="","",'Technical Requirements'!G3)</f>
        <v/>
      </c>
    </row>
    <row r="18">
      <c r="A18" s="41">
        <f>IF('Technical Requirements'!A4="","",'Technical Requirements'!A4)</f>
        <v/>
      </c>
      <c r="B18" s="41">
        <f>IF('Technical Requirements'!B4="","",'Technical Requirements'!B4)</f>
        <v/>
      </c>
      <c r="C18" s="41">
        <f>IF('Technical Requirements'!C4="","",'Technical Requirements'!C4)</f>
        <v/>
      </c>
      <c r="D18" s="41">
        <f>IF('Technical Requirements'!D4="","",'Technical Requirements'!D4)</f>
        <v/>
      </c>
      <c r="E18" s="41">
        <f>IF('Technical Requirements'!E4="","",'Technical Requirements'!E4)</f>
        <v/>
      </c>
      <c r="F18" s="40">
        <f>IF('Technical Requirements'!F4="","",'Technical Requirements'!F4)</f>
        <v/>
      </c>
      <c r="G18" s="41">
        <f>IF('Technical Requirements'!G4="","",'Technical Requirements'!G4)</f>
        <v/>
      </c>
    </row>
    <row r="19">
      <c r="A19" s="39">
        <f>IF('Technical Requirements'!A5="","",'Technical Requirements'!A5)</f>
        <v/>
      </c>
      <c r="B19" s="39">
        <f>IF('Technical Requirements'!B5="","",'Technical Requirements'!B5)</f>
        <v/>
      </c>
      <c r="C19" s="39">
        <f>IF('Technical Requirements'!C5="","",'Technical Requirements'!C5)</f>
        <v/>
      </c>
      <c r="D19" s="39">
        <f>IF('Technical Requirements'!D5="","",'Technical Requirements'!D5)</f>
        <v/>
      </c>
      <c r="E19" s="39">
        <f>IF('Technical Requirements'!E5="","",'Technical Requirements'!E5)</f>
        <v/>
      </c>
      <c r="F19" s="40">
        <f>IF('Technical Requirements'!F5="","",'Technical Requirements'!F5)</f>
        <v/>
      </c>
      <c r="G19" s="39">
        <f>IF('Technical Requirements'!G5="","",'Technical Requirements'!G5)</f>
        <v/>
      </c>
    </row>
    <row r="20">
      <c r="A20" s="41">
        <f>IF('Technical Requirements'!A6="","",'Technical Requirements'!A6)</f>
        <v/>
      </c>
      <c r="B20" s="41">
        <f>IF('Technical Requirements'!B6="","",'Technical Requirements'!B6)</f>
        <v/>
      </c>
      <c r="C20" s="41">
        <f>IF('Technical Requirements'!C6="","",'Technical Requirements'!C6)</f>
        <v/>
      </c>
      <c r="D20" s="41">
        <f>IF('Technical Requirements'!D6="","",'Technical Requirements'!D6)</f>
        <v/>
      </c>
      <c r="E20" s="41">
        <f>IF('Technical Requirements'!E6="","",'Technical Requirements'!E6)</f>
        <v/>
      </c>
      <c r="F20" s="40">
        <f>IF('Technical Requirements'!F6="","",'Technical Requirements'!F6)</f>
        <v/>
      </c>
      <c r="G20" s="41">
        <f>IF('Technical Requirements'!G6="","",'Technical Requirements'!G6)</f>
        <v/>
      </c>
    </row>
    <row r="21">
      <c r="A21" s="39">
        <f>IF('Technical Requirements'!A7="","",'Technical Requirements'!A7)</f>
        <v/>
      </c>
      <c r="B21" s="39">
        <f>IF('Technical Requirements'!B7="","",'Technical Requirements'!B7)</f>
        <v/>
      </c>
      <c r="C21" s="39">
        <f>IF('Technical Requirements'!C7="","",'Technical Requirements'!C7)</f>
        <v/>
      </c>
      <c r="D21" s="39">
        <f>IF('Technical Requirements'!D7="","",'Technical Requirements'!D7)</f>
        <v/>
      </c>
      <c r="E21" s="39">
        <f>IF('Technical Requirements'!E7="","",'Technical Requirements'!E7)</f>
        <v/>
      </c>
      <c r="F21" s="40">
        <f>IF('Technical Requirements'!F7="","",'Technical Requirements'!F7)</f>
        <v/>
      </c>
      <c r="G21" s="39">
        <f>IF('Technical Requirements'!G7="","",'Technical Requirements'!G7)</f>
        <v/>
      </c>
    </row>
    <row r="22">
      <c r="A22" s="41">
        <f>IF('Technical Requirements'!A8="","",'Technical Requirements'!A8)</f>
        <v/>
      </c>
      <c r="B22" s="41">
        <f>IF('Technical Requirements'!B8="","",'Technical Requirements'!B8)</f>
        <v/>
      </c>
      <c r="C22" s="41">
        <f>IF('Technical Requirements'!C8="","",'Technical Requirements'!C8)</f>
        <v/>
      </c>
      <c r="D22" s="41">
        <f>IF('Technical Requirements'!D8="","",'Technical Requirements'!D8)</f>
        <v/>
      </c>
      <c r="E22" s="41">
        <f>IF('Technical Requirements'!E8="","",'Technical Requirements'!E8)</f>
        <v/>
      </c>
      <c r="F22" s="40">
        <f>IF('Technical Requirements'!F8="","",'Technical Requirements'!F8)</f>
        <v/>
      </c>
      <c r="G22" s="41">
        <f>IF('Technical Requirements'!G8="","",'Technical Requirements'!G8)</f>
        <v/>
      </c>
    </row>
    <row r="23">
      <c r="A23" s="39">
        <f>IF('Technical Requirements'!A9="","",'Technical Requirements'!A9)</f>
        <v/>
      </c>
      <c r="B23" s="39">
        <f>IF('Technical Requirements'!B9="","",'Technical Requirements'!B9)</f>
        <v/>
      </c>
      <c r="C23" s="39">
        <f>IF('Technical Requirements'!C9="","",'Technical Requirements'!C9)</f>
        <v/>
      </c>
      <c r="D23" s="39">
        <f>IF('Technical Requirements'!D9="","",'Technical Requirements'!D9)</f>
        <v/>
      </c>
      <c r="E23" s="39">
        <f>IF('Technical Requirements'!E9="","",'Technical Requirements'!E9)</f>
        <v/>
      </c>
      <c r="F23" s="40">
        <f>IF('Technical Requirements'!F9="","",'Technical Requirements'!F9)</f>
        <v/>
      </c>
      <c r="G23" s="39">
        <f>IF('Technical Requirements'!G9="","",'Technical Requirements'!G9)</f>
        <v/>
      </c>
    </row>
    <row r="24">
      <c r="A24" s="41">
        <f>IF('Technical Requirements'!A10="","",'Technical Requirements'!A10)</f>
        <v/>
      </c>
      <c r="B24" s="41">
        <f>IF('Technical Requirements'!B10="","",'Technical Requirements'!B10)</f>
        <v/>
      </c>
      <c r="C24" s="41">
        <f>IF('Technical Requirements'!C10="","",'Technical Requirements'!C10)</f>
        <v/>
      </c>
      <c r="D24" s="41">
        <f>IF('Technical Requirements'!D10="","",'Technical Requirements'!D10)</f>
        <v/>
      </c>
      <c r="E24" s="41">
        <f>IF('Technical Requirements'!E10="","",'Technical Requirements'!E10)</f>
        <v/>
      </c>
      <c r="F24" s="40">
        <f>IF('Technical Requirements'!F10="","",'Technical Requirements'!F10)</f>
        <v/>
      </c>
      <c r="G24" s="41">
        <f>IF('Technical Requirements'!G10="","",'Technical Requirements'!G10)</f>
        <v/>
      </c>
    </row>
    <row r="25">
      <c r="A25" s="39">
        <f>IF('Technical Requirements'!A11="","",'Technical Requirements'!A11)</f>
        <v/>
      </c>
      <c r="B25" s="39">
        <f>IF('Technical Requirements'!B11="","",'Technical Requirements'!B11)</f>
        <v/>
      </c>
      <c r="C25" s="39">
        <f>IF('Technical Requirements'!C11="","",'Technical Requirements'!C11)</f>
        <v/>
      </c>
      <c r="D25" s="39">
        <f>IF('Technical Requirements'!D11="","",'Technical Requirements'!D11)</f>
        <v/>
      </c>
      <c r="E25" s="39">
        <f>IF('Technical Requirements'!E11="","",'Technical Requirements'!E11)</f>
        <v/>
      </c>
      <c r="F25" s="40">
        <f>IF('Technical Requirements'!F11="","",'Technical Requirements'!F11)</f>
        <v/>
      </c>
      <c r="G25" s="39">
        <f>IF('Technical Requirements'!G11="","",'Technical Requirements'!G11)</f>
        <v/>
      </c>
    </row>
    <row r="26">
      <c r="A26" s="41">
        <f>IF('Technical Requirements'!A12="","",'Technical Requirements'!A12)</f>
        <v/>
      </c>
      <c r="B26" s="41">
        <f>IF('Technical Requirements'!B12="","",'Technical Requirements'!B12)</f>
        <v/>
      </c>
      <c r="C26" s="41">
        <f>IF('Technical Requirements'!C12="","",'Technical Requirements'!C12)</f>
        <v/>
      </c>
      <c r="D26" s="41">
        <f>IF('Technical Requirements'!D12="","",'Technical Requirements'!D12)</f>
        <v/>
      </c>
      <c r="E26" s="41">
        <f>IF('Technical Requirements'!E12="","",'Technical Requirements'!E12)</f>
        <v/>
      </c>
      <c r="F26" s="40">
        <f>IF('Technical Requirements'!F12="","",'Technical Requirements'!F12)</f>
        <v/>
      </c>
      <c r="G26" s="41">
        <f>IF('Technical Requirements'!G12="","",'Technical Requirements'!G12)</f>
        <v/>
      </c>
    </row>
    <row r="27">
      <c r="A27" s="39">
        <f>IF('Technical Requirements'!A13="","",'Technical Requirements'!A13)</f>
        <v/>
      </c>
      <c r="B27" s="39">
        <f>IF('Technical Requirements'!B13="","",'Technical Requirements'!B13)</f>
        <v/>
      </c>
      <c r="C27" s="39">
        <f>IF('Technical Requirements'!C13="","",'Technical Requirements'!C13)</f>
        <v/>
      </c>
      <c r="D27" s="39">
        <f>IF('Technical Requirements'!D13="","",'Technical Requirements'!D13)</f>
        <v/>
      </c>
      <c r="E27" s="39">
        <f>IF('Technical Requirements'!E13="","",'Technical Requirements'!E13)</f>
        <v/>
      </c>
      <c r="F27" s="40">
        <f>IF('Technical Requirements'!F13="","",'Technical Requirements'!F13)</f>
        <v/>
      </c>
      <c r="G27" s="39">
        <f>IF('Technical Requirements'!G13="","",'Technical Requirements'!G13)</f>
        <v/>
      </c>
    </row>
    <row r="28">
      <c r="A28" s="41">
        <f>IF('Technical Requirements'!A14="","",'Technical Requirements'!A14)</f>
        <v/>
      </c>
      <c r="B28" s="41">
        <f>IF('Technical Requirements'!B14="","",'Technical Requirements'!B14)</f>
        <v/>
      </c>
      <c r="C28" s="41">
        <f>IF('Technical Requirements'!C14="","",'Technical Requirements'!C14)</f>
        <v/>
      </c>
      <c r="D28" s="41">
        <f>IF('Technical Requirements'!D14="","",'Technical Requirements'!D14)</f>
        <v/>
      </c>
      <c r="E28" s="41">
        <f>IF('Technical Requirements'!E14="","",'Technical Requirements'!E14)</f>
        <v/>
      </c>
      <c r="F28" s="40">
        <f>IF('Technical Requirements'!F14="","",'Technical Requirements'!F14)</f>
        <v/>
      </c>
      <c r="G28" s="41">
        <f>IF('Technical Requirements'!G14="","",'Technical Requirements'!G14)</f>
        <v/>
      </c>
    </row>
    <row r="29">
      <c r="A29" s="39">
        <f>IF('Technical Requirements'!A15="","",'Technical Requirements'!A15)</f>
        <v/>
      </c>
      <c r="B29" s="39">
        <f>IF('Technical Requirements'!B15="","",'Technical Requirements'!B15)</f>
        <v/>
      </c>
      <c r="C29" s="39">
        <f>IF('Technical Requirements'!C15="","",'Technical Requirements'!C15)</f>
        <v/>
      </c>
      <c r="D29" s="39">
        <f>IF('Technical Requirements'!D15="","",'Technical Requirements'!D15)</f>
        <v/>
      </c>
      <c r="E29" s="39">
        <f>IF('Technical Requirements'!E15="","",'Technical Requirements'!E15)</f>
        <v/>
      </c>
      <c r="F29" s="40">
        <f>IF('Technical Requirements'!F15="","",'Technical Requirements'!F15)</f>
        <v/>
      </c>
      <c r="G29" s="39">
        <f>IF('Technical Requirements'!G15="","",'Technical Requirements'!G15)</f>
        <v/>
      </c>
    </row>
    <row r="30">
      <c r="A30" s="41">
        <f>IF('Technical Requirements'!A16="","",'Technical Requirements'!A16)</f>
        <v/>
      </c>
      <c r="B30" s="41">
        <f>IF('Technical Requirements'!B16="","",'Technical Requirements'!B16)</f>
        <v/>
      </c>
      <c r="C30" s="41">
        <f>IF('Technical Requirements'!C16="","",'Technical Requirements'!C16)</f>
        <v/>
      </c>
      <c r="D30" s="41">
        <f>IF('Technical Requirements'!D16="","",'Technical Requirements'!D16)</f>
        <v/>
      </c>
      <c r="E30" s="41">
        <f>IF('Technical Requirements'!E16="","",'Technical Requirements'!E16)</f>
        <v/>
      </c>
      <c r="F30" s="40">
        <f>IF('Technical Requirements'!F16="","",'Technical Requirements'!F16)</f>
        <v/>
      </c>
      <c r="G30" s="41">
        <f>IF('Technical Requirements'!G16="","",'Technical Requirements'!G16)</f>
        <v/>
      </c>
    </row>
    <row r="31">
      <c r="A31" s="39">
        <f>IF('Technical Requirements'!A17="","",'Technical Requirements'!A17)</f>
        <v/>
      </c>
      <c r="B31" s="39">
        <f>IF('Technical Requirements'!B17="","",'Technical Requirements'!B17)</f>
        <v/>
      </c>
      <c r="C31" s="39">
        <f>IF('Technical Requirements'!C17="","",'Technical Requirements'!C17)</f>
        <v/>
      </c>
      <c r="D31" s="39">
        <f>IF('Technical Requirements'!D17="","",'Technical Requirements'!D17)</f>
        <v/>
      </c>
      <c r="E31" s="39">
        <f>IF('Technical Requirements'!E17="","",'Technical Requirements'!E17)</f>
        <v/>
      </c>
      <c r="F31" s="40">
        <f>IF('Technical Requirements'!F17="","",'Technical Requirements'!F17)</f>
        <v/>
      </c>
      <c r="G31" s="39">
        <f>IF('Technical Requirements'!G17="","",'Technical Requirements'!G17)</f>
        <v/>
      </c>
    </row>
    <row r="32">
      <c r="A32" s="41">
        <f>IF('Technical Requirements'!A18="","",'Technical Requirements'!A18)</f>
        <v/>
      </c>
      <c r="B32" s="41">
        <f>IF('Technical Requirements'!B18="","",'Technical Requirements'!B18)</f>
        <v/>
      </c>
      <c r="C32" s="41">
        <f>IF('Technical Requirements'!C18="","",'Technical Requirements'!C18)</f>
        <v/>
      </c>
      <c r="D32" s="41">
        <f>IF('Technical Requirements'!D18="","",'Technical Requirements'!D18)</f>
        <v/>
      </c>
      <c r="E32" s="41">
        <f>IF('Technical Requirements'!E18="","",'Technical Requirements'!E18)</f>
        <v/>
      </c>
      <c r="F32" s="40">
        <f>IF('Technical Requirements'!F18="","",'Technical Requirements'!F18)</f>
        <v/>
      </c>
      <c r="G32" s="41">
        <f>IF('Technical Requirements'!G18="","",'Technical Requirements'!G18)</f>
        <v/>
      </c>
    </row>
    <row r="33">
      <c r="A33" s="39">
        <f>IF('Security &amp; Compliance'!A2="","",'Security &amp; Compliance'!A2)</f>
        <v/>
      </c>
      <c r="B33" s="39">
        <f>IF('Security &amp; Compliance'!B2="","",'Security &amp; Compliance'!B2)</f>
        <v/>
      </c>
      <c r="C33" s="39">
        <f>IF('Security &amp; Compliance'!C2="","",'Security &amp; Compliance'!C2)</f>
        <v/>
      </c>
      <c r="D33" s="39">
        <f>IF('Security &amp; Compliance'!D2="","",'Security &amp; Compliance'!D2)</f>
        <v/>
      </c>
      <c r="E33" s="39">
        <f>IF('Security &amp; Compliance'!E2="","",'Security &amp; Compliance'!E2)</f>
        <v/>
      </c>
      <c r="F33" s="40">
        <f>IF('Security &amp; Compliance'!F2="","",'Security &amp; Compliance'!F2)</f>
        <v/>
      </c>
      <c r="G33" s="39">
        <f>IF('Security &amp; Compliance'!G2="","",'Security &amp; Compliance'!G2)</f>
        <v/>
      </c>
    </row>
    <row r="34">
      <c r="A34" s="41">
        <f>IF('Security &amp; Compliance'!A3="","",'Security &amp; Compliance'!A3)</f>
        <v/>
      </c>
      <c r="B34" s="41">
        <f>IF('Security &amp; Compliance'!B3="","",'Security &amp; Compliance'!B3)</f>
        <v/>
      </c>
      <c r="C34" s="41">
        <f>IF('Security &amp; Compliance'!C3="","",'Security &amp; Compliance'!C3)</f>
        <v/>
      </c>
      <c r="D34" s="41">
        <f>IF('Security &amp; Compliance'!D3="","",'Security &amp; Compliance'!D3)</f>
        <v/>
      </c>
      <c r="E34" s="41">
        <f>IF('Security &amp; Compliance'!E3="","",'Security &amp; Compliance'!E3)</f>
        <v/>
      </c>
      <c r="F34" s="40">
        <f>IF('Security &amp; Compliance'!F3="","",'Security &amp; Compliance'!F3)</f>
        <v/>
      </c>
      <c r="G34" s="41">
        <f>IF('Security &amp; Compliance'!G3="","",'Security &amp; Compliance'!G3)</f>
        <v/>
      </c>
    </row>
    <row r="35">
      <c r="A35" s="39">
        <f>IF('Security &amp; Compliance'!A4="","",'Security &amp; Compliance'!A4)</f>
        <v/>
      </c>
      <c r="B35" s="39">
        <f>IF('Security &amp; Compliance'!B4="","",'Security &amp; Compliance'!B4)</f>
        <v/>
      </c>
      <c r="C35" s="39">
        <f>IF('Security &amp; Compliance'!C4="","",'Security &amp; Compliance'!C4)</f>
        <v/>
      </c>
      <c r="D35" s="39">
        <f>IF('Security &amp; Compliance'!D4="","",'Security &amp; Compliance'!D4)</f>
        <v/>
      </c>
      <c r="E35" s="39">
        <f>IF('Security &amp; Compliance'!E4="","",'Security &amp; Compliance'!E4)</f>
        <v/>
      </c>
      <c r="F35" s="40">
        <f>IF('Security &amp; Compliance'!F4="","",'Security &amp; Compliance'!F4)</f>
        <v/>
      </c>
      <c r="G35" s="39">
        <f>IF('Security &amp; Compliance'!G4="","",'Security &amp; Compliance'!G4)</f>
        <v/>
      </c>
    </row>
    <row r="36">
      <c r="A36" s="41">
        <f>IF('Security &amp; Compliance'!A5="","",'Security &amp; Compliance'!A5)</f>
        <v/>
      </c>
      <c r="B36" s="41">
        <f>IF('Security &amp; Compliance'!B5="","",'Security &amp; Compliance'!B5)</f>
        <v/>
      </c>
      <c r="C36" s="41">
        <f>IF('Security &amp; Compliance'!C5="","",'Security &amp; Compliance'!C5)</f>
        <v/>
      </c>
      <c r="D36" s="41">
        <f>IF('Security &amp; Compliance'!D5="","",'Security &amp; Compliance'!D5)</f>
        <v/>
      </c>
      <c r="E36" s="41">
        <f>IF('Security &amp; Compliance'!E5="","",'Security &amp; Compliance'!E5)</f>
        <v/>
      </c>
      <c r="F36" s="40">
        <f>IF('Security &amp; Compliance'!F5="","",'Security &amp; Compliance'!F5)</f>
        <v/>
      </c>
      <c r="G36" s="41">
        <f>IF('Security &amp; Compliance'!G5="","",'Security &amp; Compliance'!G5)</f>
        <v/>
      </c>
    </row>
    <row r="37">
      <c r="A37" s="39">
        <f>IF('Security &amp; Compliance'!A6="","",'Security &amp; Compliance'!A6)</f>
        <v/>
      </c>
      <c r="B37" s="39">
        <f>IF('Security &amp; Compliance'!B6="","",'Security &amp; Compliance'!B6)</f>
        <v/>
      </c>
      <c r="C37" s="39">
        <f>IF('Security &amp; Compliance'!C6="","",'Security &amp; Compliance'!C6)</f>
        <v/>
      </c>
      <c r="D37" s="39">
        <f>IF('Security &amp; Compliance'!D6="","",'Security &amp; Compliance'!D6)</f>
        <v/>
      </c>
      <c r="E37" s="39">
        <f>IF('Security &amp; Compliance'!E6="","",'Security &amp; Compliance'!E6)</f>
        <v/>
      </c>
      <c r="F37" s="40">
        <f>IF('Security &amp; Compliance'!F6="","",'Security &amp; Compliance'!F6)</f>
        <v/>
      </c>
      <c r="G37" s="39">
        <f>IF('Security &amp; Compliance'!G6="","",'Security &amp; Compliance'!G6)</f>
        <v/>
      </c>
    </row>
    <row r="38">
      <c r="A38" s="41">
        <f>IF('Security &amp; Compliance'!A7="","",'Security &amp; Compliance'!A7)</f>
        <v/>
      </c>
      <c r="B38" s="41">
        <f>IF('Security &amp; Compliance'!B7="","",'Security &amp; Compliance'!B7)</f>
        <v/>
      </c>
      <c r="C38" s="41">
        <f>IF('Security &amp; Compliance'!C7="","",'Security &amp; Compliance'!C7)</f>
        <v/>
      </c>
      <c r="D38" s="41">
        <f>IF('Security &amp; Compliance'!D7="","",'Security &amp; Compliance'!D7)</f>
        <v/>
      </c>
      <c r="E38" s="41">
        <f>IF('Security &amp; Compliance'!E7="","",'Security &amp; Compliance'!E7)</f>
        <v/>
      </c>
      <c r="F38" s="40">
        <f>IF('Security &amp; Compliance'!F7="","",'Security &amp; Compliance'!F7)</f>
        <v/>
      </c>
      <c r="G38" s="41">
        <f>IF('Security &amp; Compliance'!G7="","",'Security &amp; Compliance'!G7)</f>
        <v/>
      </c>
    </row>
    <row r="39">
      <c r="A39" s="39">
        <f>IF('Security &amp; Compliance'!A8="","",'Security &amp; Compliance'!A8)</f>
        <v/>
      </c>
      <c r="B39" s="39">
        <f>IF('Security &amp; Compliance'!B8="","",'Security &amp; Compliance'!B8)</f>
        <v/>
      </c>
      <c r="C39" s="39">
        <f>IF('Security &amp; Compliance'!C8="","",'Security &amp; Compliance'!C8)</f>
        <v/>
      </c>
      <c r="D39" s="39">
        <f>IF('Security &amp; Compliance'!D8="","",'Security &amp; Compliance'!D8)</f>
        <v/>
      </c>
      <c r="E39" s="39">
        <f>IF('Security &amp; Compliance'!E8="","",'Security &amp; Compliance'!E8)</f>
        <v/>
      </c>
      <c r="F39" s="40">
        <f>IF('Security &amp; Compliance'!F8="","",'Security &amp; Compliance'!F8)</f>
        <v/>
      </c>
      <c r="G39" s="39">
        <f>IF('Security &amp; Compliance'!G8="","",'Security &amp; Compliance'!G8)</f>
        <v/>
      </c>
    </row>
    <row r="40">
      <c r="A40" s="41">
        <f>IF('Security &amp; Compliance'!A9="","",'Security &amp; Compliance'!A9)</f>
        <v/>
      </c>
      <c r="B40" s="41">
        <f>IF('Security &amp; Compliance'!B9="","",'Security &amp; Compliance'!B9)</f>
        <v/>
      </c>
      <c r="C40" s="41">
        <f>IF('Security &amp; Compliance'!C9="","",'Security &amp; Compliance'!C9)</f>
        <v/>
      </c>
      <c r="D40" s="41">
        <f>IF('Security &amp; Compliance'!D9="","",'Security &amp; Compliance'!D9)</f>
        <v/>
      </c>
      <c r="E40" s="41">
        <f>IF('Security &amp; Compliance'!E9="","",'Security &amp; Compliance'!E9)</f>
        <v/>
      </c>
      <c r="F40" s="40">
        <f>IF('Security &amp; Compliance'!F9="","",'Security &amp; Compliance'!F9)</f>
        <v/>
      </c>
      <c r="G40" s="41">
        <f>IF('Security &amp; Compliance'!G9="","",'Security &amp; Compliance'!G9)</f>
        <v/>
      </c>
    </row>
    <row r="41">
      <c r="A41" s="39">
        <f>IF('Operations &amp; Support'!A2="","",'Operations &amp; Support'!A2)</f>
        <v/>
      </c>
      <c r="B41" s="39">
        <f>IF('Operations &amp; Support'!B2="","",'Operations &amp; Support'!B2)</f>
        <v/>
      </c>
      <c r="C41" s="39">
        <f>IF('Operations &amp; Support'!C2="","",'Operations &amp; Support'!C2)</f>
        <v/>
      </c>
      <c r="D41" s="39">
        <f>IF('Operations &amp; Support'!D2="","",'Operations &amp; Support'!D2)</f>
        <v/>
      </c>
      <c r="E41" s="39">
        <f>IF('Operations &amp; Support'!E2="","",'Operations &amp; Support'!E2)</f>
        <v/>
      </c>
      <c r="F41" s="40">
        <f>IF('Operations &amp; Support'!F2="","",'Operations &amp; Support'!F2)</f>
        <v/>
      </c>
      <c r="G41" s="39">
        <f>IF('Operations &amp; Support'!G2="","",'Operations &amp; Support'!G2)</f>
        <v/>
      </c>
    </row>
    <row r="42">
      <c r="A42" s="41">
        <f>IF('Operations &amp; Support'!A3="","",'Operations &amp; Support'!A3)</f>
        <v/>
      </c>
      <c r="B42" s="41">
        <f>IF('Operations &amp; Support'!B3="","",'Operations &amp; Support'!B3)</f>
        <v/>
      </c>
      <c r="C42" s="41">
        <f>IF('Operations &amp; Support'!C3="","",'Operations &amp; Support'!C3)</f>
        <v/>
      </c>
      <c r="D42" s="41">
        <f>IF('Operations &amp; Support'!D3="","",'Operations &amp; Support'!D3)</f>
        <v/>
      </c>
      <c r="E42" s="41">
        <f>IF('Operations &amp; Support'!E3="","",'Operations &amp; Support'!E3)</f>
        <v/>
      </c>
      <c r="F42" s="40">
        <f>IF('Operations &amp; Support'!F3="","",'Operations &amp; Support'!F3)</f>
        <v/>
      </c>
      <c r="G42" s="41">
        <f>IF('Operations &amp; Support'!G3="","",'Operations &amp; Support'!G3)</f>
        <v/>
      </c>
    </row>
    <row r="43">
      <c r="A43" s="39">
        <f>IF('Operations &amp; Support'!A4="","",'Operations &amp; Support'!A4)</f>
        <v/>
      </c>
      <c r="B43" s="39">
        <f>IF('Operations &amp; Support'!B4="","",'Operations &amp; Support'!B4)</f>
        <v/>
      </c>
      <c r="C43" s="39">
        <f>IF('Operations &amp; Support'!C4="","",'Operations &amp; Support'!C4)</f>
        <v/>
      </c>
      <c r="D43" s="39">
        <f>IF('Operations &amp; Support'!D4="","",'Operations &amp; Support'!D4)</f>
        <v/>
      </c>
      <c r="E43" s="39">
        <f>IF('Operations &amp; Support'!E4="","",'Operations &amp; Support'!E4)</f>
        <v/>
      </c>
      <c r="F43" s="40">
        <f>IF('Operations &amp; Support'!F4="","",'Operations &amp; Support'!F4)</f>
        <v/>
      </c>
      <c r="G43" s="39">
        <f>IF('Operations &amp; Support'!G4="","",'Operations &amp; Support'!G4)</f>
        <v/>
      </c>
    </row>
    <row r="44">
      <c r="A44" s="41">
        <f>IF('Operations &amp; Support'!A5="","",'Operations &amp; Support'!A5)</f>
        <v/>
      </c>
      <c r="B44" s="41">
        <f>IF('Operations &amp; Support'!B5="","",'Operations &amp; Support'!B5)</f>
        <v/>
      </c>
      <c r="C44" s="41">
        <f>IF('Operations &amp; Support'!C5="","",'Operations &amp; Support'!C5)</f>
        <v/>
      </c>
      <c r="D44" s="41">
        <f>IF('Operations &amp; Support'!D5="","",'Operations &amp; Support'!D5)</f>
        <v/>
      </c>
      <c r="E44" s="41">
        <f>IF('Operations &amp; Support'!E5="","",'Operations &amp; Support'!E5)</f>
        <v/>
      </c>
      <c r="F44" s="40">
        <f>IF('Operations &amp; Support'!F5="","",'Operations &amp; Support'!F5)</f>
        <v/>
      </c>
      <c r="G44" s="41">
        <f>IF('Operations &amp; Support'!G5="","",'Operations &amp; Support'!G5)</f>
        <v/>
      </c>
    </row>
    <row r="45">
      <c r="A45" s="39">
        <f>IF('Operations &amp; Support'!A6="","",'Operations &amp; Support'!A6)</f>
        <v/>
      </c>
      <c r="B45" s="39">
        <f>IF('Operations &amp; Support'!B6="","",'Operations &amp; Support'!B6)</f>
        <v/>
      </c>
      <c r="C45" s="39">
        <f>IF('Operations &amp; Support'!C6="","",'Operations &amp; Support'!C6)</f>
        <v/>
      </c>
      <c r="D45" s="39">
        <f>IF('Operations &amp; Support'!D6="","",'Operations &amp; Support'!D6)</f>
        <v/>
      </c>
      <c r="E45" s="39">
        <f>IF('Operations &amp; Support'!E6="","",'Operations &amp; Support'!E6)</f>
        <v/>
      </c>
      <c r="F45" s="40">
        <f>IF('Operations &amp; Support'!F6="","",'Operations &amp; Support'!F6)</f>
        <v/>
      </c>
      <c r="G45" s="39">
        <f>IF('Operations &amp; Support'!G6="","",'Operations &amp; Support'!G6)</f>
        <v/>
      </c>
    </row>
    <row r="46">
      <c r="A46" s="41">
        <f>IF('Operations &amp; Support'!A7="","",'Operations &amp; Support'!A7)</f>
        <v/>
      </c>
      <c r="B46" s="41">
        <f>IF('Operations &amp; Support'!B7="","",'Operations &amp; Support'!B7)</f>
        <v/>
      </c>
      <c r="C46" s="41">
        <f>IF('Operations &amp; Support'!C7="","",'Operations &amp; Support'!C7)</f>
        <v/>
      </c>
      <c r="D46" s="41">
        <f>IF('Operations &amp; Support'!D7="","",'Operations &amp; Support'!D7)</f>
        <v/>
      </c>
      <c r="E46" s="41">
        <f>IF('Operations &amp; Support'!E7="","",'Operations &amp; Support'!E7)</f>
        <v/>
      </c>
      <c r="F46" s="40">
        <f>IF('Operations &amp; Support'!F7="","",'Operations &amp; Support'!F7)</f>
        <v/>
      </c>
      <c r="G46" s="41">
        <f>IF('Operations &amp; Support'!G7="","",'Operations &amp; Support'!G7)</f>
        <v/>
      </c>
    </row>
    <row r="47">
      <c r="A47" s="39">
        <f>IF('Operations &amp; Support'!A8="","",'Operations &amp; Support'!A8)</f>
        <v/>
      </c>
      <c r="B47" s="39">
        <f>IF('Operations &amp; Support'!B8="","",'Operations &amp; Support'!B8)</f>
        <v/>
      </c>
      <c r="C47" s="39">
        <f>IF('Operations &amp; Support'!C8="","",'Operations &amp; Support'!C8)</f>
        <v/>
      </c>
      <c r="D47" s="39">
        <f>IF('Operations &amp; Support'!D8="","",'Operations &amp; Support'!D8)</f>
        <v/>
      </c>
      <c r="E47" s="39">
        <f>IF('Operations &amp; Support'!E8="","",'Operations &amp; Support'!E8)</f>
        <v/>
      </c>
      <c r="F47" s="40">
        <f>IF('Operations &amp; Support'!F8="","",'Operations &amp; Support'!F8)</f>
        <v/>
      </c>
      <c r="G47" s="39">
        <f>IF('Operations &amp; Support'!G8="","",'Operations &amp; Support'!G8)</f>
        <v/>
      </c>
    </row>
    <row r="48">
      <c r="A48" s="41">
        <f>IF('Operations &amp; Support'!A9="","",'Operations &amp; Support'!A9)</f>
        <v/>
      </c>
      <c r="B48" s="41">
        <f>IF('Operations &amp; Support'!B9="","",'Operations &amp; Support'!B9)</f>
        <v/>
      </c>
      <c r="C48" s="41">
        <f>IF('Operations &amp; Support'!C9="","",'Operations &amp; Support'!C9)</f>
        <v/>
      </c>
      <c r="D48" s="41">
        <f>IF('Operations &amp; Support'!D9="","",'Operations &amp; Support'!D9)</f>
        <v/>
      </c>
      <c r="E48" s="41">
        <f>IF('Operations &amp; Support'!E9="","",'Operations &amp; Support'!E9)</f>
        <v/>
      </c>
      <c r="F48" s="40">
        <f>IF('Operations &amp; Support'!F9="","",'Operations &amp; Support'!F9)</f>
        <v/>
      </c>
      <c r="G48" s="41">
        <f>IF('Operations &amp; Support'!G9="","",'Operations &amp; Support'!G9)</f>
        <v/>
      </c>
    </row>
    <row r="49">
      <c r="A49" s="39">
        <f>IF('Implementation Planning'!A2="","",'Implementation Planning'!A2)</f>
        <v/>
      </c>
      <c r="B49" s="39">
        <f>IF('Implementation Planning'!B2="","",'Implementation Planning'!B2)</f>
        <v/>
      </c>
      <c r="C49" s="39">
        <f>IF('Implementation Planning'!C2="","",'Implementation Planning'!C2)</f>
        <v/>
      </c>
      <c r="D49" s="39">
        <f>IF('Implementation Planning'!D2="","",'Implementation Planning'!D2)</f>
        <v/>
      </c>
      <c r="E49" s="39">
        <f>IF('Implementation Planning'!E2="","",'Implementation Planning'!E2)</f>
        <v/>
      </c>
      <c r="F49" s="40">
        <f>IF('Implementation Planning'!F2="","",'Implementation Planning'!F2)</f>
        <v/>
      </c>
      <c r="G49" s="39">
        <f>IF('Implementation Planning'!G2="","",'Implementation Planning'!G2)</f>
        <v/>
      </c>
    </row>
    <row r="50">
      <c r="A50" s="41">
        <f>IF('Implementation Planning'!A3="","",'Implementation Planning'!A3)</f>
        <v/>
      </c>
      <c r="B50" s="41">
        <f>IF('Implementation Planning'!B3="","",'Implementation Planning'!B3)</f>
        <v/>
      </c>
      <c r="C50" s="41">
        <f>IF('Implementation Planning'!C3="","",'Implementation Planning'!C3)</f>
        <v/>
      </c>
      <c r="D50" s="41">
        <f>IF('Implementation Planning'!D3="","",'Implementation Planning'!D3)</f>
        <v/>
      </c>
      <c r="E50" s="41">
        <f>IF('Implementation Planning'!E3="","",'Implementation Planning'!E3)</f>
        <v/>
      </c>
      <c r="F50" s="40">
        <f>IF('Implementation Planning'!F3="","",'Implementation Planning'!F3)</f>
        <v/>
      </c>
      <c r="G50" s="41">
        <f>IF('Implementation Planning'!G3="","",'Implementation Planning'!G3)</f>
        <v/>
      </c>
    </row>
    <row r="51">
      <c r="A51" s="39">
        <f>IF('Implementation Planning'!A4="","",'Implementation Planning'!A4)</f>
        <v/>
      </c>
      <c r="B51" s="39">
        <f>IF('Implementation Planning'!B4="","",'Implementation Planning'!B4)</f>
        <v/>
      </c>
      <c r="C51" s="39">
        <f>IF('Implementation Planning'!C4="","",'Implementation Planning'!C4)</f>
        <v/>
      </c>
      <c r="D51" s="39">
        <f>IF('Implementation Planning'!D4="","",'Implementation Planning'!D4)</f>
        <v/>
      </c>
      <c r="E51" s="39">
        <f>IF('Implementation Planning'!E4="","",'Implementation Planning'!E4)</f>
        <v/>
      </c>
      <c r="F51" s="40">
        <f>IF('Implementation Planning'!F4="","",'Implementation Planning'!F4)</f>
        <v/>
      </c>
      <c r="G51" s="39">
        <f>IF('Implementation Planning'!G4="","",'Implementation Planning'!G4)</f>
        <v/>
      </c>
    </row>
    <row r="52">
      <c r="A52" s="41">
        <f>IF('Implementation Planning'!A5="","",'Implementation Planning'!A5)</f>
        <v/>
      </c>
      <c r="B52" s="41">
        <f>IF('Implementation Planning'!B5="","",'Implementation Planning'!B5)</f>
        <v/>
      </c>
      <c r="C52" s="41">
        <f>IF('Implementation Planning'!C5="","",'Implementation Planning'!C5)</f>
        <v/>
      </c>
      <c r="D52" s="41">
        <f>IF('Implementation Planning'!D5="","",'Implementation Planning'!D5)</f>
        <v/>
      </c>
      <c r="E52" s="41">
        <f>IF('Implementation Planning'!E5="","",'Implementation Planning'!E5)</f>
        <v/>
      </c>
      <c r="F52" s="40">
        <f>IF('Implementation Planning'!F5="","",'Implementation Planning'!F5)</f>
        <v/>
      </c>
      <c r="G52" s="41">
        <f>IF('Implementation Planning'!G5="","",'Implementation Planning'!G5)</f>
        <v/>
      </c>
    </row>
    <row r="53">
      <c r="A53" s="39">
        <f>IF('Implementation Planning'!A6="","",'Implementation Planning'!A6)</f>
        <v/>
      </c>
      <c r="B53" s="39">
        <f>IF('Implementation Planning'!B6="","",'Implementation Planning'!B6)</f>
        <v/>
      </c>
      <c r="C53" s="39">
        <f>IF('Implementation Planning'!C6="","",'Implementation Planning'!C6)</f>
        <v/>
      </c>
      <c r="D53" s="39">
        <f>IF('Implementation Planning'!D6="","",'Implementation Planning'!D6)</f>
        <v/>
      </c>
      <c r="E53" s="39">
        <f>IF('Implementation Planning'!E6="","",'Implementation Planning'!E6)</f>
        <v/>
      </c>
      <c r="F53" s="40">
        <f>IF('Implementation Planning'!F6="","",'Implementation Planning'!F6)</f>
        <v/>
      </c>
      <c r="G53" s="39">
        <f>IF('Implementation Planning'!G6="","",'Implementation Planning'!G6)</f>
        <v/>
      </c>
    </row>
    <row r="54">
      <c r="A54" s="41">
        <f>IF('Implementation Planning'!A7="","",'Implementation Planning'!A7)</f>
        <v/>
      </c>
      <c r="B54" s="41">
        <f>IF('Implementation Planning'!B7="","",'Implementation Planning'!B7)</f>
        <v/>
      </c>
      <c r="C54" s="41">
        <f>IF('Implementation Planning'!C7="","",'Implementation Planning'!C7)</f>
        <v/>
      </c>
      <c r="D54" s="41">
        <f>IF('Implementation Planning'!D7="","",'Implementation Planning'!D7)</f>
        <v/>
      </c>
      <c r="E54" s="41">
        <f>IF('Implementation Planning'!E7="","",'Implementation Planning'!E7)</f>
        <v/>
      </c>
      <c r="F54" s="40">
        <f>IF('Implementation Planning'!F7="","",'Implementation Planning'!F7)</f>
        <v/>
      </c>
      <c r="G54" s="41">
        <f>IF('Implementation Planning'!G7="","",'Implementation Planning'!G7)</f>
        <v/>
      </c>
    </row>
    <row r="55">
      <c r="A55" s="39">
        <f>IF('Implementation Planning'!A8="","",'Implementation Planning'!A8)</f>
        <v/>
      </c>
      <c r="B55" s="39">
        <f>IF('Implementation Planning'!B8="","",'Implementation Planning'!B8)</f>
        <v/>
      </c>
      <c r="C55" s="39">
        <f>IF('Implementation Planning'!C8="","",'Implementation Planning'!C8)</f>
        <v/>
      </c>
      <c r="D55" s="39">
        <f>IF('Implementation Planning'!D8="","",'Implementation Planning'!D8)</f>
        <v/>
      </c>
      <c r="E55" s="39">
        <f>IF('Implementation Planning'!E8="","",'Implementation Planning'!E8)</f>
        <v/>
      </c>
      <c r="F55" s="40">
        <f>IF('Implementation Planning'!F8="","",'Implementation Planning'!F8)</f>
        <v/>
      </c>
      <c r="G55" s="39">
        <f>IF('Implementation Planning'!G8="","",'Implementation Planning'!G8)</f>
        <v/>
      </c>
    </row>
    <row r="56">
      <c r="A56" s="41">
        <f>IF('Implementation Planning'!A9="","",'Implementation Planning'!A9)</f>
        <v/>
      </c>
      <c r="B56" s="41">
        <f>IF('Implementation Planning'!B9="","",'Implementation Planning'!B9)</f>
        <v/>
      </c>
      <c r="C56" s="41">
        <f>IF('Implementation Planning'!C9="","",'Implementation Planning'!C9)</f>
        <v/>
      </c>
      <c r="D56" s="41">
        <f>IF('Implementation Planning'!D9="","",'Implementation Planning'!D9)</f>
        <v/>
      </c>
      <c r="E56" s="41">
        <f>IF('Implementation Planning'!E9="","",'Implementation Planning'!E9)</f>
        <v/>
      </c>
      <c r="F56" s="40">
        <f>IF('Implementation Planning'!F9="","",'Implementation Planning'!F9)</f>
        <v/>
      </c>
      <c r="G56" s="41">
        <f>IF('Implementation Planning'!G9="","",'Implementation Planning'!G9)</f>
        <v/>
      </c>
    </row>
    <row r="57">
      <c r="A57" s="39">
        <f>IF('Implementation Planning'!A10="","",'Implementation Planning'!A10)</f>
        <v/>
      </c>
      <c r="B57" s="39">
        <f>IF('Implementation Planning'!B10="","",'Implementation Planning'!B10)</f>
        <v/>
      </c>
      <c r="C57" s="39">
        <f>IF('Implementation Planning'!C10="","",'Implementation Planning'!C10)</f>
        <v/>
      </c>
      <c r="D57" s="39">
        <f>IF('Implementation Planning'!D10="","",'Implementation Planning'!D10)</f>
        <v/>
      </c>
      <c r="E57" s="39">
        <f>IF('Implementation Planning'!E10="","",'Implementation Planning'!E10)</f>
        <v/>
      </c>
      <c r="F57" s="40">
        <f>IF('Implementation Planning'!F10="","",'Implementation Planning'!F10)</f>
        <v/>
      </c>
      <c r="G57" s="39">
        <f>IF('Implementation Planning'!G10="","",'Implementation Planning'!G10)</f>
        <v/>
      </c>
    </row>
    <row r="58">
      <c r="A58" s="41">
        <f>IF('Implementation Planning'!A11="","",'Implementation Planning'!A11)</f>
        <v/>
      </c>
      <c r="B58" s="41">
        <f>IF('Implementation Planning'!B11="","",'Implementation Planning'!B11)</f>
        <v/>
      </c>
      <c r="C58" s="41">
        <f>IF('Implementation Planning'!C11="","",'Implementation Planning'!C11)</f>
        <v/>
      </c>
      <c r="D58" s="41">
        <f>IF('Implementation Planning'!D11="","",'Implementation Planning'!D11)</f>
        <v/>
      </c>
      <c r="E58" s="41">
        <f>IF('Implementation Planning'!E11="","",'Implementation Planning'!E11)</f>
        <v/>
      </c>
      <c r="F58" s="40">
        <f>IF('Implementation Planning'!F11="","",'Implementation Planning'!F11)</f>
        <v/>
      </c>
      <c r="G58" s="41">
        <f>IF('Implementation Planning'!G11="","",'Implementation Planning'!G11)</f>
        <v/>
      </c>
    </row>
    <row r="59">
      <c r="A59" s="39">
        <f>IF('Risk &amp; Constraints'!A2="","",'Risk &amp; Constraints'!A2)</f>
        <v/>
      </c>
      <c r="B59" s="39">
        <f>IF('Risk &amp; Constraints'!B2="","",'Risk &amp; Constraints'!B2)</f>
        <v/>
      </c>
      <c r="C59" s="39">
        <f>IF('Risk &amp; Constraints'!C2="","",'Risk &amp; Constraints'!C2)</f>
        <v/>
      </c>
      <c r="D59" s="39">
        <f>IF('Risk &amp; Constraints'!D2="","",'Risk &amp; Constraints'!D2)</f>
        <v/>
      </c>
      <c r="E59" s="39">
        <f>IF('Risk &amp; Constraints'!E2="","",'Risk &amp; Constraints'!E2)</f>
        <v/>
      </c>
      <c r="F59" s="40">
        <f>IF('Risk &amp; Constraints'!F2="","",'Risk &amp; Constraints'!F2)</f>
        <v/>
      </c>
      <c r="G59" s="39">
        <f>IF('Risk &amp; Constraints'!G2="","",'Risk &amp; Constraints'!G2)</f>
        <v/>
      </c>
    </row>
    <row r="60">
      <c r="A60" s="41">
        <f>IF('Risk &amp; Constraints'!A3="","",'Risk &amp; Constraints'!A3)</f>
        <v/>
      </c>
      <c r="B60" s="41">
        <f>IF('Risk &amp; Constraints'!B3="","",'Risk &amp; Constraints'!B3)</f>
        <v/>
      </c>
      <c r="C60" s="41">
        <f>IF('Risk &amp; Constraints'!C3="","",'Risk &amp; Constraints'!C3)</f>
        <v/>
      </c>
      <c r="D60" s="41">
        <f>IF('Risk &amp; Constraints'!D3="","",'Risk &amp; Constraints'!D3)</f>
        <v/>
      </c>
      <c r="E60" s="41">
        <f>IF('Risk &amp; Constraints'!E3="","",'Risk &amp; Constraints'!E3)</f>
        <v/>
      </c>
      <c r="F60" s="40">
        <f>IF('Risk &amp; Constraints'!F3="","",'Risk &amp; Constraints'!F3)</f>
        <v/>
      </c>
      <c r="G60" s="41">
        <f>IF('Risk &amp; Constraints'!G3="","",'Risk &amp; Constraints'!G3)</f>
        <v/>
      </c>
    </row>
    <row r="61">
      <c r="A61" s="39">
        <f>IF('Risk &amp; Constraints'!A4="","",'Risk &amp; Constraints'!A4)</f>
        <v/>
      </c>
      <c r="B61" s="39">
        <f>IF('Risk &amp; Constraints'!B4="","",'Risk &amp; Constraints'!B4)</f>
        <v/>
      </c>
      <c r="C61" s="39">
        <f>IF('Risk &amp; Constraints'!C4="","",'Risk &amp; Constraints'!C4)</f>
        <v/>
      </c>
      <c r="D61" s="39">
        <f>IF('Risk &amp; Constraints'!D4="","",'Risk &amp; Constraints'!D4)</f>
        <v/>
      </c>
      <c r="E61" s="39">
        <f>IF('Risk &amp; Constraints'!E4="","",'Risk &amp; Constraints'!E4)</f>
        <v/>
      </c>
      <c r="F61" s="40">
        <f>IF('Risk &amp; Constraints'!F4="","",'Risk &amp; Constraints'!F4)</f>
        <v/>
      </c>
      <c r="G61" s="39">
        <f>IF('Risk &amp; Constraints'!G4="","",'Risk &amp; Constraints'!G4)</f>
        <v/>
      </c>
    </row>
    <row r="62">
      <c r="A62" s="41">
        <f>IF('Risk &amp; Constraints'!A5="","",'Risk &amp; Constraints'!A5)</f>
        <v/>
      </c>
      <c r="B62" s="41">
        <f>IF('Risk &amp; Constraints'!B5="","",'Risk &amp; Constraints'!B5)</f>
        <v/>
      </c>
      <c r="C62" s="41">
        <f>IF('Risk &amp; Constraints'!C5="","",'Risk &amp; Constraints'!C5)</f>
        <v/>
      </c>
      <c r="D62" s="41">
        <f>IF('Risk &amp; Constraints'!D5="","",'Risk &amp; Constraints'!D5)</f>
        <v/>
      </c>
      <c r="E62" s="41">
        <f>IF('Risk &amp; Constraints'!E5="","",'Risk &amp; Constraints'!E5)</f>
        <v/>
      </c>
      <c r="F62" s="40">
        <f>IF('Risk &amp; Constraints'!F5="","",'Risk &amp; Constraints'!F5)</f>
        <v/>
      </c>
      <c r="G62" s="41">
        <f>IF('Risk &amp; Constraints'!G5="","",'Risk &amp; Constraints'!G5)</f>
        <v/>
      </c>
    </row>
    <row r="63">
      <c r="A63" s="39">
        <f>IF('Risk &amp; Constraints'!A6="","",'Risk &amp; Constraints'!A6)</f>
        <v/>
      </c>
      <c r="B63" s="39">
        <f>IF('Risk &amp; Constraints'!B6="","",'Risk &amp; Constraints'!B6)</f>
        <v/>
      </c>
      <c r="C63" s="39">
        <f>IF('Risk &amp; Constraints'!C6="","",'Risk &amp; Constraints'!C6)</f>
        <v/>
      </c>
      <c r="D63" s="39">
        <f>IF('Risk &amp; Constraints'!D6="","",'Risk &amp; Constraints'!D6)</f>
        <v/>
      </c>
      <c r="E63" s="39">
        <f>IF('Risk &amp; Constraints'!E6="","",'Risk &amp; Constraints'!E6)</f>
        <v/>
      </c>
      <c r="F63" s="40">
        <f>IF('Risk &amp; Constraints'!F6="","",'Risk &amp; Constraints'!F6)</f>
        <v/>
      </c>
      <c r="G63" s="39">
        <f>IF('Risk &amp; Constraints'!G6="","",'Risk &amp; Constraints'!G6)</f>
        <v/>
      </c>
    </row>
    <row r="64">
      <c r="A64" s="41">
        <f>IF('Risk &amp; Constraints'!A7="","",'Risk &amp; Constraints'!A7)</f>
        <v/>
      </c>
      <c r="B64" s="41">
        <f>IF('Risk &amp; Constraints'!B7="","",'Risk &amp; Constraints'!B7)</f>
        <v/>
      </c>
      <c r="C64" s="41">
        <f>IF('Risk &amp; Constraints'!C7="","",'Risk &amp; Constraints'!C7)</f>
        <v/>
      </c>
      <c r="D64" s="41">
        <f>IF('Risk &amp; Constraints'!D7="","",'Risk &amp; Constraints'!D7)</f>
        <v/>
      </c>
      <c r="E64" s="41">
        <f>IF('Risk &amp; Constraints'!E7="","",'Risk &amp; Constraints'!E7)</f>
        <v/>
      </c>
      <c r="F64" s="40">
        <f>IF('Risk &amp; Constraints'!F7="","",'Risk &amp; Constraints'!F7)</f>
        <v/>
      </c>
      <c r="G64" s="41">
        <f>IF('Risk &amp; Constraints'!G7="","",'Risk &amp; Constraints'!G7)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firewall modernization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security infrastructure project?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security challenges are driving this firewall replacement?</t>
        </is>
      </c>
      <c r="E4" s="41" t="inlineStr">
        <is>
          <t>Common challenges: Aging hardware EOL, Performance bottlenecks, Compliance gaps, High licensing costs, Limited visibility, Cloud security integration</t>
        </is>
      </c>
      <c r="F4" s="40" t="n"/>
      <c r="G4" s="41" t="inlineStr">
        <is>
          <t>Primary business driver for firewall modernization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firewall infrastructure?</t>
        </is>
      </c>
      <c r="E5" s="39" t="inlineStr">
        <is>
          <t>Describe current vendor/model, age, throughput, and limitations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Current State</t>
        </is>
      </c>
      <c r="D6" s="41" t="inlineStr">
        <is>
          <t>What security policies and rulesets are currently in place?</t>
        </is>
      </c>
      <c r="E6" s="41" t="inlineStr">
        <is>
          <t>Describe policy complexity, number of rules, and management approach</t>
        </is>
      </c>
      <c r="F6" s="40" t="n"/>
      <c r="G6" s="41" t="inlineStr">
        <is>
          <t>Policy migration complexity assessment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Objectives</t>
        </is>
      </c>
      <c r="D7" s="39" t="inlineStr">
        <is>
          <t>What are your primary goals for this firewall modernization?</t>
        </is>
      </c>
      <c r="E7" s="39" t="inlineStr">
        <is>
          <t>Common goals: Increase throughput, Enable SD-WAN, Reduce costs, Improve visibility, Simplify management, Cloud integration</t>
        </is>
      </c>
      <c r="F7" s="40" t="n"/>
      <c r="G7" s="39" t="inlineStr">
        <is>
          <t>Business objectives and expected outcomes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Success Criteria</t>
        </is>
      </c>
      <c r="D8" s="41" t="inlineStr">
        <is>
          <t>How will you measure firewall modernization success?</t>
        </is>
      </c>
      <c r="E8" s="41" t="inlineStr">
        <is>
          <t>Define KPIs: throughput improvement, cost reduction, policy deployment time, incident response time</t>
        </is>
      </c>
      <c r="F8" s="40" t="n"/>
      <c r="G8" s="41" t="inlineStr">
        <is>
          <t>Success metrics for project evaluation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Timeline</t>
        </is>
      </c>
      <c r="D9" s="39" t="inlineStr">
        <is>
          <t>What is your expected timeline for firewall deployment?</t>
        </is>
      </c>
      <c r="E9" s="39" t="inlineStr">
        <is>
          <t>Typical ranges: 0-3 months, 3-6 months, 6-12 months, 12+ months</t>
        </is>
      </c>
      <c r="F9" s="40" t="n"/>
      <c r="G9" s="39" t="inlineStr">
        <is>
          <t>Project timeline expectations and constraints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Budget</t>
        </is>
      </c>
      <c r="D10" s="41" t="inlineStr">
        <is>
          <t>What is your approved budget range for firewall infrastructure?</t>
        </is>
      </c>
      <c r="E10" s="41" t="inlineStr">
        <is>
          <t>Common ranges: $50K-100K, $100K-300K, $300K-1M, $1M+. Include hardware software and services</t>
        </is>
      </c>
      <c r="F10" s="40" t="n"/>
      <c r="G10" s="41" t="inlineStr">
        <is>
          <t>Budget constraints for solution sizing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Future Vision</t>
        </is>
      </c>
      <c r="D11" s="39" t="inlineStr">
        <is>
          <t>What is your long-term vision for network security?</t>
        </is>
      </c>
      <c r="E11" s="39" t="inlineStr">
        <is>
          <t>Consider multi-cloud security, zero trust, SASE, SD-WAN integration</t>
        </is>
      </c>
      <c r="F11" s="40" t="n"/>
      <c r="G11" s="39" t="inlineStr">
        <is>
          <t>Future roadmap and scalability planning</t>
        </is>
      </c>
    </row>
    <row r="12">
      <c r="A12" s="41" t="inlineStr">
        <is>
          <t>BUS-011</t>
        </is>
      </c>
      <c r="B12" s="41" t="inlineStr">
        <is>
          <t>Business Requirements</t>
        </is>
      </c>
      <c r="C12" s="41" t="inlineStr">
        <is>
          <t>Growth Projections</t>
        </is>
      </c>
      <c r="D12" s="41" t="inlineStr">
        <is>
          <t>How do you expect traffic volumes to change over 3 years?</t>
        </is>
      </c>
      <c r="E12" s="41" t="inlineStr">
        <is>
          <t>Provide current throughput and projected annual growth rate</t>
        </is>
      </c>
      <c r="F12" s="40" t="n"/>
      <c r="G12" s="41" t="inlineStr">
        <is>
          <t>Scalability requirements and capacity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Network Environment</t>
        </is>
      </c>
      <c r="D2" s="41" t="inlineStr">
        <is>
          <t>What is your current network topology?</t>
        </is>
      </c>
      <c r="E2" s="41" t="inlineStr">
        <is>
          <t>Describe datacenter branch cloud and WAN architecture</t>
        </is>
      </c>
      <c r="F2" s="40" t="n"/>
      <c r="G2" s="41" t="inlineStr">
        <is>
          <t>Network architecture context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Network Environment</t>
        </is>
      </c>
      <c r="D3" s="39" t="inlineStr">
        <is>
          <t>How many sites/locations need firewall protection?</t>
        </is>
      </c>
      <c r="E3" s="39" t="inlineStr">
        <is>
          <t>Count datacenter sites, branch offices, cloud environments</t>
        </is>
      </c>
      <c r="F3" s="40" t="n"/>
      <c r="G3" s="39" t="inlineStr">
        <is>
          <t>Deployment scope and complexity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Network Environment</t>
        </is>
      </c>
      <c r="D4" s="41" t="inlineStr">
        <is>
          <t>What is your current network bandwidth?</t>
        </is>
      </c>
      <c r="E4" s="41" t="inlineStr">
        <is>
          <t>Specify WAN bandwidth, datacenter bandwidth, internet circuits</t>
        </is>
      </c>
      <c r="F4" s="40" t="n"/>
      <c r="G4" s="41" t="inlineStr">
        <is>
          <t>Throughput requirements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Firewall Requirements</t>
        </is>
      </c>
      <c r="D5" s="39" t="inlineStr">
        <is>
          <t>What throughput do you require from next-gen firewalls?</t>
        </is>
      </c>
      <c r="E5" s="39" t="inlineStr">
        <is>
          <t>Specify firewall throughput, IPS throughput, SSL inspection throughput</t>
        </is>
      </c>
      <c r="F5" s="40" t="n"/>
      <c r="G5" s="39" t="inlineStr">
        <is>
          <t>Performance requirements for sizing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Firewall Requirements</t>
        </is>
      </c>
      <c r="D6" s="41" t="inlineStr">
        <is>
          <t>What security services do you need enabled?</t>
        </is>
      </c>
      <c r="E6" s="41" t="inlineStr">
        <is>
          <t>Services: IPS, Application control, SSL inspection, Content filtering, Malware detection, Sandboxing</t>
        </is>
      </c>
      <c r="F6" s="40" t="n"/>
      <c r="G6" s="41" t="inlineStr">
        <is>
          <t>Security feature requirements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Firewall Requirements</t>
        </is>
      </c>
      <c r="D7" s="39" t="inlineStr">
        <is>
          <t>Do you need advanced threat prevention capabilities?</t>
        </is>
      </c>
      <c r="E7" s="39" t="inlineStr">
        <is>
          <t>Options: SecIntel feeds, ATP Cloud, C2 blocking, Malware detection, GeoIP blocking</t>
        </is>
      </c>
      <c r="F7" s="40" t="n"/>
      <c r="G7" s="39" t="inlineStr">
        <is>
          <t>Advanced security requirements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Firewall Requirements</t>
        </is>
      </c>
      <c r="D8" s="41" t="inlineStr">
        <is>
          <t>What high availability requirements do you have?</t>
        </is>
      </c>
      <c r="E8" s="41" t="inlineStr">
        <is>
          <t>Options: Active/passive, Active/active, Cluster, Geographic redundancy</t>
        </is>
      </c>
      <c r="F8" s="40" t="n"/>
      <c r="G8" s="41" t="inlineStr">
        <is>
          <t>HA architecture and failover requirements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Network Integration</t>
        </is>
      </c>
      <c r="D9" s="39" t="inlineStr">
        <is>
          <t>Do you require SD-WAN capabilities?</t>
        </is>
      </c>
      <c r="E9" s="39" t="inlineStr">
        <is>
          <t>Specify: Branch connectivity, Application-based routing, Path selection, WAN optimization</t>
        </is>
      </c>
      <c r="F9" s="40" t="n"/>
      <c r="G9" s="39" t="inlineStr">
        <is>
          <t>SD-WAN integration requirements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Network Integration</t>
        </is>
      </c>
      <c r="D10" s="41" t="inlineStr">
        <is>
          <t>What routing protocols are required?</t>
        </is>
      </c>
      <c r="E10" s="41" t="inlineStr">
        <is>
          <t>Common protocols: BGP, OSPF, Static routes, Policy-based routing</t>
        </is>
      </c>
      <c r="F10" s="40" t="n"/>
      <c r="G10" s="41" t="inlineStr">
        <is>
          <t>Routing integration requirements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Network Integration</t>
        </is>
      </c>
      <c r="D11" s="39" t="inlineStr">
        <is>
          <t>Do you need VPN connectivity?</t>
        </is>
      </c>
      <c r="E11" s="39" t="inlineStr">
        <is>
          <t>Types: Site-to-site IPsec, Remote access SSL VPN, Cloud VPN (AWS Azure GCP)</t>
        </is>
      </c>
      <c r="F11" s="40" t="n"/>
      <c r="G11" s="39" t="inlineStr">
        <is>
          <t>VPN requirements and remote access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Cloud Integration</t>
        </is>
      </c>
      <c r="D12" s="41" t="inlineStr">
        <is>
          <t>What cloud environments need firewall integration?</t>
        </is>
      </c>
      <c r="E12" s="41" t="inlineStr">
        <is>
          <t>Cloud platforms: AWS, Azure, GCP, Oracle Cloud, None</t>
        </is>
      </c>
      <c r="F12" s="40" t="n"/>
      <c r="G12" s="41" t="inlineStr">
        <is>
          <t>Multi-cloud security requirements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Cloud Integration</t>
        </is>
      </c>
      <c r="D13" s="39" t="inlineStr">
        <is>
          <t>Do you need cloud-specific security features?</t>
        </is>
      </c>
      <c r="E13" s="39" t="inlineStr">
        <is>
          <t>Features: Cloud VPN, Cloud routing, Multi-cloud policies, Cloud visibility</t>
        </is>
      </c>
      <c r="F13" s="40" t="n"/>
      <c r="G13" s="39" t="inlineStr">
        <is>
          <t>Cloud security integration needs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Management</t>
        </is>
      </c>
      <c r="D14" s="41" t="inlineStr">
        <is>
          <t>How many firewalls will need centralized management?</t>
        </is>
      </c>
      <c r="E14" s="41" t="inlineStr">
        <is>
          <t>Count all SRX devices requiring policy management</t>
        </is>
      </c>
      <c r="F14" s="40" t="n"/>
      <c r="G14" s="41" t="inlineStr">
        <is>
          <t>Management scope and complexity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Management</t>
        </is>
      </c>
      <c r="D15" s="39" t="inlineStr">
        <is>
          <t>Do you need centralized policy management?</t>
        </is>
      </c>
      <c r="E15" s="39" t="inlineStr">
        <is>
          <t>Options: Junos Space Security Director, JSA, Mist WAN Assurance, CLI only</t>
        </is>
      </c>
      <c r="F15" s="40" t="n"/>
      <c r="G15" s="39" t="inlineStr">
        <is>
          <t>Management platform requirements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Management</t>
        </is>
      </c>
      <c r="D16" s="41" t="inlineStr">
        <is>
          <t>What automation capabilities do you require?</t>
        </is>
      </c>
      <c r="E16" s="41" t="inlineStr">
        <is>
          <t>Common needs: API integration, Configuration automation, Policy deployment, Change management</t>
        </is>
      </c>
      <c r="F16" s="40" t="n"/>
      <c r="G16" s="41" t="inlineStr">
        <is>
          <t>Automation and orchestration requirements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Integration</t>
        </is>
      </c>
      <c r="D17" s="39" t="inlineStr">
        <is>
          <t>What security tools need firewall integration?</t>
        </is>
      </c>
      <c r="E17" s="39" t="inlineStr">
        <is>
          <t>Common integrations: SIEM, NAC, Threat intelligence, Log management, SOC tools</t>
        </is>
      </c>
      <c r="F17" s="40" t="n"/>
      <c r="G17" s="39" t="inlineStr">
        <is>
          <t>Security ecosystem integration</t>
        </is>
      </c>
    </row>
    <row r="18">
      <c r="A18" s="41" t="inlineStr">
        <is>
          <t>TECH-017</t>
        </is>
      </c>
      <c r="B18" s="41" t="inlineStr">
        <is>
          <t>Technical Requirements</t>
        </is>
      </c>
      <c r="C18" s="41" t="inlineStr">
        <is>
          <t>Integration</t>
        </is>
      </c>
      <c r="D18" s="41" t="inlineStr">
        <is>
          <t>Do you use network monitoring tools?</t>
        </is>
      </c>
      <c r="E18" s="41" t="inlineStr">
        <is>
          <t>Tools: SolarWinds, PRTG, NetFlow collectors, SNMP management, APM tools</t>
        </is>
      </c>
      <c r="F18" s="40" t="n"/>
      <c r="G18" s="41" t="inlineStr">
        <is>
          <t>Monitoring and visibility requirements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Security Policies</t>
        </is>
      </c>
      <c r="D2" s="41" t="inlineStr">
        <is>
          <t>How many firewall policies/rules do you currently manage?</t>
        </is>
      </c>
      <c r="E2" s="41" t="inlineStr">
        <is>
          <t>Typical ranges: 1-100, 101-500, 501-1000, 1000+</t>
        </is>
      </c>
      <c r="F2" s="40" t="n"/>
      <c r="G2" s="41" t="inlineStr">
        <is>
          <t>Policy complexity assessment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Security Policies</t>
        </is>
      </c>
      <c r="D3" s="39" t="inlineStr">
        <is>
          <t>How often do security policies change?</t>
        </is>
      </c>
      <c r="E3" s="39" t="inlineStr">
        <is>
          <t>Options: Daily, Weekly, Monthly, Quarterly, Annually</t>
        </is>
      </c>
      <c r="F3" s="40" t="n"/>
      <c r="G3" s="39" t="inlineStr">
        <is>
          <t>Change management and automation needs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Compliance Standards</t>
        </is>
      </c>
      <c r="D4" s="41" t="inlineStr">
        <is>
          <t>What compliance frameworks must the firewall support?</t>
        </is>
      </c>
      <c r="E4" s="41" t="inlineStr">
        <is>
          <t>Common standards: PCI DSS, HIPAA, SOC 2, ISO 27001, NIST, FedRAMP</t>
        </is>
      </c>
      <c r="F4" s="40" t="n"/>
      <c r="G4" s="41" t="inlineStr">
        <is>
          <t>Compliance controls and audit requirements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Compliance Standards</t>
        </is>
      </c>
      <c r="D5" s="39" t="inlineStr">
        <is>
          <t>Do you require specific security certifications?</t>
        </is>
      </c>
      <c r="E5" s="39" t="inlineStr">
        <is>
          <t>Certifications: Common Criteria, FIPS 140-2, IPv6 Ready, ICSA, USGv6</t>
        </is>
      </c>
      <c r="F5" s="40" t="n"/>
      <c r="G5" s="39" t="inlineStr">
        <is>
          <t>Certification requirements for procurement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Logging</t>
        </is>
      </c>
      <c r="D6" s="41" t="inlineStr">
        <is>
          <t>What logging and audit requirements do you have?</t>
        </is>
      </c>
      <c r="E6" s="41" t="inlineStr">
        <is>
          <t>Requirements: Syslog, SIEM integration, Session logs, Policy logs, Threat logs</t>
        </is>
      </c>
      <c r="F6" s="40" t="n"/>
      <c r="G6" s="41" t="inlineStr">
        <is>
          <t>Log management and compliance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Threat Detection</t>
        </is>
      </c>
      <c r="D7" s="39" t="inlineStr">
        <is>
          <t>What threat detection capabilities do you need?</t>
        </is>
      </c>
      <c r="E7" s="39" t="inlineStr">
        <is>
          <t>Capabilities: IPS signatures, Malware detection, Botnet detection, C2 blocking, Zero-day protection</t>
        </is>
      </c>
      <c r="F7" s="40" t="n"/>
      <c r="G7" s="39" t="inlineStr">
        <is>
          <t>Threat prevention requirements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Data Protection</t>
        </is>
      </c>
      <c r="D8" s="41" t="inlineStr">
        <is>
          <t>Do you require SSL/TLS inspection?</t>
        </is>
      </c>
      <c r="E8" s="41" t="inlineStr">
        <is>
          <t>Specify: Inbound SSL, Outbound SSL, Certificate management, Performance impact</t>
        </is>
      </c>
      <c r="F8" s="40" t="n"/>
      <c r="G8" s="41" t="inlineStr">
        <is>
          <t>SSL inspection scope and requirements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Network Segmentation</t>
        </is>
      </c>
      <c r="D9" s="39" t="inlineStr">
        <is>
          <t>What network segmentation do you require?</t>
        </is>
      </c>
      <c r="E9" s="39" t="inlineStr">
        <is>
          <t>Describe security zones, DMZ, trust/untrust, internal segments</t>
        </is>
      </c>
      <c r="F9" s="40" t="n"/>
      <c r="G9" s="39" t="inlineStr">
        <is>
          <t>Zone architecture and segmentation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Availability</t>
        </is>
      </c>
      <c r="D2" s="41" t="inlineStr">
        <is>
          <t>What uptime requirements do you have for firewall services?</t>
        </is>
      </c>
      <c r="E2" s="41" t="inlineStr">
        <is>
          <t>Common targets: 99%, 99.5%, 99.9%, 99.95%, 99.99%</t>
        </is>
      </c>
      <c r="F2" s="40" t="n"/>
      <c r="G2" s="41" t="inlineStr">
        <is>
          <t>SLA requirements drive HA architecture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RTO/RPO</t>
        </is>
      </c>
      <c r="D3" s="39" t="inlineStr">
        <is>
          <t>What are your Recovery Time Objective (RTO) and Recovery Point Objective (RPO)?</t>
        </is>
      </c>
      <c r="E3" s="39" t="inlineStr">
        <is>
          <t>RTO: Maximum acceptable downtime, RPO: Maximum acceptable data loss</t>
        </is>
      </c>
      <c r="F3" s="40" t="n"/>
      <c r="G3" s="39" t="inlineStr">
        <is>
          <t>Disaster recovery architecture requirements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Support Coverage</t>
        </is>
      </c>
      <c r="D4" s="41" t="inlineStr">
        <is>
          <t>What support coverage do you require?</t>
        </is>
      </c>
      <c r="E4" s="41" t="inlineStr">
        <is>
          <t>Options: Business hours (8x5), Extended (24x5), Full JTAC (24x7)</t>
        </is>
      </c>
      <c r="F4" s="40" t="n"/>
      <c r="G4" s="41" t="inlineStr">
        <is>
          <t>Support staffing and cost planning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Monitoring</t>
        </is>
      </c>
      <c r="D5" s="39" t="inlineStr">
        <is>
          <t>What monitoring and alerting is required?</t>
        </is>
      </c>
      <c r="E5" s="39" t="inlineStr">
        <is>
          <t>Requirements: Performance metrics, Security events, Bandwidth utilization, Health monitoring</t>
        </is>
      </c>
      <c r="F5" s="40" t="n"/>
      <c r="G5" s="39" t="inlineStr">
        <is>
          <t>Operational visibility and incident response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Maintenance</t>
        </is>
      </c>
      <c r="D6" s="41" t="inlineStr">
        <is>
          <t>What is your maintenance window for firewall changes?</t>
        </is>
      </c>
      <c r="E6" s="41" t="inlineStr">
        <is>
          <t>Specify allowed maintenance windows and change approval process</t>
        </is>
      </c>
      <c r="F6" s="40" t="n"/>
      <c r="G6" s="41" t="inlineStr">
        <is>
          <t>Change management procedures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Documentation</t>
        </is>
      </c>
      <c r="D7" s="39" t="inlineStr">
        <is>
          <t>What documentation do you require?</t>
        </is>
      </c>
      <c r="E7" s="39" t="inlineStr">
        <is>
          <t>Types: As-built diagrams, Configuration guides, Runbooks, Security policies, Disaster recovery procedures</t>
        </is>
      </c>
      <c r="F7" s="40" t="n"/>
      <c r="G7" s="39" t="inlineStr">
        <is>
          <t>Documentation deliverables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Training</t>
        </is>
      </c>
      <c r="D8" s="41" t="inlineStr">
        <is>
          <t>What training will be needed for firewall administrators?</t>
        </is>
      </c>
      <c r="E8" s="41" t="inlineStr">
        <is>
          <t>Types: SRX administration, Junos OS, Security Director, Troubleshooting, Best practices</t>
        </is>
      </c>
      <c r="F8" s="40" t="n"/>
      <c r="G8" s="41" t="inlineStr">
        <is>
          <t>Knowledge transfer scope and timeline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Backup</t>
        </is>
      </c>
      <c r="D9" s="39" t="inlineStr">
        <is>
          <t>What backup and configuration management procedures are required?</t>
        </is>
      </c>
      <c r="E9" s="39" t="inlineStr">
        <is>
          <t>Specify backup frequency, retention period, and recovery procedures</t>
        </is>
      </c>
      <c r="F9" s="40" t="n"/>
      <c r="G9" s="39" t="inlineStr">
        <is>
          <t>Backup strategy and configuration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technical lead for this firewall project?</t>
        </is>
      </c>
      <c r="E2" s="41" t="inlineStr">
        <is>
          <t>Name, role, contact information</t>
        </is>
      </c>
      <c r="F2" s="40" t="n"/>
      <c r="G2" s="41" t="inlineStr">
        <is>
          <t>Technical ownership and project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firewall implementation?</t>
        </is>
      </c>
      <c r="E3" s="39" t="inlineStr">
        <is>
          <t>List team members, roles, and time commitment (hours per week)</t>
        </is>
      </c>
      <c r="F3" s="40" t="n"/>
      <c r="G3" s="39" t="inlineStr">
        <is>
          <t>Resource planning and project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Juniper Experience</t>
        </is>
      </c>
      <c r="D4" s="41" t="inlineStr">
        <is>
          <t>What is your team's experience with Juniper firewalls?</t>
        </is>
      </c>
      <c r="E4" s="41" t="inlineStr">
        <is>
          <t>Experience levels: No experience, Basic knowledge, Intermediate, Advanced, Expert</t>
        </is>
      </c>
      <c r="F4" s="40" t="n"/>
      <c r="G4" s="41" t="inlineStr">
        <is>
          <t>Training needs assessment and knowledge transfer requirements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Migration Approach</t>
        </is>
      </c>
      <c r="D5" s="39" t="inlineStr">
        <is>
          <t>What is your preferred migration approach?</t>
        </is>
      </c>
      <c r="E5" s="39" t="inlineStr">
        <is>
          <t>Options: Phased by site, Pilot then rollout, Big bang cutover, Parallel run</t>
        </is>
      </c>
      <c r="F5" s="40" t="n"/>
      <c r="G5" s="39" t="inlineStr">
        <is>
          <t>Implementation strategy and risk mitigation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Parallel Run</t>
        </is>
      </c>
      <c r="D6" s="41" t="inlineStr">
        <is>
          <t>Do you require a parallel run period with existing firewalls?</t>
        </is>
      </c>
      <c r="E6" s="41" t="inlineStr">
        <is>
          <t>Specify duration if needed (e.g., 1 month, 3 months)</t>
        </is>
      </c>
      <c r="F6" s="40" t="n"/>
      <c r="G6" s="41" t="inlineStr">
        <is>
          <t>Implementation timeline and validation approach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Cutover Strategy</t>
        </is>
      </c>
      <c r="D7" s="39" t="inlineStr">
        <is>
          <t>What is your preferred cutover strategy?</t>
        </is>
      </c>
      <c r="E7" s="39" t="inlineStr">
        <is>
          <t>Options: Off-hours cutover, Maintenance window, Phased traffic migration, Blue/green deployment</t>
        </is>
      </c>
      <c r="F7" s="40" t="n"/>
      <c r="G7" s="39" t="inlineStr">
        <is>
          <t>Cutover planning and business continuity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Testing Requirements</t>
        </is>
      </c>
      <c r="D8" s="41" t="inlineStr">
        <is>
          <t>What testing approach do you require?</t>
        </is>
      </c>
      <c r="E8" s="41" t="inlineStr">
        <is>
          <t>Types: Lab validation, Pilot deployment, Production testing, Load testing, Failover testing</t>
        </is>
      </c>
      <c r="F8" s="40" t="n"/>
      <c r="G8" s="41" t="inlineStr">
        <is>
          <t>Testing and validation requirements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Acceptance Criteria</t>
        </is>
      </c>
      <c r="D9" s="39" t="inlineStr">
        <is>
          <t>What are the acceptance criteria for go-live?</t>
        </is>
      </c>
      <c r="E9" s="39" t="inlineStr">
        <is>
          <t>Define: Performance benchmarks, Security validation, HA testing, Integration validation</t>
        </is>
      </c>
      <c r="F9" s="40" t="n"/>
      <c r="G9" s="39" t="inlineStr">
        <is>
          <t>Project acceptance and sign-off criteria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Policy Migration</t>
        </is>
      </c>
      <c r="D10" s="41" t="inlineStr">
        <is>
          <t>How will existing firewall policies be migrated?</t>
        </is>
      </c>
      <c r="E10" s="41" t="inlineStr">
        <is>
          <t>Options: Manual recreation, Automated migration tools, Hybrid approach, Policy optimization</t>
        </is>
      </c>
      <c r="F10" s="40" t="n"/>
      <c r="G10" s="41" t="inlineStr">
        <is>
          <t>Policy migration strategy and complexity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Vendor Requirements</t>
        </is>
      </c>
      <c r="D11" s="39" t="inlineStr">
        <is>
          <t>What Juniper implementation experience do you expect from partners?</t>
        </is>
      </c>
      <c r="E11" s="39" t="inlineStr">
        <is>
          <t>Specify certifications (JNCIA-SEC JNCIS-SEC JNCIP-SEC), past projects, expertise</t>
        </is>
      </c>
      <c r="F11" s="40" t="n"/>
      <c r="G11" s="39" t="inlineStr">
        <is>
          <t>Partner selection criteria and requirements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Implementation Risks</t>
        </is>
      </c>
      <c r="D2" s="41" t="inlineStr">
        <is>
          <t>What are your main concerns about firewall migration?</t>
        </is>
      </c>
      <c r="E2" s="41" t="inlineStr">
        <is>
          <t>Consider: Downtime risk, Security gaps, Performance issues, Policy errors, Budget overruns</t>
        </is>
      </c>
      <c r="F2" s="40" t="n"/>
      <c r="G2" s="41" t="inlineStr">
        <is>
          <t>Primary implementation concerns and risk factors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Failure Factors</t>
        </is>
      </c>
      <c r="D3" s="39" t="inlineStr">
        <is>
          <t>What could cause this firewall project to fail?</t>
        </is>
      </c>
      <c r="E3" s="39" t="inlineStr">
        <is>
          <t>Consider: Inadequate testing, Resource constraints, Policy complexity, Integration issues, Timeline pressure</t>
        </is>
      </c>
      <c r="F3" s="40" t="n"/>
      <c r="G3" s="39" t="inlineStr">
        <is>
          <t>Failure mode analysis and mitigation planning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Business Impact</t>
        </is>
      </c>
      <c r="D4" s="41" t="inlineStr">
        <is>
          <t>What is the business impact of firewall downtime?</t>
        </is>
      </c>
      <c r="E4" s="41" t="inlineStr">
        <is>
          <t>Consider: Revenue loss, Productivity impact, Customer impact, Compliance violations</t>
        </is>
      </c>
      <c r="F4" s="40" t="n"/>
      <c r="G4" s="41" t="inlineStr">
        <is>
          <t>Business continuity and risk assessment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Technical Risks</t>
        </is>
      </c>
      <c r="D5" s="39" t="inlineStr">
        <is>
          <t>What technical risks worry you most about firewall migration?</t>
        </is>
      </c>
      <c r="E5" s="39" t="inlineStr">
        <is>
          <t>Consider: Compatibility issues, Performance degradation, Security gaps, Configuration errors</t>
        </is>
      </c>
      <c r="F5" s="40" t="n"/>
      <c r="G5" s="39" t="inlineStr">
        <is>
          <t>Technical risk factors and mitigation strategies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Dependencies</t>
        </is>
      </c>
      <c r="D6" s="41" t="inlineStr">
        <is>
          <t>What external dependencies exist for this project?</t>
        </is>
      </c>
      <c r="E6" s="41" t="inlineStr">
        <is>
          <t>Examples: Network upgrades, Third-party approvals, Vendor coordination, Security audits</t>
        </is>
      </c>
      <c r="F6" s="40" t="n"/>
      <c r="G6" s="41" t="inlineStr">
        <is>
          <t>Project dependencies and critical path items</t>
        </is>
      </c>
    </row>
    <row r="7">
      <c r="A7" s="39" t="inlineStr">
        <is>
          <t>RISK-006</t>
        </is>
      </c>
      <c r="B7" s="39" t="inlineStr">
        <is>
          <t>Risk &amp; Constraints</t>
        </is>
      </c>
      <c r="C7" s="39" t="inlineStr">
        <is>
          <t>Constraints</t>
        </is>
      </c>
      <c r="D7" s="39" t="inlineStr">
        <is>
          <t>What constraints must the solution work within?</t>
        </is>
      </c>
      <c r="E7" s="39" t="inlineStr">
        <is>
          <t>Consider: Budget limits, Timeline, Technology standards, Compliance, Change control processes</t>
        </is>
      </c>
      <c r="F7" s="40" t="n"/>
      <c r="G7" s="39" t="inlineStr">
        <is>
          <t>Solution design boundaries and constraints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2025-11-25T01:52:34Z</dcterms:modified>
  <cp:lastModifiedBy>Kishan Siram</cp:lastModifiedBy>
</cp:coreProperties>
</file>