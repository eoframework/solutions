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 Assumptions" sheetId="2" state="visible" r:id="rId2"/>
    <sheet xmlns:r="http://schemas.openxmlformats.org/officeDocument/2006/relationships" name="Estimate Settings" sheetId="3" state="visible" r:id="rId3"/>
    <sheet xmlns:r="http://schemas.openxmlformats.org/officeDocument/2006/relationships" name="LOE" sheetId="4" state="visible" r:id="rId4"/>
    <sheet xmlns:r="http://schemas.openxmlformats.org/officeDocument/2006/relationships" name="Credits" sheetId="5" state="visible" r:id="rId5"/>
  </sheets>
  <definedNames>
    <definedName name="_xlnm._FilterDatabase" localSheetId="1" hidden="1">'Scope Assumptions'!$A$2:$H$20</definedName>
    <definedName name="_xlnm._FilterDatabase" localSheetId="2" hidden="1">'Estimate Settings'!$A$2:$E$11</definedName>
    <definedName name="_xlnm._FilterDatabase" localSheetId="3" hidden="1">'LOE'!$A$2:$K$36</definedName>
    <definedName name="_xlnm._FilterDatabase" localSheetId="4" hidden="1">'Credits'!$A$2:$C$5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"/>
    <numFmt numFmtId="166" formatCode="$#,##0"/>
  </numFmts>
  <fonts count="21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00FF0000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15" fillId="11" borderId="5" applyAlignment="1" pivotButton="0" quotePrefix="0" xfId="0">
      <alignment horizontal="left" vertical="center" wrapText="1" indent="1"/>
    </xf>
    <xf numFmtId="0" fontId="2" fillId="11" borderId="5" applyAlignment="1" pivotButton="0" quotePrefix="0" xfId="0">
      <alignment horizontal="left" vertical="center" wrapText="1" indent="1"/>
    </xf>
    <xf numFmtId="165" fontId="2" fillId="4" borderId="5" applyAlignment="1" pivotButton="0" quotePrefix="0" xfId="0">
      <alignment horizontal="center" vertical="center" wrapText="1"/>
    </xf>
    <xf numFmtId="165" fontId="2" fillId="11" borderId="5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/>
    </xf>
    <xf numFmtId="0" fontId="19" fillId="4" borderId="5" applyAlignment="1" pivotButton="0" quotePrefix="0" xfId="0">
      <alignment horizontal="left" vertical="center" wrapText="1" indent="1"/>
    </xf>
    <xf numFmtId="0" fontId="18" fillId="4" borderId="5" applyAlignment="1" pivotButton="0" quotePrefix="0" xfId="0">
      <alignment horizontal="left" vertical="center" wrapText="1" indent="1"/>
    </xf>
    <xf numFmtId="3" fontId="18" fillId="4" borderId="5" applyAlignment="1" pivotButton="0" quotePrefix="0" xfId="0">
      <alignment horizontal="right" vertical="center" wrapText="1"/>
    </xf>
    <xf numFmtId="0" fontId="18" fillId="4" borderId="5" applyAlignment="1" pivotButton="0" quotePrefix="0" xfId="0">
      <alignment horizontal="center" vertical="center" wrapText="1"/>
    </xf>
    <xf numFmtId="0" fontId="18" fillId="4" borderId="5" applyAlignment="1" pivotButton="0" quotePrefix="0" xfId="0">
      <alignment horizontal="right" vertical="center" wrapText="1"/>
    </xf>
    <xf numFmtId="166" fontId="18" fillId="4" borderId="5" applyAlignment="1" pivotButton="0" quotePrefix="0" xfId="0">
      <alignment horizontal="right" vertical="center" wrapText="1"/>
    </xf>
    <xf numFmtId="0" fontId="19" fillId="11" borderId="5" applyAlignment="1" pivotButton="0" quotePrefix="0" xfId="0">
      <alignment horizontal="left" vertical="center" wrapText="1" indent="1"/>
    </xf>
    <xf numFmtId="0" fontId="18" fillId="11" borderId="5" applyAlignment="1" pivotButton="0" quotePrefix="0" xfId="0">
      <alignment horizontal="left" vertical="center" wrapText="1" indent="1"/>
    </xf>
    <xf numFmtId="3" fontId="18" fillId="11" borderId="5" applyAlignment="1" pivotButton="0" quotePrefix="0" xfId="0">
      <alignment horizontal="right" vertical="center" wrapText="1"/>
    </xf>
    <xf numFmtId="0" fontId="18" fillId="11" borderId="5" applyAlignment="1" pivotButton="0" quotePrefix="0" xfId="0">
      <alignment horizontal="center" vertical="center" wrapText="1"/>
    </xf>
    <xf numFmtId="0" fontId="18" fillId="11" borderId="5" applyAlignment="1" pivotButton="0" quotePrefix="0" xfId="0">
      <alignment horizontal="right" vertical="center" wrapText="1"/>
    </xf>
    <xf numFmtId="166" fontId="18" fillId="11" borderId="5" applyAlignment="1" pivotButton="0" quotePrefix="0" xfId="0">
      <alignment horizontal="right" vertical="center" wrapText="1"/>
    </xf>
    <xf numFmtId="0" fontId="20" fillId="5" borderId="5" applyAlignment="1" pivotButton="0" quotePrefix="0" xfId="0">
      <alignment horizontal="left" vertical="center" wrapText="1"/>
    </xf>
    <xf numFmtId="0" fontId="20" fillId="5" borderId="5" applyAlignment="1" pivotButton="0" quotePrefix="0" xfId="0">
      <alignment horizontal="right" vertical="center" wrapText="1"/>
    </xf>
    <xf numFmtId="166" fontId="2" fillId="4" borderId="5" applyAlignment="1" pivotButton="0" quotePrefix="0" xfId="0">
      <alignment horizontal="right" vertical="center" wrapText="1"/>
    </xf>
    <xf numFmtId="166" fontId="2" fillId="11" borderId="5" applyAlignment="1" pivotButton="0" quotePrefix="0" xfId="0">
      <alignment horizontal="right" vertical="center" wrapText="1"/>
    </xf>
    <xf numFmtId="0" fontId="5" fillId="5" borderId="5" applyAlignment="1" pivotButton="0" quotePrefix="0" xfId="0">
      <alignment horizontal="left" vertical="center" wrapText="1"/>
    </xf>
    <xf numFmtId="166" fontId="5" fillId="5" borderId="5" applyAlignment="1" pivotButton="0" quotePrefix="0" xfId="0">
      <alignment horizontal="right" vertical="center" wrapText="1"/>
    </xf>
    <xf numFmtId="0" fontId="5" fillId="5" borderId="5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Level of Effort</t>
        </is>
      </c>
    </row>
    <row r="5" ht="30" customHeight="1">
      <c r="A5" t="inlineStr">
        <is>
          <t>MICROSOFT - Modern-Workspace - M365 Deployment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[Solution Name]</t>
        </is>
      </c>
    </row>
    <row r="8" ht="18" customHeight="1">
      <c r="B8" s="2" t="inlineStr">
        <is>
          <t>Customer:</t>
        </is>
      </c>
      <c r="C8" s="3" t="inlineStr">
        <is>
          <t>[Customer Name]</t>
        </is>
      </c>
    </row>
    <row r="9" ht="18" customHeight="1">
      <c r="B9" s="2" t="inlineStr">
        <is>
          <t>Version:</t>
        </is>
      </c>
      <c r="C9" s="3" t="inlineStr">
        <is>
          <t>1.0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3" customWidth="1" min="3" max="3"/>
    <col width="32" customWidth="1" min="4" max="4"/>
    <col width="32" customWidth="1" min="5" max="5"/>
    <col width="39" customWidth="1" min="6" max="6"/>
    <col width="44" customWidth="1" min="7" max="7"/>
  </cols>
  <sheetData>
    <row r="1" ht="32" customHeight="1">
      <c r="A1" s="35" t="inlineStr">
        <is>
          <t>SCOPE ASSUMPTIONS - BASELINE (MULTIPLIER 1.0)</t>
        </is>
      </c>
    </row>
    <row r="2" ht="32" customHeight="1">
      <c r="A2" s="36" t="inlineStr">
        <is>
          <t>Category</t>
        </is>
      </c>
      <c r="B2" s="36" t="inlineStr">
        <is>
          <t>Baseline Assumption</t>
        </is>
      </c>
      <c r="C2" s="36" t="inlineStr">
        <is>
          <t>Current Scope</t>
        </is>
      </c>
      <c r="D2" s="36" t="inlineStr">
        <is>
          <t>Small (1x)</t>
        </is>
      </c>
      <c r="E2" s="36" t="inlineStr">
        <is>
          <t>Medium (2x)</t>
        </is>
      </c>
      <c r="F2" s="36" t="inlineStr">
        <is>
          <t>Large (3x)</t>
        </is>
      </c>
      <c r="G2" s="36" t="inlineStr">
        <is>
          <t>Notes</t>
        </is>
      </c>
      <c r="H2" s="36" t="inlineStr"/>
    </row>
    <row r="3" ht="26" customHeight="1">
      <c r="A3" s="37" t="inlineStr">
        <is>
          <t>User Base</t>
        </is>
      </c>
      <c r="B3" s="38" t="inlineStr">
        <is>
          <t>Total Users</t>
        </is>
      </c>
      <c r="C3" s="39" t="inlineStr">
        <is>
          <t>500 M365 E5 users</t>
        </is>
      </c>
      <c r="D3" s="38" t="inlineStr">
        <is>
          <t>500 users</t>
        </is>
      </c>
      <c r="E3" s="38" t="inlineStr">
        <is>
          <t>1000-2000 users</t>
        </is>
      </c>
      <c r="F3" s="38" t="inlineStr">
        <is>
          <t>3000+ users</t>
        </is>
      </c>
      <c r="G3" s="38" t="inlineStr">
        <is>
          <t>Users requiring Microsoft 365 E5 licenses</t>
        </is>
      </c>
      <c r="H3" s="38" t="inlineStr"/>
    </row>
    <row r="4" ht="26" customHeight="1">
      <c r="A4" s="40" t="inlineStr">
        <is>
          <t>User Base</t>
        </is>
      </c>
      <c r="B4" s="41" t="inlineStr">
        <is>
          <t>User Roles</t>
        </is>
      </c>
      <c r="C4" s="39" t="inlineStr">
        <is>
          <t>5 roles (employee manager admin executive guest)</t>
        </is>
      </c>
      <c r="D4" s="41" t="inlineStr">
        <is>
          <t>2-3 standard roles</t>
        </is>
      </c>
      <c r="E4" s="41" t="inlineStr">
        <is>
          <t>4-6 roles</t>
        </is>
      </c>
      <c r="F4" s="41" t="inlineStr">
        <is>
          <t>8+ roles with complex permissions</t>
        </is>
      </c>
      <c r="G4" s="41" t="inlineStr">
        <is>
          <t>Employee manager admin executive guest roles</t>
        </is>
      </c>
      <c r="H4" s="41" t="inlineStr"/>
    </row>
    <row r="5" ht="26" customHeight="1">
      <c r="A5" s="37" t="inlineStr">
        <is>
          <t>M365 Services</t>
        </is>
      </c>
      <c r="B5" s="38" t="inlineStr">
        <is>
          <t>M365 Services</t>
        </is>
      </c>
      <c r="C5" s="39" t="inlineStr">
        <is>
          <t>Exchange SharePoint Teams OneDrive</t>
        </is>
      </c>
      <c r="D5" s="38" t="inlineStr">
        <is>
          <t>Core services</t>
        </is>
      </c>
      <c r="E5" s="38" t="inlineStr">
        <is>
          <t>Core + advanced</t>
        </is>
      </c>
      <c r="F5" s="38" t="inlineStr">
        <is>
          <t>Full suite + custom</t>
        </is>
      </c>
      <c r="G5" s="38" t="inlineStr">
        <is>
          <t>Microsoft 365 services and features enabled</t>
        </is>
      </c>
      <c r="H5" s="38" t="inlineStr"/>
    </row>
    <row r="6" ht="26" customHeight="1">
      <c r="A6" s="40" t="inlineStr">
        <is>
          <t>M365 Services</t>
        </is>
      </c>
      <c r="B6" s="41" t="inlineStr">
        <is>
          <t>M365 License</t>
        </is>
      </c>
      <c r="C6" s="39" t="inlineStr">
        <is>
          <t>E5 (security compliance productivity)</t>
        </is>
      </c>
      <c r="D6" s="41" t="inlineStr">
        <is>
          <t>E5 basic</t>
        </is>
      </c>
      <c r="E6" s="41" t="inlineStr">
        <is>
          <t>E5 advanced</t>
        </is>
      </c>
      <c r="F6" s="41" t="inlineStr">
        <is>
          <t>E5 + add-ons</t>
        </is>
      </c>
      <c r="G6" s="41" t="inlineStr">
        <is>
          <t>Microsoft 365 licensing tier and features</t>
        </is>
      </c>
      <c r="H6" s="41" t="inlineStr"/>
    </row>
    <row r="7" ht="26" customHeight="1">
      <c r="A7" s="37" t="inlineStr">
        <is>
          <t>M365 Services</t>
        </is>
      </c>
      <c r="B7" s="38" t="inlineStr">
        <is>
          <t>Email Migration Volume</t>
        </is>
      </c>
      <c r="C7" s="39" t="inlineStr">
        <is>
          <t>250 GB total mailbox data</t>
        </is>
      </c>
      <c r="D7" s="38" t="inlineStr">
        <is>
          <t>250 GB</t>
        </is>
      </c>
      <c r="E7" s="38" t="inlineStr">
        <is>
          <t>1 TB</t>
        </is>
      </c>
      <c r="F7" s="38" t="inlineStr">
        <is>
          <t>5+ TB</t>
        </is>
      </c>
      <c r="G7" s="38" t="inlineStr">
        <is>
          <t>Email migration from on-premises Exchange</t>
        </is>
      </c>
      <c r="H7" s="38" t="inlineStr"/>
    </row>
    <row r="8" ht="26" customHeight="1">
      <c r="A8" s="40" t="inlineStr">
        <is>
          <t>M365 Services</t>
        </is>
      </c>
      <c r="B8" s="41" t="inlineStr">
        <is>
          <t>File Migration Volume</t>
        </is>
      </c>
      <c r="C8" s="39" t="inlineStr">
        <is>
          <t>5 TB SharePoint and OneDrive</t>
        </is>
      </c>
      <c r="D8" s="41" t="inlineStr">
        <is>
          <t>5 TB</t>
        </is>
      </c>
      <c r="E8" s="41" t="inlineStr">
        <is>
          <t>20 TB</t>
        </is>
      </c>
      <c r="F8" s="41" t="inlineStr">
        <is>
          <t>100+ TB</t>
        </is>
      </c>
      <c r="G8" s="41" t="inlineStr">
        <is>
          <t>File migration from on-premises file servers</t>
        </is>
      </c>
      <c r="H8" s="41" t="inlineStr"/>
    </row>
    <row r="9" ht="26" customHeight="1">
      <c r="A9" s="37" t="inlineStr">
        <is>
          <t>M365 Services</t>
        </is>
      </c>
      <c r="B9" s="38" t="inlineStr">
        <is>
          <t>Teams Phone Users</t>
        </is>
      </c>
      <c r="C9" s="39" t="inlineStr">
        <is>
          <t>150 users with PSTN calling</t>
        </is>
      </c>
      <c r="D9" s="38" t="inlineStr">
        <is>
          <t>150 users</t>
        </is>
      </c>
      <c r="E9" s="38" t="inlineStr">
        <is>
          <t>300 users</t>
        </is>
      </c>
      <c r="F9" s="38" t="inlineStr">
        <is>
          <t>1000+ users</t>
        </is>
      </c>
      <c r="G9" s="38" t="inlineStr">
        <is>
          <t>Teams Phone System with PSTN connectivity</t>
        </is>
      </c>
      <c r="H9" s="38" t="inlineStr"/>
    </row>
    <row r="10" ht="26" customHeight="1">
      <c r="A10" s="40" t="inlineStr">
        <is>
          <t>M365 Services</t>
        </is>
      </c>
      <c r="B10" s="41" t="inlineStr">
        <is>
          <t>Audio Conferencing</t>
        </is>
      </c>
      <c r="C10" s="39" t="inlineStr">
        <is>
          <t>200 users dial-in access</t>
        </is>
      </c>
      <c r="D10" s="41" t="inlineStr">
        <is>
          <t>200 users</t>
        </is>
      </c>
      <c r="E10" s="41" t="inlineStr">
        <is>
          <t>500 users</t>
        </is>
      </c>
      <c r="F10" s="41" t="inlineStr">
        <is>
          <t>2000+ users</t>
        </is>
      </c>
      <c r="G10" s="41" t="inlineStr">
        <is>
          <t>Teams audio conferencing dial-in capability</t>
        </is>
      </c>
      <c r="H10" s="41" t="inlineStr"/>
    </row>
    <row r="11" ht="26" customHeight="1">
      <c r="A11" s="37" t="inlineStr">
        <is>
          <t>M365 Services</t>
        </is>
      </c>
      <c r="B11" s="38" t="inlineStr">
        <is>
          <t>External Sharing</t>
        </is>
      </c>
      <c r="C11" s="39" t="inlineStr">
        <is>
          <t>Controlled external collaboration</t>
        </is>
      </c>
      <c r="D11" s="38" t="inlineStr">
        <is>
          <t>Basic external sharing</t>
        </is>
      </c>
      <c r="E11" s="38" t="inlineStr">
        <is>
          <t>Standard guest access</t>
        </is>
      </c>
      <c r="F11" s="38" t="inlineStr">
        <is>
          <t>Advanced B2B collaboration</t>
        </is>
      </c>
      <c r="G11" s="38" t="inlineStr">
        <is>
          <t>External collaboration and guest access complexity</t>
        </is>
      </c>
      <c r="H11" s="38" t="inlineStr"/>
    </row>
    <row r="12" ht="26" customHeight="1">
      <c r="A12" s="40" t="inlineStr">
        <is>
          <t>M365 Services</t>
        </is>
      </c>
      <c r="B12" s="41" t="inlineStr">
        <is>
          <t>Support Coverage</t>
        </is>
      </c>
      <c r="C12" s="39" t="inlineStr">
        <is>
          <t>24x7 user helpdesk support</t>
        </is>
      </c>
      <c r="D12" s="41" t="inlineStr">
        <is>
          <t>Basic 8x5 support</t>
        </is>
      </c>
      <c r="E12" s="41" t="inlineStr">
        <is>
          <t>Standard 24x5 support</t>
        </is>
      </c>
      <c r="F12" s="41" t="inlineStr">
        <is>
          <t>Premium 24x7 support</t>
        </is>
      </c>
      <c r="G12" s="41" t="inlineStr">
        <is>
          <t>User support coverage and SLA</t>
        </is>
      </c>
      <c r="H12" s="41" t="inlineStr"/>
    </row>
    <row r="13" ht="26" customHeight="1">
      <c r="A13" s="37" t="inlineStr">
        <is>
          <t>Security &amp; Compliance</t>
        </is>
      </c>
      <c r="B13" s="38" t="inlineStr">
        <is>
          <t>Security Requirements</t>
        </is>
      </c>
      <c r="C13" s="39" t="inlineStr">
        <is>
          <t>Zero-trust Conditional Access MFA</t>
        </is>
      </c>
      <c r="D13" s="38" t="inlineStr">
        <is>
          <t>Basic security</t>
        </is>
      </c>
      <c r="E13" s="38" t="inlineStr">
        <is>
          <t>Standard zero-trust</t>
        </is>
      </c>
      <c r="F13" s="38" t="inlineStr">
        <is>
          <t>Advanced threat protection</t>
        </is>
      </c>
      <c r="G13" s="38" t="inlineStr">
        <is>
          <t>Security architecture and controls complexity</t>
        </is>
      </c>
      <c r="H13" s="38" t="inlineStr"/>
    </row>
    <row r="14" ht="26" customHeight="1">
      <c r="A14" s="40" t="inlineStr">
        <is>
          <t>Security &amp; Compliance</t>
        </is>
      </c>
      <c r="B14" s="41" t="inlineStr">
        <is>
          <t>Compliance Frameworks</t>
        </is>
      </c>
      <c r="C14" s="39" t="inlineStr">
        <is>
          <t>SOC 2 GDPR HIPAA</t>
        </is>
      </c>
      <c r="D14" s="41" t="inlineStr">
        <is>
          <t>1-2 basic standards</t>
        </is>
      </c>
      <c r="E14" s="41" t="inlineStr">
        <is>
          <t>2-3 industry standards</t>
        </is>
      </c>
      <c r="F14" s="41" t="inlineStr">
        <is>
          <t>Multiple complex frameworks</t>
        </is>
      </c>
      <c r="G14" s="41" t="inlineStr">
        <is>
          <t>Regulatory compliance requirements</t>
        </is>
      </c>
      <c r="H14" s="41" t="inlineStr"/>
    </row>
    <row r="15" ht="26" customHeight="1">
      <c r="A15" s="37" t="inlineStr">
        <is>
          <t>Security &amp; Compliance</t>
        </is>
      </c>
      <c r="B15" s="38" t="inlineStr">
        <is>
          <t>Authentication</t>
        </is>
      </c>
      <c r="C15" s="39" t="inlineStr">
        <is>
          <t>Azure AD Connect SSO with MFA</t>
        </is>
      </c>
      <c r="D15" s="38" t="inlineStr">
        <is>
          <t>Azure AD basic</t>
        </is>
      </c>
      <c r="E15" s="38" t="inlineStr">
        <is>
          <t>Azure AD standard</t>
        </is>
      </c>
      <c r="F15" s="38" t="inlineStr">
        <is>
          <t>Federated multi-forest</t>
        </is>
      </c>
      <c r="G15" s="38" t="inlineStr">
        <is>
          <t>Identity and access management complexity</t>
        </is>
      </c>
      <c r="H15" s="38" t="inlineStr"/>
    </row>
    <row r="16" ht="26" customHeight="1">
      <c r="A16" s="40" t="inlineStr">
        <is>
          <t>Security &amp; Compliance</t>
        </is>
      </c>
      <c r="B16" s="41" t="inlineStr">
        <is>
          <t>Device Management</t>
        </is>
      </c>
      <c r="C16" s="39" t="inlineStr">
        <is>
          <t>Intune MDM for 500 endpoints</t>
        </is>
      </c>
      <c r="D16" s="41" t="inlineStr">
        <is>
          <t>Basic MDM</t>
        </is>
      </c>
      <c r="E16" s="41" t="inlineStr">
        <is>
          <t>Standard MDM</t>
        </is>
      </c>
      <c r="F16" s="41" t="inlineStr">
        <is>
          <t>Advanced endpoint protection</t>
        </is>
      </c>
      <c r="G16" s="41" t="inlineStr">
        <is>
          <t>Mobile device and endpoint management</t>
        </is>
      </c>
      <c r="H16" s="41" t="inlineStr"/>
    </row>
    <row r="17" ht="26" customHeight="1">
      <c r="A17" s="37" t="inlineStr">
        <is>
          <t>Technical Environment</t>
        </is>
      </c>
      <c r="B17" s="38" t="inlineStr">
        <is>
          <t>Availability Requirements</t>
        </is>
      </c>
      <c r="C17" s="39" t="inlineStr">
        <is>
          <t>99.9% (M365 SLA)</t>
        </is>
      </c>
      <c r="D17" s="38" t="inlineStr">
        <is>
          <t>99.9% standard</t>
        </is>
      </c>
      <c r="E17" s="38" t="inlineStr">
        <is>
          <t>99.95% high availability</t>
        </is>
      </c>
      <c r="F17" s="38" t="inlineStr">
        <is>
          <t>99.99% mission critical</t>
        </is>
      </c>
      <c r="G17" s="38" t="inlineStr">
        <is>
          <t>Microsoft 365 service level agreement</t>
        </is>
      </c>
      <c r="H17" s="38" t="inlineStr"/>
    </row>
    <row r="18" ht="26" customHeight="1">
      <c r="A18" s="40" t="inlineStr">
        <is>
          <t>Technical Environment</t>
        </is>
      </c>
      <c r="B18" s="41" t="inlineStr">
        <is>
          <t>Infrastructure Complexity</t>
        </is>
      </c>
      <c r="C18" s="39" t="inlineStr">
        <is>
          <t>Hybrid Exchange during migration</t>
        </is>
      </c>
      <c r="D18" s="41" t="inlineStr">
        <is>
          <t>Basic hybrid</t>
        </is>
      </c>
      <c r="E18" s="41" t="inlineStr">
        <is>
          <t>Standard hybrid</t>
        </is>
      </c>
      <c r="F18" s="41" t="inlineStr">
        <is>
          <t>Complex multi-forest</t>
        </is>
      </c>
      <c r="G18" s="41" t="inlineStr">
        <is>
          <t>Hybrid cloud architecture complexity</t>
        </is>
      </c>
      <c r="H18" s="41" t="inlineStr"/>
    </row>
    <row r="19" ht="26" customHeight="1">
      <c r="A19" s="37" t="inlineStr">
        <is>
          <t>Technical Environment</t>
        </is>
      </c>
      <c r="B19" s="38" t="inlineStr">
        <is>
          <t>Deployment Timeline</t>
        </is>
      </c>
      <c r="C19" s="39" t="inlineStr">
        <is>
          <t>4 months pilot to production</t>
        </is>
      </c>
      <c r="D19" s="38" t="inlineStr">
        <is>
          <t>4 months</t>
        </is>
      </c>
      <c r="E19" s="38" t="inlineStr">
        <is>
          <t>6 months</t>
        </is>
      </c>
      <c r="F19" s="38" t="inlineStr">
        <is>
          <t>12+ months</t>
        </is>
      </c>
      <c r="G19" s="38" t="inlineStr">
        <is>
          <t>Migration timeline and deployment complexity</t>
        </is>
      </c>
      <c r="H19" s="38" t="inlineStr"/>
    </row>
    <row r="20" ht="26" customHeight="1">
      <c r="A20" s="40" t="inlineStr">
        <is>
          <t>Environment</t>
        </is>
      </c>
      <c r="B20" s="41" t="inlineStr">
        <is>
          <t>Deployment Environments</t>
        </is>
      </c>
      <c r="C20" s="39" t="inlineStr">
        <is>
          <t>2 environments (pilot production)</t>
        </is>
      </c>
      <c r="D20" s="41" t="inlineStr">
        <is>
          <t>2 environments (pilot production)</t>
        </is>
      </c>
      <c r="E20" s="41" t="inlineStr">
        <is>
          <t>3 environments (dev staging prod)</t>
        </is>
      </c>
      <c r="F20" s="41" t="inlineStr">
        <is>
          <t>4+ environments with pipelines</t>
        </is>
      </c>
      <c r="G20" s="41" t="inlineStr">
        <is>
          <t>Environment management for Microsoft 365</t>
        </is>
      </c>
      <c r="H20" s="41" t="inlineStr"/>
    </row>
  </sheetData>
  <autoFilter ref="A2:H20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4" customWidth="1" min="3" max="3"/>
    <col width="173" customWidth="1" min="4" max="4"/>
  </cols>
  <sheetData>
    <row r="1" ht="32" customHeight="1">
      <c r="A1" s="35" t="inlineStr">
        <is>
          <t>ESTIMATE SETTINGS</t>
        </is>
      </c>
    </row>
    <row r="2" ht="32" customHeight="1">
      <c r="A2" s="36" t="inlineStr">
        <is>
          <t>Phase</t>
        </is>
      </c>
      <c r="B2" s="36" t="inlineStr">
        <is>
          <t>Variable Name</t>
        </is>
      </c>
      <c r="C2" s="36" t="inlineStr">
        <is>
          <t>Multiplier</t>
        </is>
      </c>
      <c r="D2" s="36" t="inlineStr">
        <is>
          <t>Description / Applies To Tasks</t>
        </is>
      </c>
      <c r="E2" s="36" t="inlineStr"/>
    </row>
    <row r="3" ht="26" customHeight="1">
      <c r="A3" s="37" t="inlineStr">
        <is>
          <t>Discovery</t>
        </is>
      </c>
      <c r="B3" s="38" t="inlineStr">
        <is>
          <t>DISCOVERY_MX</t>
        </is>
      </c>
      <c r="C3" s="42" t="n">
        <v>1</v>
      </c>
      <c r="D3" s="38" t="inlineStr">
        <is>
          <t>All Discovery phase tasks (Foundation Setup, Pilot Deployment, Azure AD Connect)</t>
        </is>
      </c>
      <c r="E3" s="38" t="inlineStr"/>
    </row>
    <row r="4" ht="26" customHeight="1">
      <c r="A4" s="40" t="inlineStr">
        <is>
          <t>Planning</t>
        </is>
      </c>
      <c r="B4" s="41" t="inlineStr">
        <is>
          <t>PLANNING_MX</t>
        </is>
      </c>
      <c r="C4" s="43" t="n">
        <v>1</v>
      </c>
      <c r="D4" s="41" t="inlineStr">
        <is>
          <t>All Planning phase tasks (Email Migration, SharePoint Deployment, Teams Deployment)</t>
        </is>
      </c>
      <c r="E4" s="41" t="inlineStr"/>
    </row>
    <row r="5" ht="26" customHeight="1">
      <c r="A5" s="37" t="inlineStr">
        <is>
          <t>Development</t>
        </is>
      </c>
      <c r="B5" s="38" t="inlineStr">
        <is>
          <t>DEVELOPMENT_MX</t>
        </is>
      </c>
      <c r="C5" s="42" t="n">
        <v>1</v>
      </c>
      <c r="D5" s="38" t="inlineStr">
        <is>
          <t>All Development phase tasks (Teams Phone, Security Hardening, Compliance Implementation)</t>
        </is>
      </c>
      <c r="E5" s="38" t="inlineStr"/>
    </row>
    <row r="6" ht="26" customHeight="1">
      <c r="A6" s="40" t="inlineStr">
        <is>
          <t>Testing</t>
        </is>
      </c>
      <c r="B6" s="41" t="inlineStr">
        <is>
          <t>TESTING_MX</t>
        </is>
      </c>
      <c r="C6" s="43" t="n">
        <v>1</v>
      </c>
      <c r="D6" s="41" t="inlineStr">
        <is>
          <t>All Testing phase tasks (Migration Testing, Security Testing, User Acceptance Testing)</t>
        </is>
      </c>
      <c r="E6" s="41" t="inlineStr"/>
    </row>
    <row r="7" ht="26" customHeight="1">
      <c r="A7" s="37" t="inlineStr">
        <is>
          <t>Deployment</t>
        </is>
      </c>
      <c r="B7" s="38" t="inlineStr">
        <is>
          <t>DEPLOYMENT_MX</t>
        </is>
      </c>
      <c r="C7" s="42" t="n">
        <v>1</v>
      </c>
      <c r="D7" s="38" t="inlineStr">
        <is>
          <t>All Deployment phase tasks (Production Cutover, Hypercare Support, Optimization)</t>
        </is>
      </c>
      <c r="E7" s="38" t="inlineStr"/>
    </row>
    <row r="8" ht="26" customHeight="1">
      <c r="A8" s="40" t="inlineStr">
        <is>
          <t>Training</t>
        </is>
      </c>
      <c r="B8" s="41" t="inlineStr">
        <is>
          <t>TRAINING_MX</t>
        </is>
      </c>
      <c r="C8" s="43" t="n">
        <v>1</v>
      </c>
      <c r="D8" s="41" t="inlineStr">
        <is>
          <t>All Training phase tasks (Administrator Training, Helpdesk Training, Champions Program)</t>
        </is>
      </c>
      <c r="E8" s="41" t="inlineStr"/>
    </row>
    <row r="9" ht="26" customHeight="1">
      <c r="A9" s="37" t="inlineStr">
        <is>
          <t>Closeout</t>
        </is>
      </c>
      <c r="B9" s="38" t="inlineStr">
        <is>
          <t>CLOSEOUT_MX</t>
        </is>
      </c>
      <c r="C9" s="42" t="n">
        <v>1</v>
      </c>
      <c r="D9" s="38" t="inlineStr">
        <is>
          <t>All Closeout phase tasks (Knowledge Transfer, Exchange Decommissioning)</t>
        </is>
      </c>
      <c r="E9" s="38" t="inlineStr"/>
    </row>
    <row r="10" ht="26" customHeight="1">
      <c r="A10" s="40" t="inlineStr">
        <is>
          <t>Management</t>
        </is>
      </c>
      <c r="B10" s="41" t="inlineStr">
        <is>
          <t>MANAGEMENT_MX</t>
        </is>
      </c>
      <c r="C10" s="43" t="n">
        <v>1</v>
      </c>
      <c r="D10" s="41" t="inlineStr">
        <is>
          <t>Project Management overhead - 10% of actual engineering hours</t>
        </is>
      </c>
      <c r="E10" s="41" t="inlineStr"/>
    </row>
    <row r="11" ht="26" customHeight="1">
      <c r="A11" s="37" t="inlineStr">
        <is>
          <t>Leadership</t>
        </is>
      </c>
      <c r="B11" s="38" t="inlineStr">
        <is>
          <t>LEADERSHIP_MX</t>
        </is>
      </c>
      <c r="C11" s="42" t="n">
        <v>1</v>
      </c>
      <c r="D11" s="38" t="inlineStr">
        <is>
          <t>Quarterback/Technical Leadership overhead - 10% of actual engineering hours</t>
        </is>
      </c>
      <c r="E11" s="38" t="inlineStr"/>
    </row>
    <row r="13" ht="20" customHeight="1">
      <c r="A13" s="44" t="inlineStr">
        <is>
          <t>EO Sales Engineer Updates Multipliers Based on Customer Scope</t>
        </is>
      </c>
    </row>
  </sheetData>
  <autoFilter ref="A2:E11"/>
  <mergeCells count="2">
    <mergeCell ref="A1:E1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18" customWidth="1" min="4" max="4"/>
    <col width="12" customWidth="1" min="5" max="5"/>
    <col width="14" customWidth="1" min="6" max="6"/>
    <col width="12" customWidth="1" min="7" max="7"/>
    <col width="12" customWidth="1" min="8" max="8"/>
    <col width="15" customWidth="1" min="9" max="9"/>
    <col width="25" customWidth="1" min="10" max="10"/>
    <col width="40" customWidth="1" min="11" max="11"/>
  </cols>
  <sheetData>
    <row r="1" ht="32" customHeight="1">
      <c r="A1" s="35" t="inlineStr">
        <is>
          <t>Level of Effort</t>
        </is>
      </c>
    </row>
    <row r="2" ht="32" customHeight="1">
      <c r="A2" s="36" t="inlineStr">
        <is>
          <t>Phase</t>
        </is>
      </c>
      <c r="B2" s="36" t="inlineStr">
        <is>
          <t>Work Package</t>
        </is>
      </c>
      <c r="C2" s="36" t="inlineStr">
        <is>
          <t>Task Description</t>
        </is>
      </c>
      <c r="D2" s="36" t="inlineStr">
        <is>
          <t>Resource Type</t>
        </is>
      </c>
      <c r="E2" s="36" t="inlineStr">
        <is>
          <t>Base Hours</t>
        </is>
      </c>
      <c r="F2" s="36" t="inlineStr">
        <is>
          <t>Effort Multiplier</t>
        </is>
      </c>
      <c r="G2" s="36" t="inlineStr">
        <is>
          <t>Actual Hours</t>
        </is>
      </c>
      <c r="H2" s="36" t="inlineStr">
        <is>
          <t>Rate</t>
        </is>
      </c>
      <c r="I2" s="36" t="inlineStr">
        <is>
          <t>Cost Estimate</t>
        </is>
      </c>
      <c r="J2" s="36" t="inlineStr">
        <is>
          <t>Dependencies</t>
        </is>
      </c>
      <c r="K2" s="36" t="inlineStr">
        <is>
          <t>Notes</t>
        </is>
      </c>
    </row>
    <row r="3" ht="26" customHeight="1">
      <c r="A3" s="45" t="inlineStr">
        <is>
          <t>Discovery</t>
        </is>
      </c>
      <c r="B3" s="46" t="inlineStr">
        <is>
          <t>M365 Tenant Provisioning</t>
        </is>
      </c>
      <c r="C3" s="46" t="inlineStr">
        <is>
          <t>Provision Microsoft 365 E5 tenant and domain verification</t>
        </is>
      </c>
      <c r="D3" s="46" t="inlineStr">
        <is>
          <t>EO Engineer</t>
        </is>
      </c>
      <c r="E3" s="47" t="n">
        <v>16</v>
      </c>
      <c r="F3" s="48">
        <f>'Estimate Settings'!$C$3</f>
        <v/>
      </c>
      <c r="G3" s="49">
        <f>$E3*$F3</f>
        <v/>
      </c>
      <c r="H3" s="50" t="n">
        <v>150</v>
      </c>
      <c r="I3" s="49">
        <f>TEXT($G3*$H3,"$#,##0")</f>
        <v/>
      </c>
      <c r="J3" s="46" t="inlineStr"/>
      <c r="K3" s="46" t="inlineStr">
        <is>
          <t>Tenant setup licensing and domain configuration</t>
        </is>
      </c>
    </row>
    <row r="4" ht="26" customHeight="1">
      <c r="A4" s="51" t="inlineStr">
        <is>
          <t>Discovery</t>
        </is>
      </c>
      <c r="B4" s="52" t="inlineStr">
        <is>
          <t>Azure AD Connect Deployment</t>
        </is>
      </c>
      <c r="C4" s="52" t="inlineStr">
        <is>
          <t>Deploy Azure AD Connect for identity synchronization and SSO</t>
        </is>
      </c>
      <c r="D4" s="52" t="inlineStr">
        <is>
          <t>EO Engineer</t>
        </is>
      </c>
      <c r="E4" s="53" t="n">
        <v>32</v>
      </c>
      <c r="F4" s="54">
        <f>'Estimate Settings'!$C$3</f>
        <v/>
      </c>
      <c r="G4" s="55">
        <f>$E4*$F4</f>
        <v/>
      </c>
      <c r="H4" s="56" t="n">
        <v>180</v>
      </c>
      <c r="I4" s="55">
        <f>TEXT($G4*$H4,"$#,##0")</f>
        <v/>
      </c>
      <c r="J4" s="52" t="inlineStr"/>
      <c r="K4" s="52" t="inlineStr">
        <is>
          <t>Identity sync SSO and MFA configuration</t>
        </is>
      </c>
    </row>
    <row r="5" ht="26" customHeight="1">
      <c r="A5" s="45" t="inlineStr">
        <is>
          <t>Discovery</t>
        </is>
      </c>
      <c r="B5" s="46" t="inlineStr">
        <is>
          <t>Hybrid Exchange Configuration</t>
        </is>
      </c>
      <c r="C5" s="46" t="inlineStr">
        <is>
          <t>Configure hybrid Exchange for mailbox coexistence</t>
        </is>
      </c>
      <c r="D5" s="46" t="inlineStr">
        <is>
          <t>EO Engineer</t>
        </is>
      </c>
      <c r="E5" s="47" t="n">
        <v>24</v>
      </c>
      <c r="F5" s="48">
        <f>'Estimate Settings'!$C$3</f>
        <v/>
      </c>
      <c r="G5" s="49">
        <f>$E5*$F5</f>
        <v/>
      </c>
      <c r="H5" s="50" t="n">
        <v>175</v>
      </c>
      <c r="I5" s="49">
        <f>TEXT($G5*$H5,"$#,##0")</f>
        <v/>
      </c>
      <c r="J5" s="46" t="inlineStr">
        <is>
          <t>Azure AD Connect Deployment</t>
        </is>
      </c>
      <c r="K5" s="46" t="inlineStr">
        <is>
          <t>Hybrid setup enabling email migration</t>
        </is>
      </c>
    </row>
    <row r="6" ht="26" customHeight="1">
      <c r="A6" s="51" t="inlineStr">
        <is>
          <t>Discovery</t>
        </is>
      </c>
      <c r="B6" s="52" t="inlineStr">
        <is>
          <t>Pilot Migration Planning</t>
        </is>
      </c>
      <c r="C6" s="52" t="inlineStr">
        <is>
          <t>Plan pilot migration with 50 users across departments</t>
        </is>
      </c>
      <c r="D6" s="52" t="inlineStr">
        <is>
          <t>EO Engineer</t>
        </is>
      </c>
      <c r="E6" s="53" t="n">
        <v>16</v>
      </c>
      <c r="F6" s="54">
        <f>'Estimate Settings'!$C$3</f>
        <v/>
      </c>
      <c r="G6" s="55">
        <f>$E6*$F6</f>
        <v/>
      </c>
      <c r="H6" s="56" t="n">
        <v>150</v>
      </c>
      <c r="I6" s="55">
        <f>TEXT($G6*$H6,"$#,##0")</f>
        <v/>
      </c>
      <c r="J6" s="52" t="inlineStr">
        <is>
          <t>Hybrid Exchange Configuration</t>
        </is>
      </c>
      <c r="K6" s="52" t="inlineStr">
        <is>
          <t>Pilot user selection and migration planning</t>
        </is>
      </c>
    </row>
    <row r="7" ht="26" customHeight="1">
      <c r="A7" s="45" t="inlineStr">
        <is>
          <t>Planning</t>
        </is>
      </c>
      <c r="B7" s="46" t="inlineStr">
        <is>
          <t>Pilot Email Migration</t>
        </is>
      </c>
      <c r="C7" s="46" t="inlineStr">
        <is>
          <t>Migrate 50 pilot users to Exchange Online</t>
        </is>
      </c>
      <c r="D7" s="46" t="inlineStr">
        <is>
          <t>EO Engineer</t>
        </is>
      </c>
      <c r="E7" s="47" t="n">
        <v>32</v>
      </c>
      <c r="F7" s="48">
        <f>'Estimate Settings'!$C$4</f>
        <v/>
      </c>
      <c r="G7" s="49">
        <f>$E7*$F7</f>
        <v/>
      </c>
      <c r="H7" s="50" t="n">
        <v>160</v>
      </c>
      <c r="I7" s="49">
        <f>TEXT($G7*$H7,"$#,##0")</f>
        <v/>
      </c>
      <c r="J7" s="46" t="inlineStr">
        <is>
          <t>Pilot Migration Planning</t>
        </is>
      </c>
      <c r="K7" s="46" t="inlineStr">
        <is>
          <t>Pilot mailbox migration with validation</t>
        </is>
      </c>
    </row>
    <row r="8" ht="26" customHeight="1">
      <c r="A8" s="51" t="inlineStr">
        <is>
          <t>Planning</t>
        </is>
      </c>
      <c r="B8" s="52" t="inlineStr">
        <is>
          <t>Pilot SharePoint Deployment</t>
        </is>
      </c>
      <c r="C8" s="52" t="inlineStr">
        <is>
          <t>Deploy pilot SharePoint sites and file collaboration</t>
        </is>
      </c>
      <c r="D8" s="52" t="inlineStr">
        <is>
          <t>EO Engineer</t>
        </is>
      </c>
      <c r="E8" s="53" t="n">
        <v>24</v>
      </c>
      <c r="F8" s="54">
        <f>'Estimate Settings'!$C$4</f>
        <v/>
      </c>
      <c r="G8" s="55">
        <f>$E8*$F8</f>
        <v/>
      </c>
      <c r="H8" s="56" t="n">
        <v>155</v>
      </c>
      <c r="I8" s="55">
        <f>TEXT($G8*$H8,"$#,##0")</f>
        <v/>
      </c>
      <c r="J8" s="52" t="inlineStr">
        <is>
          <t>Pilot Email Migration</t>
        </is>
      </c>
      <c r="K8" s="52" t="inlineStr">
        <is>
          <t>SharePoint site structure and pilot deployment</t>
        </is>
      </c>
    </row>
    <row r="9" ht="26" customHeight="1">
      <c r="A9" s="45" t="inlineStr">
        <is>
          <t>Planning</t>
        </is>
      </c>
      <c r="B9" s="46" t="inlineStr">
        <is>
          <t>Pilot Teams Deployment</t>
        </is>
      </c>
      <c r="C9" s="46" t="inlineStr">
        <is>
          <t>Deploy Microsoft Teams for pilot users with collaboration</t>
        </is>
      </c>
      <c r="D9" s="46" t="inlineStr">
        <is>
          <t>EO Engineer</t>
        </is>
      </c>
      <c r="E9" s="47" t="n">
        <v>16</v>
      </c>
      <c r="F9" s="48">
        <f>'Estimate Settings'!$C$4</f>
        <v/>
      </c>
      <c r="G9" s="49">
        <f>$E9*$F9</f>
        <v/>
      </c>
      <c r="H9" s="50" t="n">
        <v>150</v>
      </c>
      <c r="I9" s="49">
        <f>TEXT($G9*$H9,"$#,##0")</f>
        <v/>
      </c>
      <c r="J9" s="46" t="inlineStr">
        <is>
          <t>Pilot SharePoint Deployment</t>
        </is>
      </c>
      <c r="K9" s="46" t="inlineStr">
        <is>
          <t>Teams channels chat and meetings for pilot</t>
        </is>
      </c>
    </row>
    <row r="10" ht="26" customHeight="1">
      <c r="A10" s="51" t="inlineStr">
        <is>
          <t>Planning</t>
        </is>
      </c>
      <c r="B10" s="52" t="inlineStr">
        <is>
          <t>Pilot Validation</t>
        </is>
      </c>
      <c r="C10" s="52" t="inlineStr">
        <is>
          <t>Validate pilot migration and gather user feedback</t>
        </is>
      </c>
      <c r="D10" s="52" t="inlineStr">
        <is>
          <t>EO Engineer</t>
        </is>
      </c>
      <c r="E10" s="53" t="n">
        <v>16</v>
      </c>
      <c r="F10" s="54">
        <f>'Estimate Settings'!$C$4</f>
        <v/>
      </c>
      <c r="G10" s="55">
        <f>$E10*$F10</f>
        <v/>
      </c>
      <c r="H10" s="56" t="n">
        <v>140</v>
      </c>
      <c r="I10" s="55">
        <f>TEXT($G10*$H10,"$#,##0")</f>
        <v/>
      </c>
      <c r="J10" s="52" t="inlineStr">
        <is>
          <t>Pilot Teams Deployment</t>
        </is>
      </c>
      <c r="K10" s="52" t="inlineStr">
        <is>
          <t>Pilot user acceptance and lessons learned</t>
        </is>
      </c>
    </row>
    <row r="11" ht="26" customHeight="1">
      <c r="A11" s="45" t="inlineStr">
        <is>
          <t>Development</t>
        </is>
      </c>
      <c r="B11" s="46" t="inlineStr">
        <is>
          <t>Production Email Migration</t>
        </is>
      </c>
      <c r="C11" s="46" t="inlineStr">
        <is>
          <t>Migrate remaining 450 users to Exchange Online in waves</t>
        </is>
      </c>
      <c r="D11" s="46" t="inlineStr">
        <is>
          <t>EO Engineer</t>
        </is>
      </c>
      <c r="E11" s="47" t="n">
        <v>80</v>
      </c>
      <c r="F11" s="48">
        <f>'Estimate Settings'!$C$5</f>
        <v/>
      </c>
      <c r="G11" s="49">
        <f>$E11*$F11</f>
        <v/>
      </c>
      <c r="H11" s="50" t="n">
        <v>160</v>
      </c>
      <c r="I11" s="49">
        <f>TEXT($G11*$H11,"$#,##0")</f>
        <v/>
      </c>
      <c r="J11" s="46" t="inlineStr">
        <is>
          <t>Pilot Validation</t>
        </is>
      </c>
      <c r="K11" s="46" t="inlineStr">
        <is>
          <t>5 departmental waves with 90 users each</t>
        </is>
      </c>
    </row>
    <row r="12" ht="26" customHeight="1">
      <c r="A12" s="51" t="inlineStr">
        <is>
          <t>Development</t>
        </is>
      </c>
      <c r="B12" s="52" t="inlineStr">
        <is>
          <t>SharePoint Online Deployment</t>
        </is>
      </c>
      <c r="C12" s="52" t="inlineStr">
        <is>
          <t>Deploy SharePoint sites for all departments and projects</t>
        </is>
      </c>
      <c r="D12" s="52" t="inlineStr">
        <is>
          <t>EO Engineer</t>
        </is>
      </c>
      <c r="E12" s="53" t="n">
        <v>40</v>
      </c>
      <c r="F12" s="54">
        <f>'Estimate Settings'!$C$5</f>
        <v/>
      </c>
      <c r="G12" s="55">
        <f>$E12*$F12</f>
        <v/>
      </c>
      <c r="H12" s="56" t="n">
        <v>155</v>
      </c>
      <c r="I12" s="55">
        <f>TEXT($G12*$H12,"$#,##0")</f>
        <v/>
      </c>
      <c r="J12" s="52" t="inlineStr">
        <is>
          <t>Production Email Migration</t>
        </is>
      </c>
      <c r="K12" s="52" t="inlineStr">
        <is>
          <t>Department and project site provisioning</t>
        </is>
      </c>
    </row>
    <row r="13" ht="26" customHeight="1">
      <c r="A13" s="45" t="inlineStr">
        <is>
          <t>Development</t>
        </is>
      </c>
      <c r="B13" s="46" t="inlineStr">
        <is>
          <t>OneDrive Deployment</t>
        </is>
      </c>
      <c r="C13" s="46" t="inlineStr">
        <is>
          <t>Deploy OneDrive for Business with Known Folder Move</t>
        </is>
      </c>
      <c r="D13" s="46" t="inlineStr">
        <is>
          <t>EO Engineer</t>
        </is>
      </c>
      <c r="E13" s="47" t="n">
        <v>24</v>
      </c>
      <c r="F13" s="48">
        <f>'Estimate Settings'!$C$5</f>
        <v/>
      </c>
      <c r="G13" s="49">
        <f>$E13*$F13</f>
        <v/>
      </c>
      <c r="H13" s="50" t="n">
        <v>150</v>
      </c>
      <c r="I13" s="49">
        <f>TEXT($G13*$H13,"$#,##0")</f>
        <v/>
      </c>
      <c r="J13" s="46" t="inlineStr">
        <is>
          <t>SharePoint Online Deployment</t>
        </is>
      </c>
      <c r="K13" s="46" t="inlineStr">
        <is>
          <t>OneDrive sync and file migration</t>
        </is>
      </c>
    </row>
    <row r="14" ht="26" customHeight="1">
      <c r="A14" s="51" t="inlineStr">
        <is>
          <t>Development</t>
        </is>
      </c>
      <c r="B14" s="52" t="inlineStr">
        <is>
          <t>File Migration</t>
        </is>
      </c>
      <c r="C14" s="52" t="inlineStr">
        <is>
          <t>Migrate 5TB files from on-premises to SharePoint and OneDrive</t>
        </is>
      </c>
      <c r="D14" s="52" t="inlineStr">
        <is>
          <t>EO Engineer</t>
        </is>
      </c>
      <c r="E14" s="53" t="n">
        <v>40</v>
      </c>
      <c r="F14" s="54">
        <f>'Estimate Settings'!$C$5</f>
        <v/>
      </c>
      <c r="G14" s="55">
        <f>$E14*$F14</f>
        <v/>
      </c>
      <c r="H14" s="56" t="n">
        <v>150</v>
      </c>
      <c r="I14" s="55">
        <f>TEXT($G14*$H14,"$#,##0")</f>
        <v/>
      </c>
      <c r="J14" s="52" t="inlineStr">
        <is>
          <t>OneDrive Deployment</t>
        </is>
      </c>
      <c r="K14" s="52" t="inlineStr">
        <is>
          <t>File server to SharePoint/OneDrive migration</t>
        </is>
      </c>
    </row>
    <row r="15" ht="26" customHeight="1">
      <c r="A15" s="45" t="inlineStr">
        <is>
          <t>Development</t>
        </is>
      </c>
      <c r="B15" s="46" t="inlineStr">
        <is>
          <t>Teams Company Deployment</t>
        </is>
      </c>
      <c r="C15" s="46" t="inlineStr">
        <is>
          <t>Deploy Teams company-wide with channels and governance</t>
        </is>
      </c>
      <c r="D15" s="46" t="inlineStr">
        <is>
          <t>EO Engineer</t>
        </is>
      </c>
      <c r="E15" s="47" t="n">
        <v>32</v>
      </c>
      <c r="F15" s="48">
        <f>'Estimate Settings'!$C$5</f>
        <v/>
      </c>
      <c r="G15" s="49">
        <f>$E15*$F15</f>
        <v/>
      </c>
      <c r="H15" s="50" t="n">
        <v>155</v>
      </c>
      <c r="I15" s="49">
        <f>TEXT($G15*$H15,"$#,##0")</f>
        <v/>
      </c>
      <c r="J15" s="46" t="inlineStr">
        <is>
          <t>File Migration</t>
        </is>
      </c>
      <c r="K15" s="46" t="inlineStr">
        <is>
          <t>Company-wide Teams collaboration deployment</t>
        </is>
      </c>
    </row>
    <row r="16" ht="26" customHeight="1">
      <c r="A16" s="51" t="inlineStr">
        <is>
          <t>Development</t>
        </is>
      </c>
      <c r="B16" s="52" t="inlineStr">
        <is>
          <t>Teams Phone System</t>
        </is>
      </c>
      <c r="C16" s="52" t="inlineStr">
        <is>
          <t>Deploy Teams Phone for 150 users with PSTN calling</t>
        </is>
      </c>
      <c r="D16" s="52" t="inlineStr">
        <is>
          <t>EO Engineer</t>
        </is>
      </c>
      <c r="E16" s="53" t="n">
        <v>40</v>
      </c>
      <c r="F16" s="54">
        <f>'Estimate Settings'!$C$5</f>
        <v/>
      </c>
      <c r="G16" s="55">
        <f>$E16*$F16</f>
        <v/>
      </c>
      <c r="H16" s="56" t="n">
        <v>170</v>
      </c>
      <c r="I16" s="55">
        <f>TEXT($G16*$H16,"$#,##0")</f>
        <v/>
      </c>
      <c r="J16" s="52" t="inlineStr">
        <is>
          <t>Teams Company Deployment</t>
        </is>
      </c>
      <c r="K16" s="52" t="inlineStr">
        <is>
          <t>Teams calling with Direct Routing or Calling Plan</t>
        </is>
      </c>
    </row>
    <row r="17" ht="26" customHeight="1">
      <c r="A17" s="45" t="inlineStr">
        <is>
          <t>Development</t>
        </is>
      </c>
      <c r="B17" s="46" t="inlineStr">
        <is>
          <t>Audio Conferencing</t>
        </is>
      </c>
      <c r="C17" s="46" t="inlineStr">
        <is>
          <t>Configure audio conferencing for 200 users with dial-in</t>
        </is>
      </c>
      <c r="D17" s="46" t="inlineStr">
        <is>
          <t>EO Engineer</t>
        </is>
      </c>
      <c r="E17" s="47" t="n">
        <v>16</v>
      </c>
      <c r="F17" s="48">
        <f>'Estimate Settings'!$C$5</f>
        <v/>
      </c>
      <c r="G17" s="49">
        <f>$E17*$F17</f>
        <v/>
      </c>
      <c r="H17" s="50" t="n">
        <v>150</v>
      </c>
      <c r="I17" s="49">
        <f>TEXT($G17*$H17,"$#,##0")</f>
        <v/>
      </c>
      <c r="J17" s="46" t="inlineStr">
        <is>
          <t>Teams Phone System</t>
        </is>
      </c>
      <c r="K17" s="46" t="inlineStr">
        <is>
          <t>Teams meeting dial-in access configuration</t>
        </is>
      </c>
    </row>
    <row r="18" ht="26" customHeight="1">
      <c r="A18" s="51" t="inlineStr">
        <is>
          <t>Development</t>
        </is>
      </c>
      <c r="B18" s="52" t="inlineStr">
        <is>
          <t>Conditional Access</t>
        </is>
      </c>
      <c r="C18" s="52" t="inlineStr">
        <is>
          <t>Implement Conditional Access policies with MFA and device compliance</t>
        </is>
      </c>
      <c r="D18" s="52" t="inlineStr">
        <is>
          <t>EO Engineer</t>
        </is>
      </c>
      <c r="E18" s="53" t="n">
        <v>24</v>
      </c>
      <c r="F18" s="54">
        <f>'Estimate Settings'!$C$5</f>
        <v/>
      </c>
      <c r="G18" s="55">
        <f>$E18*$F18</f>
        <v/>
      </c>
      <c r="H18" s="56" t="n">
        <v>175</v>
      </c>
      <c r="I18" s="55">
        <f>TEXT($G18*$H18,"$#,##0")</f>
        <v/>
      </c>
      <c r="J18" s="52" t="inlineStr">
        <is>
          <t>Audio Conferencing</t>
        </is>
      </c>
      <c r="K18" s="52" t="inlineStr">
        <is>
          <t>Zero-trust security policy implementation</t>
        </is>
      </c>
    </row>
    <row r="19" ht="26" customHeight="1">
      <c r="A19" s="45" t="inlineStr">
        <is>
          <t>Development</t>
        </is>
      </c>
      <c r="B19" s="46" t="inlineStr">
        <is>
          <t>Defender for Office 365</t>
        </is>
      </c>
      <c r="C19" s="46" t="inlineStr">
        <is>
          <t>Deploy Defender with anti-phishing and anti-malware protection</t>
        </is>
      </c>
      <c r="D19" s="46" t="inlineStr">
        <is>
          <t>EO Engineer</t>
        </is>
      </c>
      <c r="E19" s="47" t="n">
        <v>24</v>
      </c>
      <c r="F19" s="48">
        <f>'Estimate Settings'!$C$5</f>
        <v/>
      </c>
      <c r="G19" s="49">
        <f>$E19*$F19</f>
        <v/>
      </c>
      <c r="H19" s="50" t="n">
        <v>170</v>
      </c>
      <c r="I19" s="49">
        <f>TEXT($G19*$H19,"$#,##0")</f>
        <v/>
      </c>
      <c r="J19" s="46" t="inlineStr">
        <is>
          <t>Conditional Access</t>
        </is>
      </c>
      <c r="K19" s="46" t="inlineStr">
        <is>
          <t>Threat protection and Safe Links/Attachments</t>
        </is>
      </c>
    </row>
    <row r="20" ht="26" customHeight="1">
      <c r="A20" s="51" t="inlineStr">
        <is>
          <t>Development</t>
        </is>
      </c>
      <c r="B20" s="52" t="inlineStr">
        <is>
          <t>Microsoft Purview</t>
        </is>
      </c>
      <c r="C20" s="52" t="inlineStr">
        <is>
          <t>Implement Purview for DLP information protection and retention</t>
        </is>
      </c>
      <c r="D20" s="52" t="inlineStr">
        <is>
          <t>EO Engineer</t>
        </is>
      </c>
      <c r="E20" s="53" t="n">
        <v>32</v>
      </c>
      <c r="F20" s="54">
        <f>'Estimate Settings'!$C$5</f>
        <v/>
      </c>
      <c r="G20" s="55">
        <f>$E20*$F20</f>
        <v/>
      </c>
      <c r="H20" s="56" t="n">
        <v>165</v>
      </c>
      <c r="I20" s="55">
        <f>TEXT($G20*$H20,"$#,##0")</f>
        <v/>
      </c>
      <c r="J20" s="52" t="inlineStr">
        <is>
          <t>Defender for Office 365</t>
        </is>
      </c>
      <c r="K20" s="52" t="inlineStr">
        <is>
          <t>Data loss prevention and compliance policies</t>
        </is>
      </c>
    </row>
    <row r="21" ht="26" customHeight="1">
      <c r="A21" s="45" t="inlineStr">
        <is>
          <t>Development</t>
        </is>
      </c>
      <c r="B21" s="46" t="inlineStr">
        <is>
          <t>Intune MDM</t>
        </is>
      </c>
      <c r="C21" s="46" t="inlineStr">
        <is>
          <t>Deploy Intune for 500 endpoints with device compliance</t>
        </is>
      </c>
      <c r="D21" s="46" t="inlineStr">
        <is>
          <t>EO Engineer</t>
        </is>
      </c>
      <c r="E21" s="47" t="n">
        <v>24</v>
      </c>
      <c r="F21" s="48">
        <f>'Estimate Settings'!$C$5</f>
        <v/>
      </c>
      <c r="G21" s="49">
        <f>$E21*$F21</f>
        <v/>
      </c>
      <c r="H21" s="50" t="n">
        <v>160</v>
      </c>
      <c r="I21" s="49">
        <f>TEXT($G21*$H21,"$#,##0")</f>
        <v/>
      </c>
      <c r="J21" s="46" t="inlineStr">
        <is>
          <t>Microsoft Purview</t>
        </is>
      </c>
      <c r="K21" s="46" t="inlineStr">
        <is>
          <t>Mobile device management and app protection</t>
        </is>
      </c>
    </row>
    <row r="22" ht="26" customHeight="1">
      <c r="A22" s="51" t="inlineStr">
        <is>
          <t>Testing</t>
        </is>
      </c>
      <c r="B22" s="52" t="inlineStr">
        <is>
          <t>Migration Validation</t>
        </is>
      </c>
      <c r="C22" s="52" t="inlineStr">
        <is>
          <t>Validate email and file migration with zero data loss</t>
        </is>
      </c>
      <c r="D22" s="52" t="inlineStr">
        <is>
          <t>EO Engineer</t>
        </is>
      </c>
      <c r="E22" s="53" t="n">
        <v>24</v>
      </c>
      <c r="F22" s="54">
        <f>'Estimate Settings'!$C$6</f>
        <v/>
      </c>
      <c r="G22" s="55">
        <f>$E22*$F22</f>
        <v/>
      </c>
      <c r="H22" s="56" t="n">
        <v>140</v>
      </c>
      <c r="I22" s="55">
        <f>TEXT($G22*$H22,"$#,##0")</f>
        <v/>
      </c>
      <c r="J22" s="52" t="inlineStr">
        <is>
          <t>Intune MDM</t>
        </is>
      </c>
      <c r="K22" s="52" t="inlineStr">
        <is>
          <t>Migration accuracy and data integrity validation</t>
        </is>
      </c>
    </row>
    <row r="23" ht="26" customHeight="1">
      <c r="A23" s="45" t="inlineStr">
        <is>
          <t>Testing</t>
        </is>
      </c>
      <c r="B23" s="46" t="inlineStr">
        <is>
          <t>Security Testing</t>
        </is>
      </c>
      <c r="C23" s="46" t="inlineStr">
        <is>
          <t>Test Conditional Access Defender and DLP policies</t>
        </is>
      </c>
      <c r="D23" s="46" t="inlineStr">
        <is>
          <t>EO Engineer</t>
        </is>
      </c>
      <c r="E23" s="47" t="n">
        <v>24</v>
      </c>
      <c r="F23" s="48">
        <f>'Estimate Settings'!$C$6</f>
        <v/>
      </c>
      <c r="G23" s="49">
        <f>$E23*$F23</f>
        <v/>
      </c>
      <c r="H23" s="50" t="n">
        <v>165</v>
      </c>
      <c r="I23" s="49">
        <f>TEXT($G23*$H23,"$#,##0")</f>
        <v/>
      </c>
      <c r="J23" s="46" t="inlineStr">
        <is>
          <t>Migration Validation</t>
        </is>
      </c>
      <c r="K23" s="46" t="inlineStr">
        <is>
          <t>Security control effectiveness testing</t>
        </is>
      </c>
    </row>
    <row r="24" ht="26" customHeight="1">
      <c r="A24" s="51" t="inlineStr">
        <is>
          <t>Testing</t>
        </is>
      </c>
      <c r="B24" s="52" t="inlineStr">
        <is>
          <t>Teams Quality Testing</t>
        </is>
      </c>
      <c r="C24" s="52" t="inlineStr">
        <is>
          <t>Test Teams collaboration calling and meeting quality</t>
        </is>
      </c>
      <c r="D24" s="52" t="inlineStr">
        <is>
          <t>EO Engineer</t>
        </is>
      </c>
      <c r="E24" s="53" t="n">
        <v>16</v>
      </c>
      <c r="F24" s="54">
        <f>'Estimate Settings'!$C$6</f>
        <v/>
      </c>
      <c r="G24" s="55">
        <f>$E24*$F24</f>
        <v/>
      </c>
      <c r="H24" s="56" t="n">
        <v>150</v>
      </c>
      <c r="I24" s="55">
        <f>TEXT($G24*$H24,"$#,##0")</f>
        <v/>
      </c>
      <c r="J24" s="52" t="inlineStr">
        <is>
          <t>Security Testing</t>
        </is>
      </c>
      <c r="K24" s="52" t="inlineStr">
        <is>
          <t>Call quality and user experience validation</t>
        </is>
      </c>
    </row>
    <row r="25" ht="26" customHeight="1">
      <c r="A25" s="45" t="inlineStr">
        <is>
          <t>Testing</t>
        </is>
      </c>
      <c r="B25" s="46" t="inlineStr">
        <is>
          <t>User Acceptance Testing</t>
        </is>
      </c>
      <c r="C25" s="46" t="inlineStr">
        <is>
          <t>Coordinate UAT with business users and stakeholders</t>
        </is>
      </c>
      <c r="D25" s="46" t="inlineStr">
        <is>
          <t>EO Engineer</t>
        </is>
      </c>
      <c r="E25" s="47" t="n">
        <v>24</v>
      </c>
      <c r="F25" s="48">
        <f>'Estimate Settings'!$C$6</f>
        <v/>
      </c>
      <c r="G25" s="49">
        <f>$E25*$F25</f>
        <v/>
      </c>
      <c r="H25" s="50" t="n">
        <v>140</v>
      </c>
      <c r="I25" s="49">
        <f>TEXT($G25*$H25,"$#,##0")</f>
        <v/>
      </c>
      <c r="J25" s="46" t="inlineStr">
        <is>
          <t>Teams Quality Testing</t>
        </is>
      </c>
      <c r="K25" s="46" t="inlineStr">
        <is>
          <t>Business user validation and sign-off</t>
        </is>
      </c>
    </row>
    <row r="26" ht="26" customHeight="1">
      <c r="A26" s="51" t="inlineStr">
        <is>
          <t>Deployment</t>
        </is>
      </c>
      <c r="B26" s="52" t="inlineStr">
        <is>
          <t>Production Cutover</t>
        </is>
      </c>
      <c r="C26" s="52" t="inlineStr">
        <is>
          <t>Final cutover to Microsoft 365 with decommissioning planning</t>
        </is>
      </c>
      <c r="D26" s="52" t="inlineStr">
        <is>
          <t>EO Engineer</t>
        </is>
      </c>
      <c r="E26" s="53" t="n">
        <v>16</v>
      </c>
      <c r="F26" s="54">
        <f>'Estimate Settings'!$C$7</f>
        <v/>
      </c>
      <c r="G26" s="55">
        <f>$E26*$F26</f>
        <v/>
      </c>
      <c r="H26" s="56" t="n">
        <v>160</v>
      </c>
      <c r="I26" s="55">
        <f>TEXT($G26*$H26,"$#,##0")</f>
        <v/>
      </c>
      <c r="J26" s="52" t="inlineStr">
        <is>
          <t>User Acceptance Testing</t>
        </is>
      </c>
      <c r="K26" s="52" t="inlineStr">
        <is>
          <t>Production go-live and Exchange decommissioning plan</t>
        </is>
      </c>
    </row>
    <row r="27" ht="26" customHeight="1">
      <c r="A27" s="45" t="inlineStr">
        <is>
          <t>Deployment</t>
        </is>
      </c>
      <c r="B27" s="46" t="inlineStr">
        <is>
          <t>Hypercare Support</t>
        </is>
      </c>
      <c r="C27" s="46" t="inlineStr">
        <is>
          <t>Provide 30-day hypercare support post-production</t>
        </is>
      </c>
      <c r="D27" s="46" t="inlineStr">
        <is>
          <t>EO Engineer</t>
        </is>
      </c>
      <c r="E27" s="47" t="n">
        <v>40</v>
      </c>
      <c r="F27" s="48">
        <f>'Estimate Settings'!$C$7</f>
        <v/>
      </c>
      <c r="G27" s="49">
        <f>$E27*$F27</f>
        <v/>
      </c>
      <c r="H27" s="50" t="n">
        <v>130</v>
      </c>
      <c r="I27" s="49">
        <f>TEXT($G27*$H27,"$#,##0")</f>
        <v/>
      </c>
      <c r="J27" s="46" t="inlineStr">
        <is>
          <t>Production Cutover</t>
        </is>
      </c>
      <c r="K27" s="46" t="inlineStr">
        <is>
          <t>Post-migration issue resolution and optimization</t>
        </is>
      </c>
    </row>
    <row r="28" ht="26" customHeight="1">
      <c r="A28" s="51" t="inlineStr">
        <is>
          <t>Training</t>
        </is>
      </c>
      <c r="B28" s="52" t="inlineStr">
        <is>
          <t>Administrator Training</t>
        </is>
      </c>
      <c r="C28" s="52" t="inlineStr">
        <is>
          <t>Train IT administrators on M365 Exchange SharePoint Teams</t>
        </is>
      </c>
      <c r="D28" s="52" t="inlineStr">
        <is>
          <t>EO Engineer</t>
        </is>
      </c>
      <c r="E28" s="53" t="n">
        <v>24</v>
      </c>
      <c r="F28" s="54">
        <f>'Estimate Settings'!$C$8</f>
        <v/>
      </c>
      <c r="G28" s="55">
        <f>$E28*$F28</f>
        <v/>
      </c>
      <c r="H28" s="56" t="n">
        <v>150</v>
      </c>
      <c r="I28" s="55">
        <f>TEXT($G28*$H28,"$#,##0")</f>
        <v/>
      </c>
      <c r="J28" s="52" t="inlineStr">
        <is>
          <t>Production Cutover</t>
        </is>
      </c>
      <c r="K28" s="52" t="inlineStr">
        <is>
          <t>Admin training for ongoing operations</t>
        </is>
      </c>
    </row>
    <row r="29" ht="26" customHeight="1">
      <c r="A29" s="45" t="inlineStr">
        <is>
          <t>Training</t>
        </is>
      </c>
      <c r="B29" s="46" t="inlineStr">
        <is>
          <t>Helpdesk Training</t>
        </is>
      </c>
      <c r="C29" s="46" t="inlineStr">
        <is>
          <t>Train helpdesk on Microsoft 365 user support</t>
        </is>
      </c>
      <c r="D29" s="46" t="inlineStr">
        <is>
          <t>EO Engineer</t>
        </is>
      </c>
      <c r="E29" s="47" t="n">
        <v>16</v>
      </c>
      <c r="F29" s="48">
        <f>'Estimate Settings'!$C$8</f>
        <v/>
      </c>
      <c r="G29" s="49">
        <f>$E29*$F29</f>
        <v/>
      </c>
      <c r="H29" s="50" t="n">
        <v>130</v>
      </c>
      <c r="I29" s="49">
        <f>TEXT($G29*$H29,"$#,##0")</f>
        <v/>
      </c>
      <c r="J29" s="46" t="inlineStr">
        <is>
          <t>Administrator Training</t>
        </is>
      </c>
      <c r="K29" s="46" t="inlineStr">
        <is>
          <t>Helpdesk support training and procedures</t>
        </is>
      </c>
    </row>
    <row r="30" ht="26" customHeight="1">
      <c r="A30" s="51" t="inlineStr">
        <is>
          <t>Training</t>
        </is>
      </c>
      <c r="B30" s="52" t="inlineStr">
        <is>
          <t>Champions Program</t>
        </is>
      </c>
      <c r="C30" s="52" t="inlineStr">
        <is>
          <t>Establish Champions program with department representatives</t>
        </is>
      </c>
      <c r="D30" s="52" t="inlineStr">
        <is>
          <t>EO Engineer</t>
        </is>
      </c>
      <c r="E30" s="53" t="n">
        <v>16</v>
      </c>
      <c r="F30" s="54">
        <f>'Estimate Settings'!$C$8</f>
        <v/>
      </c>
      <c r="G30" s="55">
        <f>$E30*$F30</f>
        <v/>
      </c>
      <c r="H30" s="56" t="n">
        <v>140</v>
      </c>
      <c r="I30" s="55">
        <f>TEXT($G30*$H30,"$#,##0")</f>
        <v/>
      </c>
      <c r="J30" s="52" t="inlineStr">
        <is>
          <t>Helpdesk Training</t>
        </is>
      </c>
      <c r="K30" s="52" t="inlineStr">
        <is>
          <t>Champions training for user adoption</t>
        </is>
      </c>
    </row>
    <row r="31" ht="26" customHeight="1">
      <c r="A31" s="45" t="inlineStr">
        <is>
          <t>Training</t>
        </is>
      </c>
      <c r="B31" s="46" t="inlineStr">
        <is>
          <t>Documentation</t>
        </is>
      </c>
      <c r="C31" s="46" t="inlineStr">
        <is>
          <t>Create operations runbook and user guides</t>
        </is>
      </c>
      <c r="D31" s="46" t="inlineStr">
        <is>
          <t>EO Engineer</t>
        </is>
      </c>
      <c r="E31" s="47" t="n">
        <v>24</v>
      </c>
      <c r="F31" s="48">
        <f>'Estimate Settings'!$C$8</f>
        <v/>
      </c>
      <c r="G31" s="49">
        <f>$E31*$F31</f>
        <v/>
      </c>
      <c r="H31" s="50" t="n">
        <v>130</v>
      </c>
      <c r="I31" s="49">
        <f>TEXT($G31*$H31,"$#,##0")</f>
        <v/>
      </c>
      <c r="J31" s="46" t="inlineStr">
        <is>
          <t>Champions Program</t>
        </is>
      </c>
      <c r="K31" s="46" t="inlineStr">
        <is>
          <t>Technical and user documentation</t>
        </is>
      </c>
    </row>
    <row r="32" ht="26" customHeight="1">
      <c r="A32" s="51" t="inlineStr">
        <is>
          <t>Closeout</t>
        </is>
      </c>
      <c r="B32" s="52" t="inlineStr">
        <is>
          <t>Knowledge Transfer</t>
        </is>
      </c>
      <c r="C32" s="52" t="inlineStr">
        <is>
          <t>Transfer Microsoft 365 operations ownership to client team</t>
        </is>
      </c>
      <c r="D32" s="52" t="inlineStr">
        <is>
          <t>EO Engineer</t>
        </is>
      </c>
      <c r="E32" s="53" t="n">
        <v>16</v>
      </c>
      <c r="F32" s="54">
        <f>'Estimate Settings'!$C$9</f>
        <v/>
      </c>
      <c r="G32" s="55">
        <f>$E32*$F32</f>
        <v/>
      </c>
      <c r="H32" s="56" t="n">
        <v>140</v>
      </c>
      <c r="I32" s="55">
        <f>TEXT($G32*$H32,"$#,##0")</f>
        <v/>
      </c>
      <c r="J32" s="52" t="inlineStr">
        <is>
          <t>Documentation</t>
        </is>
      </c>
      <c r="K32" s="52" t="inlineStr">
        <is>
          <t>Comprehensive handover of M365 operations</t>
        </is>
      </c>
    </row>
    <row r="33" ht="26" customHeight="1">
      <c r="A33" s="45" t="inlineStr">
        <is>
          <t>Closeout</t>
        </is>
      </c>
      <c r="B33" s="46" t="inlineStr">
        <is>
          <t>Performance Optimization</t>
        </is>
      </c>
      <c r="C33" s="46" t="inlineStr">
        <is>
          <t>Optimize network connectivity Teams QoS and user experience</t>
        </is>
      </c>
      <c r="D33" s="46" t="inlineStr">
        <is>
          <t>EO Engineer</t>
        </is>
      </c>
      <c r="E33" s="47" t="n">
        <v>16</v>
      </c>
      <c r="F33" s="48">
        <f>'Estimate Settings'!$C$9</f>
        <v/>
      </c>
      <c r="G33" s="49">
        <f>$E33*$F33</f>
        <v/>
      </c>
      <c r="H33" s="50" t="n">
        <v>150</v>
      </c>
      <c r="I33" s="49">
        <f>TEXT($G33*$H33,"$#,##0")</f>
        <v/>
      </c>
      <c r="J33" s="46" t="inlineStr">
        <is>
          <t>Knowledge Transfer</t>
        </is>
      </c>
      <c r="K33" s="46" t="inlineStr">
        <is>
          <t>Performance tuning and optimization recommendations</t>
        </is>
      </c>
    </row>
    <row r="34" ht="26" customHeight="1">
      <c r="A34" s="51" t="inlineStr">
        <is>
          <t>Management</t>
        </is>
      </c>
      <c r="B34" s="52" t="inlineStr">
        <is>
          <t>Technical Leadership</t>
        </is>
      </c>
      <c r="C34" s="52" t="inlineStr">
        <is>
          <t>Quarterback technical oversight and M365 architecture review</t>
        </is>
      </c>
      <c r="D34" s="52" t="inlineStr">
        <is>
          <t>EO Quarterback</t>
        </is>
      </c>
      <c r="E34" s="55">
        <f>ROUND(SUM($G$33:$G$63)*0.10,0)</f>
        <v/>
      </c>
      <c r="F34" s="54">
        <f>'Estimate Settings'!$C$12</f>
        <v/>
      </c>
      <c r="G34" s="55">
        <f>$E34*$F34</f>
        <v/>
      </c>
      <c r="H34" s="56" t="n">
        <v>200</v>
      </c>
      <c r="I34" s="55">
        <f>TEXT($G34*$H34,"$#,##0")</f>
        <v/>
      </c>
      <c r="J34" s="52" t="inlineStr"/>
      <c r="K34" s="52" t="inlineStr">
        <is>
          <t>M365 architecture and migration coordination</t>
        </is>
      </c>
    </row>
    <row r="35" ht="26" customHeight="1">
      <c r="A35" s="45" t="inlineStr">
        <is>
          <t>Management</t>
        </is>
      </c>
      <c r="B35" s="46" t="inlineStr">
        <is>
          <t>Project Management</t>
        </is>
      </c>
      <c r="C35" s="46" t="inlineStr">
        <is>
          <t>Project coordination and migration management</t>
        </is>
      </c>
      <c r="D35" s="46" t="inlineStr">
        <is>
          <t>EO Project Manager</t>
        </is>
      </c>
      <c r="E35" s="49">
        <f>ROUND(SUM($G$33:$G$63)*0.10,0)</f>
        <v/>
      </c>
      <c r="F35" s="48">
        <f>'Estimate Settings'!$C$11</f>
        <v/>
      </c>
      <c r="G35" s="49">
        <f>$E35*$F35</f>
        <v/>
      </c>
      <c r="H35" s="50" t="n">
        <v>150</v>
      </c>
      <c r="I35" s="49">
        <f>TEXT($G35*$H35,"$#,##0")</f>
        <v/>
      </c>
      <c r="J35" s="46" t="inlineStr"/>
      <c r="K35" s="46" t="inlineStr">
        <is>
          <t>Stakeholder coordination and timeline management</t>
        </is>
      </c>
    </row>
    <row r="36" ht="26" customHeight="1">
      <c r="A36" s="57" t="inlineStr"/>
      <c r="B36" s="57" t="inlineStr"/>
      <c r="C36" s="57" t="inlineStr"/>
      <c r="D36" s="57" t="inlineStr"/>
      <c r="E36" s="57" t="inlineStr"/>
      <c r="F36" s="58" t="inlineStr">
        <is>
          <t>TOTAL HOURS</t>
        </is>
      </c>
      <c r="G36" s="58">
        <f>SUM($G$33:$G$65)</f>
        <v/>
      </c>
      <c r="H36" s="58" t="inlineStr">
        <is>
          <t>TOTAL COST</t>
        </is>
      </c>
      <c r="I36" s="58">
        <f>TEXT(SUMPRODUCT($G$33:$G$65,$H$33:$H$65),"$#,##0")</f>
        <v/>
      </c>
      <c r="J36" s="57" t="inlineStr"/>
      <c r="K36" s="57" t="inlineStr">
        <is>
          <t>EO Sales Engineer: Update phase multipliers based on M365 migration complexity</t>
        </is>
      </c>
    </row>
  </sheetData>
  <autoFilter ref="A2:K36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100" customWidth="1" min="3" max="3"/>
  </cols>
  <sheetData>
    <row r="1" ht="32" customHeight="1">
      <c r="A1" s="35" t="inlineStr">
        <is>
          <t>Credits - Applied to Total Cost (Year 1 Only)</t>
        </is>
      </c>
    </row>
    <row r="2" ht="32" customHeight="1">
      <c r="A2" s="36" t="inlineStr">
        <is>
          <t>Credit Type</t>
        </is>
      </c>
      <c r="B2" s="36" t="inlineStr">
        <is>
          <t>Credit Amount</t>
        </is>
      </c>
      <c r="C2" s="36" t="inlineStr">
        <is>
          <t>Credit Comments</t>
        </is>
      </c>
    </row>
    <row r="3" ht="26" customHeight="1">
      <c r="A3" s="37" t="inlineStr">
        <is>
          <t>Microsoft Partner Services Credit</t>
        </is>
      </c>
      <c r="B3" s="59" t="n">
        <v>0</v>
      </c>
      <c r="C3" s="38" t="inlineStr">
        <is>
          <t>No Microsoft partner credits available for commercial M365 licensing</t>
        </is>
      </c>
    </row>
    <row r="4" ht="26" customHeight="1">
      <c r="A4" s="40" t="inlineStr">
        <is>
          <t>FastTrack Assistance</t>
        </is>
      </c>
      <c r="B4" s="60" t="n">
        <v>0</v>
      </c>
      <c r="C4" s="41" t="inlineStr">
        <is>
          <t>Microsoft FastTrack assistance is free for 500+ seat organizations</t>
        </is>
      </c>
    </row>
    <row r="5" ht="26" customHeight="1">
      <c r="A5" s="61" t="inlineStr">
        <is>
          <t>TOTAL</t>
        </is>
      </c>
      <c r="B5" s="62">
        <f>SUMPRODUCT($G$33:$G$65,$H$33:$H$65)</f>
        <v/>
      </c>
      <c r="C5" s="63" t="inlineStr">
        <is>
          <t>Total Cost - no partner credits for commercial Microsoft 365</t>
        </is>
      </c>
    </row>
  </sheetData>
  <autoFilter ref="A2:C5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2025-11-23T05:32:29Z</dcterms:modified>
  <cp:lastModifiedBy>Kishan Siram</cp:lastModifiedBy>
</cp:coreProperties>
</file>