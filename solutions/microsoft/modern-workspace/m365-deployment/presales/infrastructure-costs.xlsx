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Guidelines'!$A$2:$F$8</definedName>
    <definedName name="_xlnm._FilterDatabase" localSheetId="2" hidden="1">'Infrastructure Costs'!$A$2:$K$19</definedName>
    <definedName name="_xlnm._FilterDatabase" localSheetId="3" hidden="1">'Credits'!$A$2:$D$6</definedName>
    <definedName name="_xlnm._FilterDatabase" localSheetId="4" hidden="1">'3-Year Summary'!$A$2:$G$7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M365 Deployment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Software Licenses</t>
        </is>
      </c>
      <c r="B3" s="38" t="inlineStr">
        <is>
          <t>User Count</t>
        </is>
      </c>
      <c r="C3" s="39" t="inlineStr">
        <is>
          <t>100 users</t>
        </is>
      </c>
      <c r="D3" s="39" t="inlineStr">
        <is>
          <t>500 users</t>
        </is>
      </c>
      <c r="E3" s="39" t="inlineStr">
        <is>
          <t>1000+ users</t>
        </is>
      </c>
      <c r="F3" s="38" t="inlineStr">
        <is>
          <t>Number of M365 licensed users</t>
        </is>
      </c>
    </row>
    <row r="4" ht="26" customHeight="1">
      <c r="A4" s="40" t="inlineStr">
        <is>
          <t>Software Licenses</t>
        </is>
      </c>
      <c r="B4" s="41" t="inlineStr">
        <is>
          <t>M365 License Tier</t>
        </is>
      </c>
      <c r="C4" s="42" t="inlineStr">
        <is>
          <t>Business Premium</t>
        </is>
      </c>
      <c r="D4" s="42" t="inlineStr">
        <is>
          <t>E3 licensing</t>
        </is>
      </c>
      <c r="E4" s="42" t="inlineStr">
        <is>
          <t>E5 licensing</t>
        </is>
      </c>
      <c r="F4" s="41" t="inlineStr">
        <is>
          <t>License tier based on security needs</t>
        </is>
      </c>
    </row>
    <row r="5" ht="26" customHeight="1">
      <c r="A5" s="37" t="inlineStr">
        <is>
          <t>Cloud Infrastructure</t>
        </is>
      </c>
      <c r="B5" s="38" t="inlineStr">
        <is>
          <t>Email Migration Volume</t>
        </is>
      </c>
      <c r="C5" s="39" t="inlineStr">
        <is>
          <t>10 GB total</t>
        </is>
      </c>
      <c r="D5" s="39" t="inlineStr">
        <is>
          <t>250 GB total</t>
        </is>
      </c>
      <c r="E5" s="39" t="inlineStr">
        <is>
          <t>1 TB+ total</t>
        </is>
      </c>
      <c r="F5" s="38" t="inlineStr">
        <is>
          <t>Total mailbox data for migration</t>
        </is>
      </c>
    </row>
    <row r="6" ht="26" customHeight="1">
      <c r="A6" s="40" t="inlineStr">
        <is>
          <t>Cloud Infrastructure</t>
        </is>
      </c>
      <c r="B6" s="41" t="inlineStr">
        <is>
          <t>File Migration Volume</t>
        </is>
      </c>
      <c r="C6" s="42" t="inlineStr">
        <is>
          <t>500 GB</t>
        </is>
      </c>
      <c r="D6" s="42" t="inlineStr">
        <is>
          <t>5 TB</t>
        </is>
      </c>
      <c r="E6" s="42" t="inlineStr">
        <is>
          <t>20+ TB</t>
        </is>
      </c>
      <c r="F6" s="41" t="inlineStr">
        <is>
          <t>SharePoint and OneDrive file migration</t>
        </is>
      </c>
    </row>
    <row r="7" ht="26" customHeight="1">
      <c r="A7" s="37" t="inlineStr">
        <is>
          <t>Cloud Infrastructure</t>
        </is>
      </c>
      <c r="B7" s="38" t="inlineStr">
        <is>
          <t>Teams Phone Users</t>
        </is>
      </c>
      <c r="C7" s="39" t="inlineStr">
        <is>
          <t>No phone system</t>
        </is>
      </c>
      <c r="D7" s="39" t="inlineStr">
        <is>
          <t>100 phone users</t>
        </is>
      </c>
      <c r="E7" s="39" t="inlineStr">
        <is>
          <t>500+ phone users</t>
        </is>
      </c>
      <c r="F7" s="38" t="inlineStr">
        <is>
          <t>Teams calling and PSTN connectivity</t>
        </is>
      </c>
    </row>
    <row r="8" ht="26" customHeight="1">
      <c r="A8" s="40" t="inlineStr">
        <is>
          <t>Support &amp; Maintenance</t>
        </is>
      </c>
      <c r="B8" s="41" t="inlineStr">
        <is>
          <t>Support Level</t>
        </is>
      </c>
      <c r="C8" s="42" t="inlineStr">
        <is>
          <t>Business hours</t>
        </is>
      </c>
      <c r="D8" s="42" t="inlineStr">
        <is>
          <t>24x5 support</t>
        </is>
      </c>
      <c r="E8" s="42" t="inlineStr">
        <is>
          <t>24x7 premium</t>
        </is>
      </c>
      <c r="F8" s="41" t="inlineStr">
        <is>
          <t>User support and helpdesk coverage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Software Licenses</t>
        </is>
      </c>
      <c r="B3" s="44" t="inlineStr">
        <is>
          <t>Microsoft 365 E5</t>
        </is>
      </c>
      <c r="C3" s="44" t="inlineStr">
        <is>
          <t>E5 licenses for 500 users ($57/user/month)</t>
        </is>
      </c>
      <c r="D3" s="45" t="n">
        <v>500</v>
      </c>
      <c r="E3" s="44" t="inlineStr">
        <is>
          <t>Users/Month</t>
        </is>
      </c>
      <c r="F3" s="46" t="n">
        <v>57</v>
      </c>
      <c r="G3" s="46">
        <f>D3*F3*12</f>
        <v/>
      </c>
      <c r="H3" s="46">
        <f>G3</f>
        <v/>
      </c>
      <c r="I3" s="46">
        <f>G3</f>
        <v/>
      </c>
      <c r="J3" s="46">
        <f>G3+H3+I3</f>
        <v/>
      </c>
      <c r="K3" s="44" t="inlineStr">
        <is>
          <t>Includes Office apps Exchange SharePoint Teams Defender Purview</t>
        </is>
      </c>
    </row>
    <row r="4" ht="26" customHeight="1">
      <c r="A4" s="47" t="inlineStr">
        <is>
          <t>Software Licenses</t>
        </is>
      </c>
      <c r="B4" s="48" t="inlineStr">
        <is>
          <t>Audio Conferencing</t>
        </is>
      </c>
      <c r="C4" s="48" t="inlineStr">
        <is>
          <t>Audio dial-in for meetings (200 users @ $4/month)</t>
        </is>
      </c>
      <c r="D4" s="49" t="n">
        <v>200</v>
      </c>
      <c r="E4" s="48" t="inlineStr">
        <is>
          <t>Users/Month</t>
        </is>
      </c>
      <c r="F4" s="50" t="n">
        <v>4</v>
      </c>
      <c r="G4" s="50">
        <f>D4*F4*12</f>
        <v/>
      </c>
      <c r="H4" s="50">
        <f>G4</f>
        <v/>
      </c>
      <c r="I4" s="50">
        <f>G4</f>
        <v/>
      </c>
      <c r="J4" s="50">
        <f>G4+H4+I4</f>
        <v/>
      </c>
      <c r="K4" s="48" t="inlineStr">
        <is>
          <t>PSTN conferencing bridge access</t>
        </is>
      </c>
    </row>
    <row r="5" ht="26" customHeight="1">
      <c r="A5" s="43" t="inlineStr">
        <is>
          <t>Software Licenses</t>
        </is>
      </c>
      <c r="B5" s="44" t="inlineStr">
        <is>
          <t>Teams Phone Standard</t>
        </is>
      </c>
      <c r="C5" s="44" t="inlineStr">
        <is>
          <t>Teams Phone licenses (150 users @ $8/month)</t>
        </is>
      </c>
      <c r="D5" s="45" t="n">
        <v>150</v>
      </c>
      <c r="E5" s="44" t="inlineStr">
        <is>
          <t>Users/Month</t>
        </is>
      </c>
      <c r="F5" s="46" t="n">
        <v>8</v>
      </c>
      <c r="G5" s="46">
        <f>D5*F5*12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Phone system for calling features</t>
        </is>
      </c>
    </row>
    <row r="6" ht="26" customHeight="1">
      <c r="A6" s="47" t="inlineStr">
        <is>
          <t>Software Licenses</t>
        </is>
      </c>
      <c r="B6" s="48" t="inlineStr">
        <is>
          <t>Domestic Calling Plan</t>
        </is>
      </c>
      <c r="C6" s="48" t="inlineStr">
        <is>
          <t>120 minutes domestic calling (150 users @ $12/month)</t>
        </is>
      </c>
      <c r="D6" s="49" t="n">
        <v>150</v>
      </c>
      <c r="E6" s="48" t="inlineStr">
        <is>
          <t>Users/Month</t>
        </is>
      </c>
      <c r="F6" s="50" t="n">
        <v>12</v>
      </c>
      <c r="G6" s="50">
        <f>D6*F6*12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PSTN connectivity for calling</t>
        </is>
      </c>
    </row>
    <row r="7" ht="26" customHeight="1">
      <c r="A7" s="43" t="inlineStr">
        <is>
          <t>Software Licenses</t>
        </is>
      </c>
      <c r="B7" s="44" t="inlineStr">
        <is>
          <t>Power BI Pro</t>
        </is>
      </c>
      <c r="C7" s="44" t="inlineStr">
        <is>
          <t>Analytics and reporting (50 users @ $10/month)</t>
        </is>
      </c>
      <c r="D7" s="45" t="n">
        <v>50</v>
      </c>
      <c r="E7" s="44" t="inlineStr">
        <is>
          <t>Users/Month</t>
        </is>
      </c>
      <c r="F7" s="46" t="n">
        <v>10</v>
      </c>
      <c r="G7" s="46">
        <f>D7*F7*12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Business intelligence and dashboards</t>
        </is>
      </c>
    </row>
    <row r="8" ht="26" customHeight="1">
      <c r="A8" s="47" t="inlineStr">
        <is>
          <t>Cloud Infrastructure</t>
        </is>
      </c>
      <c r="B8" s="48" t="inlineStr">
        <is>
          <t>Azure AD Premium P2</t>
        </is>
      </c>
      <c r="C8" s="48" t="inlineStr">
        <is>
          <t>Additional identity features (included in E5)</t>
        </is>
      </c>
      <c r="D8" s="49" t="n">
        <v>0</v>
      </c>
      <c r="E8" s="48" t="inlineStr">
        <is>
          <t>Users/Month</t>
        </is>
      </c>
      <c r="F8" s="50" t="n">
        <v>0</v>
      </c>
      <c r="G8" s="50" t="n">
        <v>0</v>
      </c>
      <c r="H8" s="50" t="n">
        <v>0</v>
      </c>
      <c r="I8" s="50" t="n">
        <v>0</v>
      </c>
      <c r="J8" s="50" t="n">
        <v>0</v>
      </c>
      <c r="K8" s="48" t="inlineStr">
        <is>
          <t>Included in M365 E5 licensing</t>
        </is>
      </c>
    </row>
    <row r="9" ht="26" customHeight="1">
      <c r="A9" s="43" t="inlineStr">
        <is>
          <t>Cloud Infrastructure</t>
        </is>
      </c>
      <c r="B9" s="44" t="inlineStr">
        <is>
          <t>SharePoint Storage</t>
        </is>
      </c>
      <c r="C9" s="44" t="inlineStr">
        <is>
          <t>Additional SharePoint storage 10TB ($0.20/GB/month)</t>
        </is>
      </c>
      <c r="D9" s="45" t="n">
        <v>10000</v>
      </c>
      <c r="E9" s="44" t="inlineStr">
        <is>
          <t>GB/Month</t>
        </is>
      </c>
      <c r="F9" s="46" t="n">
        <v>0.2</v>
      </c>
      <c r="G9" s="46">
        <f>D9*F9*12</f>
        <v/>
      </c>
      <c r="H9" s="46">
        <f>G9</f>
        <v/>
      </c>
      <c r="I9" s="46">
        <f>G9</f>
        <v/>
      </c>
      <c r="J9" s="46">
        <f>G9+H9+I9</f>
        <v/>
      </c>
      <c r="K9" s="44" t="inlineStr">
        <is>
          <t>Beyond included 10TB + 10GB per user</t>
        </is>
      </c>
    </row>
    <row r="10" ht="26" customHeight="1">
      <c r="A10" s="47" t="inlineStr">
        <is>
          <t>Cloud Infrastructure</t>
        </is>
      </c>
      <c r="B10" s="48" t="inlineStr">
        <is>
          <t>Exchange Online Archiving</t>
        </is>
      </c>
      <c r="C10" s="48" t="inlineStr">
        <is>
          <t>Email archiving (included in E5)</t>
        </is>
      </c>
      <c r="D10" s="49" t="n">
        <v>0</v>
      </c>
      <c r="E10" s="48" t="inlineStr">
        <is>
          <t>Users/Month</t>
        </is>
      </c>
      <c r="F10" s="50" t="n">
        <v>0</v>
      </c>
      <c r="G10" s="50" t="n">
        <v>0</v>
      </c>
      <c r="H10" s="50" t="n">
        <v>0</v>
      </c>
      <c r="I10" s="50" t="n">
        <v>0</v>
      </c>
      <c r="J10" s="50" t="n">
        <v>0</v>
      </c>
      <c r="K10" s="48" t="inlineStr">
        <is>
          <t>Included in M365 E5 licensing</t>
        </is>
      </c>
    </row>
    <row r="11" ht="26" customHeight="1">
      <c r="A11" s="43" t="inlineStr">
        <is>
          <t>Cloud Infrastructure</t>
        </is>
      </c>
      <c r="B11" s="44" t="inlineStr">
        <is>
          <t>Microsoft Stream</t>
        </is>
      </c>
      <c r="C11" s="44" t="inlineStr">
        <is>
          <t>Video hosting and streaming (included in E5)</t>
        </is>
      </c>
      <c r="D11" s="45" t="n">
        <v>0</v>
      </c>
      <c r="E11" s="44" t="inlineStr">
        <is>
          <t>Service/Month</t>
        </is>
      </c>
      <c r="F11" s="46" t="n">
        <v>0</v>
      </c>
      <c r="G11" s="46" t="n">
        <v>0</v>
      </c>
      <c r="H11" s="46" t="n">
        <v>0</v>
      </c>
      <c r="I11" s="46" t="n">
        <v>0</v>
      </c>
      <c r="J11" s="46" t="n">
        <v>0</v>
      </c>
      <c r="K11" s="44" t="inlineStr">
        <is>
          <t>Included in M365 E5 licensing</t>
        </is>
      </c>
    </row>
    <row r="12" ht="26" customHeight="1">
      <c r="A12" s="47" t="inlineStr">
        <is>
          <t>Support &amp; Maintenance</t>
        </is>
      </c>
      <c r="B12" s="48" t="inlineStr">
        <is>
          <t>Microsoft 365 Support</t>
        </is>
      </c>
      <c r="C12" s="48" t="inlineStr">
        <is>
          <t>Premier Support for M365 (15% of licenses)</t>
        </is>
      </c>
      <c r="D12" s="49" t="n">
        <v>1</v>
      </c>
      <c r="E12" s="48" t="inlineStr">
        <is>
          <t>Service/Month</t>
        </is>
      </c>
      <c r="F12" s="50" t="n">
        <v>3562</v>
      </c>
      <c r="G12" s="50">
        <f>D12*F12*12</f>
        <v/>
      </c>
      <c r="H12" s="50">
        <f>G12</f>
        <v/>
      </c>
      <c r="I12" s="50">
        <f>G12</f>
        <v/>
      </c>
      <c r="J12" s="50">
        <f>G12+H12+I12</f>
        <v/>
      </c>
      <c r="K12" s="48" t="inlineStr">
        <is>
          <t>24x7 support for production environment</t>
        </is>
      </c>
    </row>
    <row r="13" ht="26" customHeight="1">
      <c r="A13" s="43" t="inlineStr">
        <is>
          <t>Support &amp; Maintenance</t>
        </is>
      </c>
      <c r="B13" s="44" t="inlineStr">
        <is>
          <t>Intune Device Management</t>
        </is>
      </c>
      <c r="C13" s="44" t="inlineStr">
        <is>
          <t>Mobile device management (included in E5)</t>
        </is>
      </c>
      <c r="D13" s="45" t="n">
        <v>0</v>
      </c>
      <c r="E13" s="44" t="inlineStr">
        <is>
          <t>Devices/Month</t>
        </is>
      </c>
      <c r="F13" s="46" t="n">
        <v>0</v>
      </c>
      <c r="G13" s="46" t="n">
        <v>0</v>
      </c>
      <c r="H13" s="46" t="n">
        <v>0</v>
      </c>
      <c r="I13" s="46" t="n">
        <v>0</v>
      </c>
      <c r="J13" s="46" t="n">
        <v>0</v>
      </c>
      <c r="K13" s="44" t="inlineStr">
        <is>
          <t>Included in M365 E5 licensing</t>
        </is>
      </c>
    </row>
    <row r="14" ht="26" customHeight="1">
      <c r="A14" s="47" t="inlineStr">
        <is>
          <t>Professional Services</t>
        </is>
      </c>
      <c r="B14" s="48" t="inlineStr">
        <is>
          <t>Migration Services - Email</t>
        </is>
      </c>
      <c r="C14" s="48" t="inlineStr">
        <is>
          <t>Exchange migration 250GB (150 hours @ $200)</t>
        </is>
      </c>
      <c r="D14" s="49" t="n">
        <v>150</v>
      </c>
      <c r="E14" s="48" t="inlineStr">
        <is>
          <t>Hours</t>
        </is>
      </c>
      <c r="F14" s="50" t="n">
        <v>200</v>
      </c>
      <c r="G14" s="50" t="n">
        <v>30000</v>
      </c>
      <c r="H14" s="50" t="n">
        <v>0</v>
      </c>
      <c r="I14" s="50" t="n">
        <v>0</v>
      </c>
      <c r="J14" s="50" t="n">
        <v>30000</v>
      </c>
      <c r="K14" s="48" t="inlineStr">
        <is>
          <t>Year 1 only - email migration</t>
        </is>
      </c>
    </row>
    <row r="15" ht="26" customHeight="1">
      <c r="A15" s="43" t="inlineStr">
        <is>
          <t>Professional Services</t>
        </is>
      </c>
      <c r="B15" s="44" t="inlineStr">
        <is>
          <t>Migration Services - Files</t>
        </is>
      </c>
      <c r="C15" s="44" t="inlineStr">
        <is>
          <t>SharePoint and OneDrive migration 5TB (80 hours @ $200)</t>
        </is>
      </c>
      <c r="D15" s="45" t="n">
        <v>80</v>
      </c>
      <c r="E15" s="44" t="inlineStr">
        <is>
          <t>Hours</t>
        </is>
      </c>
      <c r="F15" s="46" t="n">
        <v>200</v>
      </c>
      <c r="G15" s="46" t="n">
        <v>16000</v>
      </c>
      <c r="H15" s="46" t="n">
        <v>0</v>
      </c>
      <c r="I15" s="46" t="n">
        <v>0</v>
      </c>
      <c r="J15" s="46" t="n">
        <v>16000</v>
      </c>
      <c r="K15" s="44" t="inlineStr">
        <is>
          <t>Year 1 only - file migration</t>
        </is>
      </c>
    </row>
    <row r="16" ht="26" customHeight="1">
      <c r="A16" s="47" t="inlineStr">
        <is>
          <t>Professional Services</t>
        </is>
      </c>
      <c r="B16" s="48" t="inlineStr">
        <is>
          <t>Security Configuration</t>
        </is>
      </c>
      <c r="C16" s="48" t="inlineStr">
        <is>
          <t>Conditional Access DLP Defender setup (80 hours @ $225)</t>
        </is>
      </c>
      <c r="D16" s="49" t="n">
        <v>80</v>
      </c>
      <c r="E16" s="48" t="inlineStr">
        <is>
          <t>Hours</t>
        </is>
      </c>
      <c r="F16" s="50" t="n">
        <v>225</v>
      </c>
      <c r="G16" s="50" t="n">
        <v>18000</v>
      </c>
      <c r="H16" s="50" t="n">
        <v>0</v>
      </c>
      <c r="I16" s="50" t="n">
        <v>0</v>
      </c>
      <c r="J16" s="50" t="n">
        <v>18000</v>
      </c>
      <c r="K16" s="48" t="inlineStr">
        <is>
          <t>Year 1 only - security baseline</t>
        </is>
      </c>
    </row>
    <row r="17" ht="26" customHeight="1">
      <c r="A17" s="43" t="inlineStr">
        <is>
          <t>Professional Services</t>
        </is>
      </c>
      <c r="B17" s="44" t="inlineStr">
        <is>
          <t>Teams Deployment</t>
        </is>
      </c>
      <c r="C17" s="44" t="inlineStr">
        <is>
          <t>Teams channels apps governance (40 hours @ $200)</t>
        </is>
      </c>
      <c r="D17" s="45" t="n">
        <v>40</v>
      </c>
      <c r="E17" s="44" t="inlineStr">
        <is>
          <t>Hours</t>
        </is>
      </c>
      <c r="F17" s="46" t="n">
        <v>200</v>
      </c>
      <c r="G17" s="46" t="n">
        <v>8000</v>
      </c>
      <c r="H17" s="46" t="n">
        <v>0</v>
      </c>
      <c r="I17" s="46" t="n">
        <v>0</v>
      </c>
      <c r="J17" s="46" t="n">
        <v>8000</v>
      </c>
      <c r="K17" s="44" t="inlineStr">
        <is>
          <t>Year 1 only - Teams rollout</t>
        </is>
      </c>
    </row>
    <row r="18" ht="26" customHeight="1">
      <c r="A18" s="47" t="inlineStr">
        <is>
          <t>Professional Services</t>
        </is>
      </c>
      <c r="B18" s="48" t="inlineStr">
        <is>
          <t>Training &amp; Documentation</t>
        </is>
      </c>
      <c r="C18" s="48" t="inlineStr">
        <is>
          <t>Admin and user training (40 hours @ $175)</t>
        </is>
      </c>
      <c r="D18" s="49" t="n">
        <v>40</v>
      </c>
      <c r="E18" s="48" t="inlineStr">
        <is>
          <t>Hours</t>
        </is>
      </c>
      <c r="F18" s="50" t="n">
        <v>175</v>
      </c>
      <c r="G18" s="50" t="n">
        <v>7000</v>
      </c>
      <c r="H18" s="50" t="n">
        <v>0</v>
      </c>
      <c r="I18" s="50" t="n">
        <v>0</v>
      </c>
      <c r="J18" s="50" t="n">
        <v>7000</v>
      </c>
      <c r="K18" s="48" t="inlineStr">
        <is>
          <t>Year 1 only - knowledge transfer</t>
        </is>
      </c>
    </row>
    <row r="19" ht="26" customHeight="1">
      <c r="A19" s="51" t="inlineStr">
        <is>
          <t>TOTAL</t>
        </is>
      </c>
      <c r="B19" s="52" t="n"/>
      <c r="C19" s="52" t="n"/>
      <c r="D19" s="52" t="n"/>
      <c r="E19" s="52" t="n"/>
      <c r="F19" s="52" t="n"/>
      <c r="G19" s="53">
        <f>SUM(G3:G18)</f>
        <v/>
      </c>
      <c r="H19" s="53">
        <f>SUM(H3:H18)</f>
        <v/>
      </c>
      <c r="I19" s="53">
        <f>SUM(I3:I18)</f>
        <v/>
      </c>
      <c r="J19" s="53">
        <f>SUM(J3:J18)</f>
        <v/>
      </c>
      <c r="K19" s="52" t="n"/>
    </row>
  </sheetData>
  <autoFilter ref="A2:K19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Software Licenses</t>
        </is>
      </c>
      <c r="B3" s="44" t="inlineStr">
        <is>
          <t>Microsoft Partner Credit</t>
        </is>
      </c>
      <c r="C3" s="46" t="n">
        <v>0</v>
      </c>
      <c r="D3" s="44" t="inlineStr">
        <is>
          <t>No partner credits for commercial licensing</t>
        </is>
      </c>
    </row>
    <row r="4" ht="26" customHeight="1">
      <c r="A4" s="47" t="inlineStr">
        <is>
          <t>Cloud Infrastructure</t>
        </is>
      </c>
      <c r="B4" s="48" t="inlineStr">
        <is>
          <t>Azure Credit</t>
        </is>
      </c>
      <c r="C4" s="50" t="n">
        <v>0</v>
      </c>
      <c r="D4" s="48" t="inlineStr">
        <is>
          <t>No Azure credits for M365 SaaS</t>
        </is>
      </c>
    </row>
    <row r="5" ht="26" customHeight="1">
      <c r="A5" s="43" t="inlineStr">
        <is>
          <t>Support &amp; Maintenance</t>
        </is>
      </c>
      <c r="B5" s="44" t="inlineStr">
        <is>
          <t>Program Credit</t>
        </is>
      </c>
      <c r="C5" s="46" t="n">
        <v>0</v>
      </c>
      <c r="D5" s="44" t="inlineStr">
        <is>
          <t>No support credits available</t>
        </is>
      </c>
    </row>
    <row r="6" ht="26" customHeight="1">
      <c r="A6" s="47" t="inlineStr">
        <is>
          <t>Professional Services</t>
        </is>
      </c>
      <c r="B6" s="48" t="inlineStr">
        <is>
          <t>FastTrack Assistance</t>
        </is>
      </c>
      <c r="C6" s="50" t="n">
        <v>0</v>
      </c>
      <c r="D6" s="48" t="inlineStr">
        <is>
          <t>Microsoft FastTrack included for 150+ seats (not applicable for 500 users - threshold is 500+)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Software Licenses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Cloud Infrastructure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Professional Services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51" t="inlineStr">
        <is>
          <t>TOTAL</t>
        </is>
      </c>
      <c r="B7" s="53">
        <f>SUM(B3:B6)</f>
        <v/>
      </c>
      <c r="C7" s="53">
        <f>SUM(C3:C6)</f>
        <v/>
      </c>
      <c r="D7" s="53">
        <f>SUM(D3:D6)</f>
        <v/>
      </c>
      <c r="E7" s="53">
        <f>SUM(E3:E6)</f>
        <v/>
      </c>
      <c r="F7" s="53">
        <f>SUM(F3:F6)</f>
        <v/>
      </c>
      <c r="G7" s="53">
        <f>SUM(G3:G6)</f>
        <v/>
      </c>
    </row>
  </sheetData>
  <autoFilter ref="A2:G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2025-11-22T18:41:15Z</dcterms:modified>
  <cp:lastModifiedBy>Kishan Siram</cp:lastModifiedBy>
</cp:coreProperties>
</file>