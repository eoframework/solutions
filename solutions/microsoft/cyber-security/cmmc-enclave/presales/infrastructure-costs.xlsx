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Guidelines'!$A$2:$F$9</definedName>
    <definedName name="_xlnm._FilterDatabase" localSheetId="2" hidden="1">'Infrastructure Costs'!$A$2:$K$21</definedName>
    <definedName name="_xlnm._FilterDatabase" localSheetId="3" hidden="1">'Credits'!$A$2:$D$6</definedName>
    <definedName name="_xlnm._FilterDatabase" localSheetId="4" hidden="1">'3-Year Summary'!$A$2:$G$7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Cmmc Enclave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Cloud Infrastructure</t>
        </is>
      </c>
      <c r="B3" s="38" t="inlineStr">
        <is>
          <t>CUI User Count</t>
        </is>
      </c>
      <c r="C3" s="39" t="inlineStr">
        <is>
          <t>25 users</t>
        </is>
      </c>
      <c r="D3" s="39" t="inlineStr">
        <is>
          <t>50 users</t>
        </is>
      </c>
      <c r="E3" s="39" t="inlineStr">
        <is>
          <t>100+ users</t>
        </is>
      </c>
      <c r="F3" s="38" t="inlineStr">
        <is>
          <t>Number of users accessing CUI data</t>
        </is>
      </c>
    </row>
    <row r="4" ht="26" customHeight="1">
      <c r="A4" s="40" t="inlineStr">
        <is>
          <t>Cloud Infrastructure</t>
        </is>
      </c>
      <c r="B4" s="41" t="inlineStr">
        <is>
          <t>Azure Government Compute</t>
        </is>
      </c>
      <c r="C4" s="42" t="inlineStr">
        <is>
          <t>2 VMs (4 vCPU 16GB)</t>
        </is>
      </c>
      <c r="D4" s="42" t="inlineStr">
        <is>
          <t>4 VMs (8 vCPU 32GB)</t>
        </is>
      </c>
      <c r="E4" s="42" t="inlineStr">
        <is>
          <t>8+ VMs (16 vCPU 64GB)</t>
        </is>
      </c>
      <c r="F4" s="41" t="inlineStr">
        <is>
          <t>Virtual machines for workload hosting</t>
        </is>
      </c>
    </row>
    <row r="5" ht="26" customHeight="1">
      <c r="A5" s="37" t="inlineStr">
        <is>
          <t>Cloud Infrastructure</t>
        </is>
      </c>
      <c r="B5" s="38" t="inlineStr">
        <is>
          <t>Storage Volume</t>
        </is>
      </c>
      <c r="C5" s="39" t="inlineStr">
        <is>
          <t>500 GB</t>
        </is>
      </c>
      <c r="D5" s="39" t="inlineStr">
        <is>
          <t>2 TB</t>
        </is>
      </c>
      <c r="E5" s="39" t="inlineStr">
        <is>
          <t>10+ TB</t>
        </is>
      </c>
      <c r="F5" s="38" t="inlineStr">
        <is>
          <t>Azure Government storage for CUI data</t>
        </is>
      </c>
    </row>
    <row r="6" ht="26" customHeight="1">
      <c r="A6" s="40" t="inlineStr">
        <is>
          <t>Cloud Infrastructure</t>
        </is>
      </c>
      <c r="B6" s="41" t="inlineStr">
        <is>
          <t>Sentinel SIEM Ingestion</t>
        </is>
      </c>
      <c r="C6" s="42" t="inlineStr">
        <is>
          <t>50 GB/month</t>
        </is>
      </c>
      <c r="D6" s="42" t="inlineStr">
        <is>
          <t>100 GB/month</t>
        </is>
      </c>
      <c r="E6" s="42" t="inlineStr">
        <is>
          <t>250+ GB/month</t>
        </is>
      </c>
      <c r="F6" s="41" t="inlineStr">
        <is>
          <t>Security log ingestion and analysis</t>
        </is>
      </c>
    </row>
    <row r="7" ht="26" customHeight="1">
      <c r="A7" s="37" t="inlineStr">
        <is>
          <t>Software Licenses</t>
        </is>
      </c>
      <c r="B7" s="38" t="inlineStr">
        <is>
          <t>M365 GCC High License</t>
        </is>
      </c>
      <c r="C7" s="39" t="inlineStr">
        <is>
          <t>E3 licensing</t>
        </is>
      </c>
      <c r="D7" s="39" t="inlineStr">
        <is>
          <t>E5 licensing</t>
        </is>
      </c>
      <c r="E7" s="39" t="inlineStr">
        <is>
          <t>E5 + add-ons</t>
        </is>
      </c>
      <c r="F7" s="38" t="inlineStr">
        <is>
          <t>Email collaboration and compliance</t>
        </is>
      </c>
    </row>
    <row r="8" ht="26" customHeight="1">
      <c r="A8" s="40" t="inlineStr">
        <is>
          <t>Software Licenses</t>
        </is>
      </c>
      <c r="B8" s="41" t="inlineStr">
        <is>
          <t>Defender for Cloud</t>
        </is>
      </c>
      <c r="C8" s="42" t="inlineStr">
        <is>
          <t>Standard CSPM</t>
        </is>
      </c>
      <c r="D8" s="42" t="inlineStr">
        <is>
          <t>Premium CSPM + CWP</t>
        </is>
      </c>
      <c r="E8" s="42" t="inlineStr">
        <is>
          <t>Premium + DevOps Security</t>
        </is>
      </c>
      <c r="F8" s="41" t="inlineStr">
        <is>
          <t>Cloud security posture management</t>
        </is>
      </c>
    </row>
    <row r="9" ht="26" customHeight="1">
      <c r="A9" s="37" t="inlineStr">
        <is>
          <t>Support &amp; Maintenance</t>
        </is>
      </c>
      <c r="B9" s="38" t="inlineStr">
        <is>
          <t>Support Level</t>
        </is>
      </c>
      <c r="C9" s="39" t="inlineStr">
        <is>
          <t>Business hours</t>
        </is>
      </c>
      <c r="D9" s="39" t="inlineStr">
        <is>
          <t>24x5 support</t>
        </is>
      </c>
      <c r="E9" s="39" t="inlineStr">
        <is>
          <t>24x7 premium SOC</t>
        </is>
      </c>
      <c r="F9" s="38" t="inlineStr">
        <is>
          <t>Security operations and support coverage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Software Licenses</t>
        </is>
      </c>
      <c r="B3" s="44" t="inlineStr">
        <is>
          <t>Microsoft 365 GCC High E5</t>
        </is>
      </c>
      <c r="C3" s="44" t="inlineStr">
        <is>
          <t>E5 licenses for CUI users (50 users × $96/month)</t>
        </is>
      </c>
      <c r="D3" s="45" t="n">
        <v>50</v>
      </c>
      <c r="E3" s="44" t="inlineStr">
        <is>
          <t>Users/Month</t>
        </is>
      </c>
      <c r="F3" s="46" t="n">
        <v>96</v>
      </c>
      <c r="G3" s="46">
        <f>D3*F3*12</f>
        <v/>
      </c>
      <c r="H3" s="46">
        <f>G3</f>
        <v/>
      </c>
      <c r="I3" s="46">
        <f>G3</f>
        <v/>
      </c>
      <c r="J3" s="46">
        <f>G3+H3+I3</f>
        <v/>
      </c>
      <c r="K3" s="44" t="inlineStr">
        <is>
          <t>Includes advanced compliance and security</t>
        </is>
      </c>
    </row>
    <row r="4" ht="26" customHeight="1">
      <c r="A4" s="47" t="inlineStr">
        <is>
          <t>Software Licenses</t>
        </is>
      </c>
      <c r="B4" s="48" t="inlineStr">
        <is>
          <t>Azure AD Premium P2</t>
        </is>
      </c>
      <c r="C4" s="48" t="inlineStr">
        <is>
          <t>Azure AD Premium P2 (included in E5)</t>
        </is>
      </c>
      <c r="D4" s="49" t="n">
        <v>0</v>
      </c>
      <c r="E4" s="48" t="inlineStr">
        <is>
          <t>Users/Month</t>
        </is>
      </c>
      <c r="F4" s="50" t="n">
        <v>0</v>
      </c>
      <c r="G4" s="50" t="n">
        <v>0</v>
      </c>
      <c r="H4" s="50" t="n">
        <v>0</v>
      </c>
      <c r="I4" s="50" t="n">
        <v>0</v>
      </c>
      <c r="J4" s="50" t="n">
        <v>0</v>
      </c>
      <c r="K4" s="48" t="inlineStr">
        <is>
          <t>Included in M365 E5 licensing</t>
        </is>
      </c>
    </row>
    <row r="5" ht="26" customHeight="1">
      <c r="A5" s="43" t="inlineStr">
        <is>
          <t>Cloud Infrastructure</t>
        </is>
      </c>
      <c r="B5" s="44" t="inlineStr">
        <is>
          <t>Azure Government VMs</t>
        </is>
      </c>
      <c r="C5" s="44" t="inlineStr">
        <is>
          <t>4 VMs D4s_v3 (4 vCPU 16GB each) for workloads</t>
        </is>
      </c>
      <c r="D5" s="45" t="n">
        <v>4</v>
      </c>
      <c r="E5" s="44" t="inlineStr">
        <is>
          <t>VMs/Month</t>
        </is>
      </c>
      <c r="F5" s="46" t="n">
        <v>264</v>
      </c>
      <c r="G5" s="46">
        <f>D5*F5*12</f>
        <v/>
      </c>
      <c r="H5" s="46">
        <f>G5</f>
        <v/>
      </c>
      <c r="I5" s="46">
        <f>G5</f>
        <v/>
      </c>
      <c r="J5" s="46">
        <f>G5+H5+I5</f>
        <v/>
      </c>
      <c r="K5" s="44" t="inlineStr">
        <is>
          <t>CUI workload hosting</t>
        </is>
      </c>
    </row>
    <row r="6" ht="26" customHeight="1">
      <c r="A6" s="47" t="inlineStr">
        <is>
          <t>Cloud Infrastructure</t>
        </is>
      </c>
      <c r="B6" s="48" t="inlineStr">
        <is>
          <t>Azure Government Storage</t>
        </is>
      </c>
      <c r="C6" s="48" t="inlineStr">
        <is>
          <t>Premium SSD 2TB + Standard storage 5TB</t>
        </is>
      </c>
      <c r="D6" s="49" t="n">
        <v>1</v>
      </c>
      <c r="E6" s="48" t="inlineStr">
        <is>
          <t>Service/Month</t>
        </is>
      </c>
      <c r="F6" s="50" t="n">
        <v>520</v>
      </c>
      <c r="G6" s="50">
        <f>D6*F6*12</f>
        <v/>
      </c>
      <c r="H6" s="50">
        <f>G6</f>
        <v/>
      </c>
      <c r="I6" s="50">
        <f>G6</f>
        <v/>
      </c>
      <c r="J6" s="50">
        <f>G6+H6+I6</f>
        <v/>
      </c>
      <c r="K6" s="48" t="inlineStr">
        <is>
          <t>CUI data storage with geo-redundancy</t>
        </is>
      </c>
    </row>
    <row r="7" ht="26" customHeight="1">
      <c r="A7" s="43" t="inlineStr">
        <is>
          <t>Cloud Infrastructure</t>
        </is>
      </c>
      <c r="B7" s="44" t="inlineStr">
        <is>
          <t>Azure Government Networking</t>
        </is>
      </c>
      <c r="C7" s="44" t="inlineStr">
        <is>
          <t>ExpressRoute 1Gbps circuit + VPN Gateway</t>
        </is>
      </c>
      <c r="D7" s="45" t="n">
        <v>1</v>
      </c>
      <c r="E7" s="44" t="inlineStr">
        <is>
          <t>Service/Month</t>
        </is>
      </c>
      <c r="F7" s="46" t="n">
        <v>1250</v>
      </c>
      <c r="G7" s="46">
        <f>D7*F7*12</f>
        <v/>
      </c>
      <c r="H7" s="46">
        <f>G7</f>
        <v/>
      </c>
      <c r="I7" s="46">
        <f>G7</f>
        <v/>
      </c>
      <c r="J7" s="46">
        <f>G7+H7+I7</f>
        <v/>
      </c>
      <c r="K7" s="44" t="inlineStr">
        <is>
          <t>Secure connectivity to Azure Gov</t>
        </is>
      </c>
    </row>
    <row r="8" ht="26" customHeight="1">
      <c r="A8" s="47" t="inlineStr">
        <is>
          <t>Cloud Infrastructure</t>
        </is>
      </c>
      <c r="B8" s="48" t="inlineStr">
        <is>
          <t>Azure Backup</t>
        </is>
      </c>
      <c r="C8" s="48" t="inlineStr">
        <is>
          <t>VM backup with GRS retention</t>
        </is>
      </c>
      <c r="D8" s="49" t="n">
        <v>1</v>
      </c>
      <c r="E8" s="48" t="inlineStr">
        <is>
          <t>Service/Month</t>
        </is>
      </c>
      <c r="F8" s="50" t="n">
        <v>380</v>
      </c>
      <c r="G8" s="50">
        <f>D8*F8*12</f>
        <v/>
      </c>
      <c r="H8" s="50">
        <f>G8</f>
        <v/>
      </c>
      <c r="I8" s="50">
        <f>G8</f>
        <v/>
      </c>
      <c r="J8" s="50">
        <f>G8+H8+I8</f>
        <v/>
      </c>
      <c r="K8" s="48" t="inlineStr">
        <is>
          <t>Disaster recovery and compliance</t>
        </is>
      </c>
    </row>
    <row r="9" ht="26" customHeight="1">
      <c r="A9" s="43" t="inlineStr">
        <is>
          <t>Software Licenses</t>
        </is>
      </c>
      <c r="B9" s="44" t="inlineStr">
        <is>
          <t>Defender for Cloud</t>
        </is>
      </c>
      <c r="C9" s="44" t="inlineStr">
        <is>
          <t>Premium CSPM for 50 resources</t>
        </is>
      </c>
      <c r="D9" s="45" t="n">
        <v>50</v>
      </c>
      <c r="E9" s="44" t="inlineStr">
        <is>
          <t>Resources/Month</t>
        </is>
      </c>
      <c r="F9" s="46" t="n">
        <v>20</v>
      </c>
      <c r="G9" s="46">
        <f>D9*F9*12</f>
        <v/>
      </c>
      <c r="H9" s="46">
        <f>G9</f>
        <v/>
      </c>
      <c r="I9" s="46">
        <f>G9</f>
        <v/>
      </c>
      <c r="J9" s="46">
        <f>G9+H9+I9</f>
        <v/>
      </c>
      <c r="K9" s="44" t="inlineStr">
        <is>
          <t>CMMC compliance posture management</t>
        </is>
      </c>
    </row>
    <row r="10" ht="26" customHeight="1">
      <c r="A10" s="47" t="inlineStr">
        <is>
          <t>Software Licenses</t>
        </is>
      </c>
      <c r="B10" s="48" t="inlineStr">
        <is>
          <t>Sentinel SIEM</t>
        </is>
      </c>
      <c r="C10" s="48" t="inlineStr">
        <is>
          <t>100 GB/month log ingestion and analytics</t>
        </is>
      </c>
      <c r="D10" s="49" t="n">
        <v>100</v>
      </c>
      <c r="E10" s="48" t="inlineStr">
        <is>
          <t>GB/Month</t>
        </is>
      </c>
      <c r="F10" s="50" t="n">
        <v>25</v>
      </c>
      <c r="G10" s="50">
        <f>D10*F10*12</f>
        <v/>
      </c>
      <c r="H10" s="50">
        <f>G10</f>
        <v/>
      </c>
      <c r="I10" s="50">
        <f>G10</f>
        <v/>
      </c>
      <c r="J10" s="50">
        <f>G10+H10+I10</f>
        <v/>
      </c>
      <c r="K10" s="48" t="inlineStr">
        <is>
          <t>Security monitoring and incident response</t>
        </is>
      </c>
    </row>
    <row r="11" ht="26" customHeight="1">
      <c r="A11" s="43" t="inlineStr">
        <is>
          <t>Software Licenses</t>
        </is>
      </c>
      <c r="B11" s="44" t="inlineStr">
        <is>
          <t>Microsoft Defender for Endpoint</t>
        </is>
      </c>
      <c r="C11" s="44" t="inlineStr">
        <is>
          <t>Endpoint protection (included in E5)</t>
        </is>
      </c>
      <c r="D11" s="45" t="n">
        <v>0</v>
      </c>
      <c r="E11" s="44" t="inlineStr">
        <is>
          <t>Endpoints/Month</t>
        </is>
      </c>
      <c r="F11" s="46" t="n">
        <v>0</v>
      </c>
      <c r="G11" s="46" t="n">
        <v>0</v>
      </c>
      <c r="H11" s="46" t="n">
        <v>0</v>
      </c>
      <c r="I11" s="46" t="n">
        <v>0</v>
      </c>
      <c r="J11" s="46" t="n">
        <v>0</v>
      </c>
      <c r="K11" s="44" t="inlineStr">
        <is>
          <t>Included in M365 E5 licensing</t>
        </is>
      </c>
    </row>
    <row r="12" ht="26" customHeight="1">
      <c r="A12" s="47" t="inlineStr">
        <is>
          <t>Software Licenses</t>
        </is>
      </c>
      <c r="B12" s="48" t="inlineStr">
        <is>
          <t>Microsoft Purview</t>
        </is>
      </c>
      <c r="C12" s="48" t="inlineStr">
        <is>
          <t>Information Protection and DLP (included in E5)</t>
        </is>
      </c>
      <c r="D12" s="49" t="n">
        <v>0</v>
      </c>
      <c r="E12" s="48" t="inlineStr">
        <is>
          <t>Users/Month</t>
        </is>
      </c>
      <c r="F12" s="50" t="n">
        <v>0</v>
      </c>
      <c r="G12" s="50" t="n">
        <v>0</v>
      </c>
      <c r="H12" s="50" t="n">
        <v>0</v>
      </c>
      <c r="I12" s="50" t="n">
        <v>0</v>
      </c>
      <c r="J12" s="50" t="n">
        <v>0</v>
      </c>
      <c r="K12" s="48" t="inlineStr">
        <is>
          <t>Included in M365 E5 licensing</t>
        </is>
      </c>
    </row>
    <row r="13" ht="26" customHeight="1">
      <c r="A13" s="43" t="inlineStr">
        <is>
          <t>Cloud Infrastructure</t>
        </is>
      </c>
      <c r="B13" s="44" t="inlineStr">
        <is>
          <t>Azure Monitor</t>
        </is>
      </c>
      <c r="C13" s="44" t="inlineStr">
        <is>
          <t>Logs and Metrics (50GB logs + 100 metrics)</t>
        </is>
      </c>
      <c r="D13" s="45" t="n">
        <v>1</v>
      </c>
      <c r="E13" s="44" t="inlineStr">
        <is>
          <t>Service/Month</t>
        </is>
      </c>
      <c r="F13" s="46" t="n">
        <v>420</v>
      </c>
      <c r="G13" s="46">
        <f>D13*F13*12</f>
        <v/>
      </c>
      <c r="H13" s="46">
        <f>G13</f>
        <v/>
      </c>
      <c r="I13" s="46">
        <f>G13</f>
        <v/>
      </c>
      <c r="J13" s="46">
        <f>G13+H13+I13</f>
        <v/>
      </c>
      <c r="K13" s="44" t="inlineStr">
        <is>
          <t>Monitoring and alerting for compliance</t>
        </is>
      </c>
    </row>
    <row r="14" ht="26" customHeight="1">
      <c r="A14" s="47" t="inlineStr">
        <is>
          <t>Cloud Infrastructure</t>
        </is>
      </c>
      <c r="B14" s="48" t="inlineStr">
        <is>
          <t>Azure Key Vault</t>
        </is>
      </c>
      <c r="C14" s="48" t="inlineStr">
        <is>
          <t>HSM-backed key management for CMMC</t>
        </is>
      </c>
      <c r="D14" s="49" t="n">
        <v>1</v>
      </c>
      <c r="E14" s="48" t="inlineStr">
        <is>
          <t>Service/Month</t>
        </is>
      </c>
      <c r="F14" s="50" t="n">
        <v>145</v>
      </c>
      <c r="G14" s="50">
        <f>D14*F14*12</f>
        <v/>
      </c>
      <c r="H14" s="50">
        <f>G14</f>
        <v/>
      </c>
      <c r="I14" s="50">
        <f>G14</f>
        <v/>
      </c>
      <c r="J14" s="50">
        <f>G14+H14+I14</f>
        <v/>
      </c>
      <c r="K14" s="48" t="inlineStr">
        <is>
          <t>FIPS 140-2 encryption key management</t>
        </is>
      </c>
    </row>
    <row r="15" ht="26" customHeight="1">
      <c r="A15" s="43" t="inlineStr">
        <is>
          <t>Support &amp; Maintenance</t>
        </is>
      </c>
      <c r="B15" s="44" t="inlineStr">
        <is>
          <t>Microsoft Unified Support</t>
        </is>
      </c>
      <c r="C15" s="44" t="inlineStr">
        <is>
          <t>Premier Support (15% of M365 + Azure)</t>
        </is>
      </c>
      <c r="D15" s="45" t="n">
        <v>1</v>
      </c>
      <c r="E15" s="44" t="inlineStr">
        <is>
          <t>Service/Month</t>
        </is>
      </c>
      <c r="F15" s="46" t="n">
        <v>1500</v>
      </c>
      <c r="G15" s="46">
        <f>D15*F15*12</f>
        <v/>
      </c>
      <c r="H15" s="46">
        <f>G15</f>
        <v/>
      </c>
      <c r="I15" s="46">
        <f>G15</f>
        <v/>
      </c>
      <c r="J15" s="46">
        <f>G15+H15+I15</f>
        <v/>
      </c>
      <c r="K15" s="44" t="inlineStr">
        <is>
          <t>24x7 support for production environment</t>
        </is>
      </c>
    </row>
    <row r="16" ht="26" customHeight="1">
      <c r="A16" s="47" t="inlineStr">
        <is>
          <t>Professional Services</t>
        </is>
      </c>
      <c r="B16" s="48" t="inlineStr">
        <is>
          <t>CMMC Assessment Support</t>
        </is>
      </c>
      <c r="C16" s="48" t="inlineStr">
        <is>
          <t>C3PAO assessment preparation (60 hours @ $250)</t>
        </is>
      </c>
      <c r="D16" s="49" t="n">
        <v>60</v>
      </c>
      <c r="E16" s="48" t="inlineStr">
        <is>
          <t>Hours</t>
        </is>
      </c>
      <c r="F16" s="50" t="n">
        <v>250</v>
      </c>
      <c r="G16" s="50" t="n">
        <v>15000</v>
      </c>
      <c r="H16" s="50" t="n">
        <v>0</v>
      </c>
      <c r="I16" s="50" t="n">
        <v>0</v>
      </c>
      <c r="J16" s="50" t="n">
        <v>15000</v>
      </c>
      <c r="K16" s="48" t="inlineStr">
        <is>
          <t>Year 1 only - CMMC Level 2 assessment</t>
        </is>
      </c>
    </row>
    <row r="17" ht="26" customHeight="1">
      <c r="A17" s="43" t="inlineStr">
        <is>
          <t>Professional Services</t>
        </is>
      </c>
      <c r="B17" s="44" t="inlineStr">
        <is>
          <t>Environment Setup</t>
        </is>
      </c>
      <c r="C17" s="44" t="inlineStr">
        <is>
          <t>GCC High tenant and Azure Gov setup (120 hours @ $225)</t>
        </is>
      </c>
      <c r="D17" s="45" t="n">
        <v>120</v>
      </c>
      <c r="E17" s="44" t="inlineStr">
        <is>
          <t>Hours</t>
        </is>
      </c>
      <c r="F17" s="46" t="n">
        <v>225</v>
      </c>
      <c r="G17" s="46" t="n">
        <v>27000</v>
      </c>
      <c r="H17" s="46" t="n">
        <v>0</v>
      </c>
      <c r="I17" s="46" t="n">
        <v>0</v>
      </c>
      <c r="J17" s="46" t="n">
        <v>27000</v>
      </c>
      <c r="K17" s="44" t="inlineStr">
        <is>
          <t>Year 1 only - initial deployment</t>
        </is>
      </c>
    </row>
    <row r="18" ht="26" customHeight="1">
      <c r="A18" s="47" t="inlineStr">
        <is>
          <t>Professional Services</t>
        </is>
      </c>
      <c r="B18" s="48" t="inlineStr">
        <is>
          <t>NIST 800-171 Implementation</t>
        </is>
      </c>
      <c r="C18" s="48" t="inlineStr">
        <is>
          <t>Security controls implementation (80 hours @ $225)</t>
        </is>
      </c>
      <c r="D18" s="49" t="n">
        <v>80</v>
      </c>
      <c r="E18" s="48" t="inlineStr">
        <is>
          <t>Hours</t>
        </is>
      </c>
      <c r="F18" s="50" t="n">
        <v>225</v>
      </c>
      <c r="G18" s="50" t="n">
        <v>18000</v>
      </c>
      <c r="H18" s="50" t="n">
        <v>0</v>
      </c>
      <c r="I18" s="50" t="n">
        <v>0</v>
      </c>
      <c r="J18" s="50" t="n">
        <v>18000</v>
      </c>
      <c r="K18" s="48" t="inlineStr">
        <is>
          <t>Year 1 only - compliance configuration</t>
        </is>
      </c>
    </row>
    <row r="19" ht="26" customHeight="1">
      <c r="A19" s="43" t="inlineStr">
        <is>
          <t>Professional Services</t>
        </is>
      </c>
      <c r="B19" s="44" t="inlineStr">
        <is>
          <t>Migration Services</t>
        </is>
      </c>
      <c r="C19" s="44" t="inlineStr">
        <is>
          <t>Email and data migration to GCC High (40 hours @ $200)</t>
        </is>
      </c>
      <c r="D19" s="45" t="n">
        <v>40</v>
      </c>
      <c r="E19" s="44" t="inlineStr">
        <is>
          <t>Hours</t>
        </is>
      </c>
      <c r="F19" s="46" t="n">
        <v>200</v>
      </c>
      <c r="G19" s="46" t="n">
        <v>8000</v>
      </c>
      <c r="H19" s="46" t="n">
        <v>0</v>
      </c>
      <c r="I19" s="46" t="n">
        <v>0</v>
      </c>
      <c r="J19" s="46" t="n">
        <v>8000</v>
      </c>
      <c r="K19" s="44" t="inlineStr">
        <is>
          <t>Year 1 only - data migration</t>
        </is>
      </c>
    </row>
    <row r="20" ht="26" customHeight="1">
      <c r="A20" s="47" t="inlineStr">
        <is>
          <t>Professional Services</t>
        </is>
      </c>
      <c r="B20" s="48" t="inlineStr">
        <is>
          <t>Training &amp; Documentation</t>
        </is>
      </c>
      <c r="C20" s="48" t="inlineStr">
        <is>
          <t>Administrator and user training (32 hours @ $200)</t>
        </is>
      </c>
      <c r="D20" s="49" t="n">
        <v>32</v>
      </c>
      <c r="E20" s="48" t="inlineStr">
        <is>
          <t>Hours</t>
        </is>
      </c>
      <c r="F20" s="50" t="n">
        <v>200</v>
      </c>
      <c r="G20" s="50" t="n">
        <v>6400</v>
      </c>
      <c r="H20" s="50" t="n">
        <v>0</v>
      </c>
      <c r="I20" s="50" t="n">
        <v>0</v>
      </c>
      <c r="J20" s="50" t="n">
        <v>6400</v>
      </c>
      <c r="K20" s="48" t="inlineStr">
        <is>
          <t>Year 1 only - knowledge transfer</t>
        </is>
      </c>
    </row>
    <row r="21" ht="26" customHeight="1">
      <c r="A21" s="51" t="inlineStr">
        <is>
          <t>TOTAL</t>
        </is>
      </c>
      <c r="B21" s="52" t="n"/>
      <c r="C21" s="52" t="n"/>
      <c r="D21" s="52" t="n"/>
      <c r="E21" s="52" t="n"/>
      <c r="F21" s="52" t="n"/>
      <c r="G21" s="53">
        <f>SUM(G3:G20)</f>
        <v/>
      </c>
      <c r="H21" s="53">
        <f>SUM(H3:H20)</f>
        <v/>
      </c>
      <c r="I21" s="53">
        <f>SUM(I3:I20)</f>
        <v/>
      </c>
      <c r="J21" s="53">
        <f>SUM(J3:J20)</f>
        <v/>
      </c>
      <c r="K21" s="52" t="n"/>
    </row>
  </sheetData>
  <autoFilter ref="A2:K21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Cloud Infrastructure</t>
        </is>
      </c>
      <c r="B3" s="44" t="inlineStr">
        <is>
          <t>Azure Government Credit</t>
        </is>
      </c>
      <c r="C3" s="46" t="n">
        <v>0</v>
      </c>
      <c r="D3" s="44" t="inlineStr">
        <is>
          <t>No Azure Gov credits available for GCC High</t>
        </is>
      </c>
    </row>
    <row r="4" ht="26" customHeight="1">
      <c r="A4" s="47" t="inlineStr">
        <is>
          <t>Software Licenses</t>
        </is>
      </c>
      <c r="B4" s="48" t="inlineStr">
        <is>
          <t>Microsoft Partner Credit</t>
        </is>
      </c>
      <c r="C4" s="50" t="n">
        <v>0</v>
      </c>
      <c r="D4" s="48" t="inlineStr">
        <is>
          <t>No partner credits for government licensing</t>
        </is>
      </c>
    </row>
    <row r="5" ht="26" customHeight="1">
      <c r="A5" s="43" t="inlineStr">
        <is>
          <t>Support &amp; Maintenance</t>
        </is>
      </c>
      <c r="B5" s="44" t="inlineStr">
        <is>
          <t>Program Credit</t>
        </is>
      </c>
      <c r="C5" s="46" t="n">
        <v>0</v>
      </c>
      <c r="D5" s="44" t="inlineStr">
        <is>
          <t>No support credits available</t>
        </is>
      </c>
    </row>
    <row r="6" ht="26" customHeight="1">
      <c r="A6" s="47" t="inlineStr">
        <is>
          <t>Professional Services</t>
        </is>
      </c>
      <c r="B6" s="48" t="inlineStr">
        <is>
          <t>FastTrack Assistance</t>
        </is>
      </c>
      <c r="C6" s="50" t="n">
        <v>0</v>
      </c>
      <c r="D6" s="48" t="inlineStr">
        <is>
          <t>Microsoft FastTrack included for 150+ seats (not applicable)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Cloud Infrastructure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Software Licenses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 &amp; Maintenance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Professional Services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51" t="inlineStr">
        <is>
          <t>TOTAL</t>
        </is>
      </c>
      <c r="B7" s="53">
        <f>SUM(B3:B6)</f>
        <v/>
      </c>
      <c r="C7" s="53">
        <f>SUM(C3:C6)</f>
        <v/>
      </c>
      <c r="D7" s="53">
        <f>SUM(D3:D6)</f>
        <v/>
      </c>
      <c r="E7" s="53">
        <f>SUM(E3:E6)</f>
        <v/>
      </c>
      <c r="F7" s="53">
        <f>SUM(F3:F6)</f>
        <v/>
      </c>
      <c r="G7" s="53">
        <f>SUM(G3:G6)</f>
        <v/>
      </c>
    </row>
  </sheetData>
  <autoFilter ref="A2:G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2025-11-22T18:40:42Z</dcterms:modified>
  <cp:lastModifiedBy>Kishan Siram</cp:lastModifiedBy>
</cp:coreProperties>
</file>