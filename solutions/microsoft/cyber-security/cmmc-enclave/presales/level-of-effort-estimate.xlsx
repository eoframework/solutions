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Assumptions'!$A$2:$H$21</definedName>
    <definedName name="_xlnm._FilterDatabase" localSheetId="2" hidden="1">'Estimate Settings'!$A$2:$E$11</definedName>
    <definedName name="_xlnm._FilterDatabase" localSheetId="3" hidden="1">'LOE'!$A$2:$K$29</definedName>
    <definedName name="_xlnm._FilterDatabase" localSheetId="4" hidden="1">'Credits'!$A$2:$C$5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left" vertical="center" wrapText="1"/>
    </xf>
    <xf numFmtId="166" fontId="5" fillId="5" borderId="5" applyAlignment="1" pivotButton="0" quotePrefix="0" xfId="0">
      <alignment horizontal="right" vertical="center" wrapText="1"/>
    </xf>
    <xf numFmtId="0" fontId="5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MICROSOFT - Cyber-Security - Cmmc Enclave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  <c r="H2" s="36" t="inlineStr"/>
    </row>
    <row r="3" ht="26" customHeight="1">
      <c r="A3" s="37" t="inlineStr">
        <is>
          <t>CMMC Requirements</t>
        </is>
      </c>
      <c r="B3" s="38" t="inlineStr">
        <is>
          <t>CMMC Level</t>
        </is>
      </c>
      <c r="C3" s="39" t="inlineStr">
        <is>
          <t>Level 2 (Advanced Cyber Hygiene)</t>
        </is>
      </c>
      <c r="D3" s="38" t="inlineStr">
        <is>
          <t>Level 2</t>
        </is>
      </c>
      <c r="E3" s="38" t="inlineStr">
        <is>
          <t>Level 3</t>
        </is>
      </c>
      <c r="F3" s="38" t="inlineStr">
        <is>
          <t>Level 4 or 5</t>
        </is>
      </c>
      <c r="G3" s="38" t="inlineStr">
        <is>
          <t>CMMC certification level and NIST control requirements</t>
        </is>
      </c>
      <c r="H3" s="38" t="inlineStr"/>
    </row>
    <row r="4" ht="26" customHeight="1">
      <c r="A4" s="40" t="inlineStr">
        <is>
          <t>CMMC Requirements</t>
        </is>
      </c>
      <c r="B4" s="41" t="inlineStr">
        <is>
          <t>NIST 800-171 Controls</t>
        </is>
      </c>
      <c r="C4" s="39" t="inlineStr">
        <is>
          <t>110 security requirements</t>
        </is>
      </c>
      <c r="D4" s="41" t="inlineStr">
        <is>
          <t>110 controls</t>
        </is>
      </c>
      <c r="E4" s="41" t="inlineStr">
        <is>
          <t>110 + Level 3</t>
        </is>
      </c>
      <c r="F4" s="41" t="inlineStr">
        <is>
          <t>Additional Level 4/5 controls</t>
        </is>
      </c>
      <c r="G4" s="41" t="inlineStr">
        <is>
          <t>Security control implementation complexity</t>
        </is>
      </c>
      <c r="H4" s="41" t="inlineStr"/>
    </row>
    <row r="5" ht="26" customHeight="1">
      <c r="A5" s="37" t="inlineStr">
        <is>
          <t>User Base</t>
        </is>
      </c>
      <c r="B5" s="38" t="inlineStr">
        <is>
          <t>CUI User Count</t>
        </is>
      </c>
      <c r="C5" s="39" t="inlineStr">
        <is>
          <t>50 users accessing CUI</t>
        </is>
      </c>
      <c r="D5" s="38" t="inlineStr">
        <is>
          <t>50 users</t>
        </is>
      </c>
      <c r="E5" s="38" t="inlineStr">
        <is>
          <t>100-200 users</t>
        </is>
      </c>
      <c r="F5" s="38" t="inlineStr">
        <is>
          <t>300+ users</t>
        </is>
      </c>
      <c r="G5" s="38" t="inlineStr">
        <is>
          <t>Users requiring CUI access and GCC High licenses</t>
        </is>
      </c>
      <c r="H5" s="38" t="inlineStr"/>
    </row>
    <row r="6" ht="26" customHeight="1">
      <c r="A6" s="40" t="inlineStr">
        <is>
          <t>User Base</t>
        </is>
      </c>
      <c r="B6" s="41" t="inlineStr">
        <is>
          <t>User Roles</t>
        </is>
      </c>
      <c r="C6" s="39" t="inlineStr">
        <is>
          <t>3 roles (CUI processor admin reviewer)</t>
        </is>
      </c>
      <c r="D6" s="41" t="inlineStr">
        <is>
          <t>2-3 standard roles</t>
        </is>
      </c>
      <c r="E6" s="41" t="inlineStr">
        <is>
          <t>4-6 roles</t>
        </is>
      </c>
      <c r="F6" s="41" t="inlineStr">
        <is>
          <t>8+ roles with complex permissions</t>
        </is>
      </c>
      <c r="G6" s="41" t="inlineStr">
        <is>
          <t>CUI processor administrator reviewer roles</t>
        </is>
      </c>
      <c r="H6" s="41" t="inlineStr"/>
    </row>
    <row r="7" ht="26" customHeight="1">
      <c r="A7" s="37" t="inlineStr">
        <is>
          <t>M365 GCC High</t>
        </is>
      </c>
      <c r="B7" s="38" t="inlineStr">
        <is>
          <t>M365 Tenant</t>
        </is>
      </c>
      <c r="C7" s="39" t="inlineStr">
        <is>
          <t>GCC High (FedRAMP High)</t>
        </is>
      </c>
      <c r="D7" s="38" t="inlineStr">
        <is>
          <t>GCC High only</t>
        </is>
      </c>
      <c r="E7" s="38" t="inlineStr">
        <is>
          <t>GCC High + DoD</t>
        </is>
      </c>
      <c r="F7" s="38" t="inlineStr">
        <is>
          <t>Multiple tenants or complex federation</t>
        </is>
      </c>
      <c r="G7" s="38" t="inlineStr">
        <is>
          <t>Microsoft 365 GCC High tenant complexity</t>
        </is>
      </c>
      <c r="H7" s="38" t="inlineStr"/>
    </row>
    <row r="8" ht="26" customHeight="1">
      <c r="A8" s="40" t="inlineStr">
        <is>
          <t>M365 GCC High</t>
        </is>
      </c>
      <c r="B8" s="41" t="inlineStr">
        <is>
          <t>M365 Services</t>
        </is>
      </c>
      <c r="C8" s="39" t="inlineStr">
        <is>
          <t>Exchange SharePoint Teams OneDrive Purview</t>
        </is>
      </c>
      <c r="D8" s="41" t="inlineStr">
        <is>
          <t>Core services</t>
        </is>
      </c>
      <c r="E8" s="41" t="inlineStr">
        <is>
          <t>Core + advanced</t>
        </is>
      </c>
      <c r="F8" s="41" t="inlineStr">
        <is>
          <t>Full suite + custom</t>
        </is>
      </c>
      <c r="G8" s="41" t="inlineStr">
        <is>
          <t>GCC High services and features enabled</t>
        </is>
      </c>
      <c r="H8" s="41" t="inlineStr"/>
    </row>
    <row r="9" ht="26" customHeight="1">
      <c r="A9" s="37" t="inlineStr">
        <is>
          <t>M365 GCC High</t>
        </is>
      </c>
      <c r="B9" s="38" t="inlineStr">
        <is>
          <t>Email Migration Volume</t>
        </is>
      </c>
      <c r="C9" s="39" t="inlineStr">
        <is>
          <t>100 GB total mailbox data</t>
        </is>
      </c>
      <c r="D9" s="38" t="inlineStr">
        <is>
          <t>100 GB</t>
        </is>
      </c>
      <c r="E9" s="38" t="inlineStr">
        <is>
          <t>250 GB</t>
        </is>
      </c>
      <c r="F9" s="38" t="inlineStr">
        <is>
          <t>1+ TB</t>
        </is>
      </c>
      <c r="G9" s="38" t="inlineStr">
        <is>
          <t>Email migration from commercial or on-premises</t>
        </is>
      </c>
      <c r="H9" s="38" t="inlineStr"/>
    </row>
    <row r="10" ht="26" customHeight="1">
      <c r="A10" s="40" t="inlineStr">
        <is>
          <t>M365 GCC High</t>
        </is>
      </c>
      <c r="B10" s="41" t="inlineStr">
        <is>
          <t>File Migration Volume</t>
        </is>
      </c>
      <c r="C10" s="39" t="inlineStr">
        <is>
          <t>500 GB SharePoint and OneDrive</t>
        </is>
      </c>
      <c r="D10" s="41" t="inlineStr">
        <is>
          <t>500 GB</t>
        </is>
      </c>
      <c r="E10" s="41" t="inlineStr">
        <is>
          <t>2 TB</t>
        </is>
      </c>
      <c r="F10" s="41" t="inlineStr">
        <is>
          <t>10+ TB</t>
        </is>
      </c>
      <c r="G10" s="41" t="inlineStr">
        <is>
          <t>File migration to GCC High SharePoint</t>
        </is>
      </c>
      <c r="H10" s="41" t="inlineStr"/>
    </row>
    <row r="11" ht="26" customHeight="1">
      <c r="A11" s="37" t="inlineStr">
        <is>
          <t>Azure Government</t>
        </is>
      </c>
      <c r="B11" s="38" t="inlineStr">
        <is>
          <t>Azure Gov Resources</t>
        </is>
      </c>
      <c r="C11" s="39" t="inlineStr">
        <is>
          <t>5 VMs 2TB storage VNet ExpressRoute</t>
        </is>
      </c>
      <c r="D11" s="38" t="inlineStr">
        <is>
          <t>Basic infrastructure</t>
        </is>
      </c>
      <c r="E11" s="38" t="inlineStr">
        <is>
          <t>Standard infrastructure</t>
        </is>
      </c>
      <c r="F11" s="38" t="inlineStr">
        <is>
          <t>Complex multi-tier</t>
        </is>
      </c>
      <c r="G11" s="38" t="inlineStr">
        <is>
          <t>Azure Government compute storage network</t>
        </is>
      </c>
      <c r="H11" s="38" t="inlineStr"/>
    </row>
    <row r="12" ht="26" customHeight="1">
      <c r="A12" s="40" t="inlineStr">
        <is>
          <t>Azure Government</t>
        </is>
      </c>
      <c r="B12" s="41" t="inlineStr">
        <is>
          <t>Sentinel Capacity</t>
        </is>
      </c>
      <c r="C12" s="39" t="inlineStr">
        <is>
          <t>100GB/month log ingestion</t>
        </is>
      </c>
      <c r="D12" s="41" t="inlineStr">
        <is>
          <t>100GB/month</t>
        </is>
      </c>
      <c r="E12" s="41" t="inlineStr">
        <is>
          <t>250GB/month</t>
        </is>
      </c>
      <c r="F12" s="41" t="inlineStr">
        <is>
          <t>1+ TB/month</t>
        </is>
      </c>
      <c r="G12" s="41" t="inlineStr">
        <is>
          <t>Sentinel SIEM log ingestion and retention</t>
        </is>
      </c>
      <c r="H12" s="41" t="inlineStr"/>
    </row>
    <row r="13" ht="26" customHeight="1">
      <c r="A13" s="37" t="inlineStr">
        <is>
          <t>Azure Government</t>
        </is>
      </c>
      <c r="B13" s="38" t="inlineStr">
        <is>
          <t>Defender Coverage</t>
        </is>
      </c>
      <c r="C13" s="39" t="inlineStr">
        <is>
          <t>All Azure resources and M365 workloads</t>
        </is>
      </c>
      <c r="D13" s="38" t="inlineStr">
        <is>
          <t>Basic coverage</t>
        </is>
      </c>
      <c r="E13" s="38" t="inlineStr">
        <is>
          <t>Standard coverage</t>
        </is>
      </c>
      <c r="F13" s="38" t="inlineStr">
        <is>
          <t>Advanced threat protection</t>
        </is>
      </c>
      <c r="G13" s="38" t="inlineStr">
        <is>
          <t>Defender for Cloud coverage scope</t>
        </is>
      </c>
      <c r="H13" s="38" t="inlineStr"/>
    </row>
    <row r="14" ht="26" customHeight="1">
      <c r="A14" s="40" t="inlineStr">
        <is>
          <t>Security &amp; Compliance</t>
        </is>
      </c>
      <c r="B14" s="41" t="inlineStr">
        <is>
          <t>Authentication</t>
        </is>
      </c>
      <c r="C14" s="39" t="inlineStr">
        <is>
          <t>CAC/PIV smart card with MFA</t>
        </is>
      </c>
      <c r="D14" s="41" t="inlineStr">
        <is>
          <t>CAC/PIV basic</t>
        </is>
      </c>
      <c r="E14" s="41" t="inlineStr">
        <is>
          <t>CAC/PIV + biometric</t>
        </is>
      </c>
      <c r="F14" s="41" t="inlineStr">
        <is>
          <t>Advanced federated identity</t>
        </is>
      </c>
      <c r="G14" s="41" t="inlineStr">
        <is>
          <t>DoD smart card authentication complexity</t>
        </is>
      </c>
      <c r="H14" s="41" t="inlineStr"/>
    </row>
    <row r="15" ht="26" customHeight="1">
      <c r="A15" s="37" t="inlineStr">
        <is>
          <t>Security &amp; Compliance</t>
        </is>
      </c>
      <c r="B15" s="38" t="inlineStr">
        <is>
          <t>Identity Platform</t>
        </is>
      </c>
      <c r="C15" s="39" t="inlineStr">
        <is>
          <t>Azure AD GCC High with SSO</t>
        </is>
      </c>
      <c r="D15" s="38" t="inlineStr">
        <is>
          <t>Azure AD GCC High</t>
        </is>
      </c>
      <c r="E15" s="38" t="inlineStr">
        <is>
          <t>Federated multi-forest</t>
        </is>
      </c>
      <c r="F15" s="38" t="inlineStr">
        <is>
          <t>Complex hybrid identity</t>
        </is>
      </c>
      <c r="G15" s="38" t="inlineStr">
        <is>
          <t>Identity and access management complexity</t>
        </is>
      </c>
      <c r="H15" s="38" t="inlineStr"/>
    </row>
    <row r="16" ht="26" customHeight="1">
      <c r="A16" s="40" t="inlineStr">
        <is>
          <t>Security &amp; Compliance</t>
        </is>
      </c>
      <c r="B16" s="41" t="inlineStr">
        <is>
          <t>Data Encryption</t>
        </is>
      </c>
      <c r="C16" s="39" t="inlineStr">
        <is>
          <t>FIPS 140-2 encryption at rest and transit</t>
        </is>
      </c>
      <c r="D16" s="41" t="inlineStr">
        <is>
          <t>FIPS 140-2 basic</t>
        </is>
      </c>
      <c r="E16" s="41" t="inlineStr">
        <is>
          <t>FIPS 140-2 advanced</t>
        </is>
      </c>
      <c r="F16" s="41" t="inlineStr">
        <is>
          <t>Custom encryption + HSM</t>
        </is>
      </c>
      <c r="G16" s="41" t="inlineStr">
        <is>
          <t>Encryption and cryptographic requirements</t>
        </is>
      </c>
      <c r="H16" s="41" t="inlineStr"/>
    </row>
    <row r="17" ht="26" customHeight="1">
      <c r="A17" s="37" t="inlineStr">
        <is>
          <t>Technical Environment</t>
        </is>
      </c>
      <c r="B17" s="38" t="inlineStr">
        <is>
          <t>Availability Requirements</t>
        </is>
      </c>
      <c r="C17" s="39" t="inlineStr">
        <is>
          <t>99.9% (GCC High SLA)</t>
        </is>
      </c>
      <c r="D17" s="38" t="inlineStr">
        <is>
          <t>99.9% standard</t>
        </is>
      </c>
      <c r="E17" s="38" t="inlineStr">
        <is>
          <t>99.95% high availability</t>
        </is>
      </c>
      <c r="F17" s="38" t="inlineStr">
        <is>
          <t>99.99% mission critical</t>
        </is>
      </c>
      <c r="G17" s="38" t="inlineStr">
        <is>
          <t>GCC High and Azure Government SLA</t>
        </is>
      </c>
      <c r="H17" s="38" t="inlineStr"/>
    </row>
    <row r="18" ht="26" customHeight="1">
      <c r="A18" s="40" t="inlineStr">
        <is>
          <t>Technical Environment</t>
        </is>
      </c>
      <c r="B18" s="41" t="inlineStr">
        <is>
          <t>Infrastructure Complexity</t>
        </is>
      </c>
      <c r="C18" s="39" t="inlineStr">
        <is>
          <t>Azure Gov + M365 GCC High hybrid</t>
        </is>
      </c>
      <c r="D18" s="41" t="inlineStr">
        <is>
          <t>Basic hybrid</t>
        </is>
      </c>
      <c r="E18" s="41" t="inlineStr">
        <is>
          <t>Standard hybrid</t>
        </is>
      </c>
      <c r="F18" s="41" t="inlineStr">
        <is>
          <t>Complex multi-cloud</t>
        </is>
      </c>
      <c r="G18" s="41" t="inlineStr">
        <is>
          <t>Hybrid cloud architecture complexity</t>
        </is>
      </c>
      <c r="H18" s="41" t="inlineStr"/>
    </row>
    <row r="19" ht="26" customHeight="1">
      <c r="A19" s="37" t="inlineStr">
        <is>
          <t>Technical Environment</t>
        </is>
      </c>
      <c r="B19" s="38" t="inlineStr">
        <is>
          <t>Deployment Regions</t>
        </is>
      </c>
      <c r="C19" s="39" t="inlineStr">
        <is>
          <t>Single Azure Gov region (us-gov-virginia)</t>
        </is>
      </c>
      <c r="D19" s="38" t="inlineStr">
        <is>
          <t>Single region</t>
        </is>
      </c>
      <c r="E19" s="38" t="inlineStr">
        <is>
          <t>2 regions</t>
        </is>
      </c>
      <c r="F19" s="38" t="inlineStr">
        <is>
          <t>Multi-region global</t>
        </is>
      </c>
      <c r="G19" s="38" t="inlineStr">
        <is>
          <t>Azure Government geographic distribution</t>
        </is>
      </c>
      <c r="H19" s="38" t="inlineStr"/>
    </row>
    <row r="20" ht="26" customHeight="1">
      <c r="A20" s="40" t="inlineStr">
        <is>
          <t>C3PAO Assessment</t>
        </is>
      </c>
      <c r="B20" s="41" t="inlineStr">
        <is>
          <t>Assessment Timeline</t>
        </is>
      </c>
      <c r="C20" s="39" t="inlineStr">
        <is>
          <t>Month 6 C3PAO assessment</t>
        </is>
      </c>
      <c r="D20" s="41" t="inlineStr">
        <is>
          <t>Month 6</t>
        </is>
      </c>
      <c r="E20" s="41" t="inlineStr">
        <is>
          <t>Month 9</t>
        </is>
      </c>
      <c r="F20" s="41" t="inlineStr">
        <is>
          <t>Month 12+</t>
        </is>
      </c>
      <c r="G20" s="41" t="inlineStr">
        <is>
          <t>CMMC certification timeline</t>
        </is>
      </c>
      <c r="H20" s="41" t="inlineStr"/>
    </row>
    <row r="21" ht="26" customHeight="1">
      <c r="A21" s="37" t="inlineStr">
        <is>
          <t>Environment</t>
        </is>
      </c>
      <c r="B21" s="38" t="inlineStr">
        <is>
          <t>Deployment Environments</t>
        </is>
      </c>
      <c r="C21" s="39" t="inlineStr">
        <is>
          <t>2 environments (dev prod)</t>
        </is>
      </c>
      <c r="D21" s="38" t="inlineStr">
        <is>
          <t>2 environments (dev prod)</t>
        </is>
      </c>
      <c r="E21" s="38" t="inlineStr">
        <is>
          <t>3 environments (dev staging prod)</t>
        </is>
      </c>
      <c r="F21" s="38" t="inlineStr">
        <is>
          <t>4+ environments with pipelines</t>
        </is>
      </c>
      <c r="G21" s="38" t="inlineStr">
        <is>
          <t>Environment management for CMMC</t>
        </is>
      </c>
      <c r="H21" s="38" t="inlineStr"/>
    </row>
  </sheetData>
  <autoFilter ref="A2:H21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  <c r="E2" s="36" t="inlineStr"/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(NIST Gap Assessment, Architecture Design, C3PAO Selection)</t>
        </is>
      </c>
      <c r="E3" s="38" t="inlineStr"/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(GCC High Deployment, Azure Gov Infrastructure, CAC/PIV Authentication)</t>
        </is>
      </c>
      <c r="E4" s="41" t="inlineStr"/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(Sentinel SIEM, Security Monitoring, CMMC Controls Implementation)</t>
        </is>
      </c>
      <c r="E5" s="38" t="inlineStr"/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(Control Testing, Compliance Validation, C3PAO Preparation)</t>
        </is>
      </c>
      <c r="E6" s="41" t="inlineStr"/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C3PAO Assessment, Certification)</t>
        </is>
      </c>
      <c r="E7" s="38" t="inlineStr"/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(ISSO/ISSM Training, Security Operations Training, Documentation)</t>
        </is>
      </c>
      <c r="E8" s="41" t="inlineStr"/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Ongoing Compliance Management)</t>
        </is>
      </c>
      <c r="E9" s="38" t="inlineStr"/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- 10% of actual engineering hours</t>
        </is>
      </c>
      <c r="E10" s="41" t="inlineStr"/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- 10% of actual engineering hours</t>
        </is>
      </c>
      <c r="E11" s="38" t="inlineStr"/>
    </row>
    <row r="13" ht="20" customHeight="1">
      <c r="A13" s="44" t="inlineStr">
        <is>
          <t>EO Sales Engineer Updates Multipliers Based on Customer Scope</t>
        </is>
      </c>
    </row>
  </sheetData>
  <autoFilter ref="A2:E11"/>
  <mergeCells count="2"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NIST 800-171 Gap Assessment</t>
        </is>
      </c>
      <c r="C3" s="46" t="inlineStr">
        <is>
          <t>Conduct comprehensive gap assessment across 14 control families</t>
        </is>
      </c>
      <c r="D3" s="46" t="inlineStr">
        <is>
          <t>EO Engineer</t>
        </is>
      </c>
      <c r="E3" s="47" t="n">
        <v>40</v>
      </c>
      <c r="F3" s="48">
        <f>'Estimate Settings'!$C$3</f>
        <v/>
      </c>
      <c r="G3" s="49">
        <f>$E3*$F3</f>
        <v/>
      </c>
      <c r="H3" s="50" t="n">
        <v>175</v>
      </c>
      <c r="I3" s="49">
        <f>TEXT($G3*$H3,"$#,##0")</f>
        <v/>
      </c>
      <c r="J3" s="46" t="inlineStr"/>
      <c r="K3" s="46" t="inlineStr">
        <is>
          <t>Evaluate current SPRS score and NIST 800-171 compliance posture</t>
        </is>
      </c>
    </row>
    <row r="4" ht="26" customHeight="1">
      <c r="A4" s="51" t="inlineStr">
        <is>
          <t>Discovery</t>
        </is>
      </c>
      <c r="B4" s="52" t="inlineStr">
        <is>
          <t>GCC High Architecture Design</t>
        </is>
      </c>
      <c r="C4" s="52" t="inlineStr">
        <is>
          <t>Design Microsoft 365 GCC High tenant and services architecture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GCC High tenant Exchange SharePoint Teams OneDrive architecture</t>
        </is>
      </c>
    </row>
    <row r="5" ht="26" customHeight="1">
      <c r="A5" s="45" t="inlineStr">
        <is>
          <t>Discovery</t>
        </is>
      </c>
      <c r="B5" s="46" t="inlineStr">
        <is>
          <t>Azure Government Design</t>
        </is>
      </c>
      <c r="C5" s="46" t="inlineStr">
        <is>
          <t>Design Azure Government infrastructure for CUI workloads</t>
        </is>
      </c>
      <c r="D5" s="46" t="inlineStr">
        <is>
          <t>EO Engineer</t>
        </is>
      </c>
      <c r="E5" s="47" t="n">
        <v>24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VMs storage networking ExpressRoute design</t>
        </is>
      </c>
    </row>
    <row r="6" ht="26" customHeight="1">
      <c r="A6" s="51" t="inlineStr">
        <is>
          <t>Discovery</t>
        </is>
      </c>
      <c r="B6" s="52" t="inlineStr">
        <is>
          <t>C3PAO Selection</t>
        </is>
      </c>
      <c r="C6" s="52" t="inlineStr">
        <is>
          <t>Research and select CMMC Third-Party Assessment Organization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150</v>
      </c>
      <c r="I6" s="55">
        <f>TEXT($G6*$H6,"$#,##0")</f>
        <v/>
      </c>
      <c r="J6" s="52" t="inlineStr"/>
      <c r="K6" s="52" t="inlineStr">
        <is>
          <t>C3PAO qualification and engagement planning</t>
        </is>
      </c>
    </row>
    <row r="7" ht="26" customHeight="1">
      <c r="A7" s="45" t="inlineStr">
        <is>
          <t>Planning</t>
        </is>
      </c>
      <c r="B7" s="46" t="inlineStr">
        <is>
          <t>GCC High Tenant Provisioning</t>
        </is>
      </c>
      <c r="C7" s="46" t="inlineStr">
        <is>
          <t>Provision and configure Microsoft 365 GCC High tenant</t>
        </is>
      </c>
      <c r="D7" s="46" t="inlineStr">
        <is>
          <t>EO Engineer</t>
        </is>
      </c>
      <c r="E7" s="47" t="n">
        <v>24</v>
      </c>
      <c r="F7" s="48">
        <f>'Estimate Settings'!$C$4</f>
        <v/>
      </c>
      <c r="G7" s="49">
        <f>$E7*$F7</f>
        <v/>
      </c>
      <c r="H7" s="50" t="n">
        <v>180</v>
      </c>
      <c r="I7" s="49">
        <f>TEXT($G7*$H7,"$#,##0")</f>
        <v/>
      </c>
      <c r="J7" s="46" t="inlineStr">
        <is>
          <t>GCC High Architecture Design</t>
        </is>
      </c>
      <c r="K7" s="46" t="inlineStr">
        <is>
          <t>Domain verification licensing and tenant configuration</t>
        </is>
      </c>
    </row>
    <row r="8" ht="26" customHeight="1">
      <c r="A8" s="51" t="inlineStr">
        <is>
          <t>Planning</t>
        </is>
      </c>
      <c r="B8" s="52" t="inlineStr">
        <is>
          <t>Exchange Online Deployment</t>
        </is>
      </c>
      <c r="C8" s="52" t="inlineStr">
        <is>
          <t>Deploy Exchange Online GCC High with archiving and eDiscovery</t>
        </is>
      </c>
      <c r="D8" s="52" t="inlineStr">
        <is>
          <t>EO Engineer</t>
        </is>
      </c>
      <c r="E8" s="53" t="n">
        <v>32</v>
      </c>
      <c r="F8" s="54">
        <f>'Estimate Settings'!$C$4</f>
        <v/>
      </c>
      <c r="G8" s="55">
        <f>$E8*$F8</f>
        <v/>
      </c>
      <c r="H8" s="56" t="n">
        <v>175</v>
      </c>
      <c r="I8" s="55">
        <f>TEXT($G8*$H8,"$#,##0")</f>
        <v/>
      </c>
      <c r="J8" s="52" t="inlineStr">
        <is>
          <t>GCC High Tenant Provisioning</t>
        </is>
      </c>
      <c r="K8" s="52" t="inlineStr">
        <is>
          <t>CUI email with 10-year retention and compliance</t>
        </is>
      </c>
    </row>
    <row r="9" ht="26" customHeight="1">
      <c r="A9" s="45" t="inlineStr">
        <is>
          <t>Planning</t>
        </is>
      </c>
      <c r="B9" s="46" t="inlineStr">
        <is>
          <t>SharePoint Teams Deployment</t>
        </is>
      </c>
      <c r="C9" s="46" t="inlineStr">
        <is>
          <t>Deploy SharePoint and Teams for CUI collaboration</t>
        </is>
      </c>
      <c r="D9" s="46" t="inlineStr">
        <is>
          <t>EO Engineer</t>
        </is>
      </c>
      <c r="E9" s="47" t="n">
        <v>24</v>
      </c>
      <c r="F9" s="48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Exchange Online Deployment</t>
        </is>
      </c>
      <c r="K9" s="46" t="inlineStr">
        <is>
          <t>Secure collaboration meeting CMMC requirements</t>
        </is>
      </c>
    </row>
    <row r="10" ht="26" customHeight="1">
      <c r="A10" s="51" t="inlineStr">
        <is>
          <t>Planning</t>
        </is>
      </c>
      <c r="B10" s="52" t="inlineStr">
        <is>
          <t>Email Migration</t>
        </is>
      </c>
      <c r="C10" s="52" t="inlineStr">
        <is>
          <t>Migrate email from commercial or on-premises to GCC High</t>
        </is>
      </c>
      <c r="D10" s="52" t="inlineStr">
        <is>
          <t>EO Engineer</t>
        </is>
      </c>
      <c r="E10" s="53" t="n">
        <v>16</v>
      </c>
      <c r="F10" s="54">
        <f>'Estimate Settings'!$C$4</f>
        <v/>
      </c>
      <c r="G10" s="55">
        <f>$E10*$F10</f>
        <v/>
      </c>
      <c r="H10" s="56" t="n">
        <v>160</v>
      </c>
      <c r="I10" s="55">
        <f>TEXT($G10*$H10,"$#,##0")</f>
        <v/>
      </c>
      <c r="J10" s="52" t="inlineStr">
        <is>
          <t>SharePoint Teams Deployment</t>
        </is>
      </c>
      <c r="K10" s="52" t="inlineStr">
        <is>
          <t>100GB mailbox migration with zero data loss</t>
        </is>
      </c>
    </row>
    <row r="11" ht="26" customHeight="1">
      <c r="A11" s="45" t="inlineStr">
        <is>
          <t>Development</t>
        </is>
      </c>
      <c r="B11" s="46" t="inlineStr">
        <is>
          <t>Azure Government Infrastructure</t>
        </is>
      </c>
      <c r="C11" s="46" t="inlineStr">
        <is>
          <t>Deploy Azure Government VMs storage networking</t>
        </is>
      </c>
      <c r="D11" s="46" t="inlineStr">
        <is>
          <t>EO Engineer</t>
        </is>
      </c>
      <c r="E11" s="47" t="n">
        <v>40</v>
      </c>
      <c r="F11" s="48">
        <f>'Estimate Settings'!$C$5</f>
        <v/>
      </c>
      <c r="G11" s="49">
        <f>$E11*$F11</f>
        <v/>
      </c>
      <c r="H11" s="50" t="n">
        <v>180</v>
      </c>
      <c r="I11" s="49">
        <f>TEXT($G11*$H11,"$#,##0")</f>
        <v/>
      </c>
      <c r="J11" s="46" t="inlineStr">
        <is>
          <t>Azure Government Design</t>
        </is>
      </c>
      <c r="K11" s="46" t="inlineStr">
        <is>
          <t>5 VMs 2TB storage VNet ExpressRoute deployment</t>
        </is>
      </c>
    </row>
    <row r="12" ht="26" customHeight="1">
      <c r="A12" s="51" t="inlineStr">
        <is>
          <t>Development</t>
        </is>
      </c>
      <c r="B12" s="52" t="inlineStr">
        <is>
          <t>CAC/PIV Authentication</t>
        </is>
      </c>
      <c r="C12" s="52" t="inlineStr">
        <is>
          <t>Implement CAC/PIV smart card authentication with Azure AD</t>
        </is>
      </c>
      <c r="D12" s="52" t="inlineStr">
        <is>
          <t>EO Engineer</t>
        </is>
      </c>
      <c r="E12" s="53" t="n">
        <v>32</v>
      </c>
      <c r="F12" s="54">
        <f>'Estimate Settings'!$C$5</f>
        <v/>
      </c>
      <c r="G12" s="55">
        <f>$E12*$F12</f>
        <v/>
      </c>
      <c r="H12" s="56" t="n">
        <v>190</v>
      </c>
      <c r="I12" s="55">
        <f>TEXT($G12*$H12,"$#,##0")</f>
        <v/>
      </c>
      <c r="J12" s="52" t="inlineStr">
        <is>
          <t>Azure Government Infrastructure</t>
        </is>
      </c>
      <c r="K12" s="52" t="inlineStr">
        <is>
          <t>DoD smart card integration with conditional access</t>
        </is>
      </c>
    </row>
    <row r="13" ht="26" customHeight="1">
      <c r="A13" s="45" t="inlineStr">
        <is>
          <t>Development</t>
        </is>
      </c>
      <c r="B13" s="46" t="inlineStr">
        <is>
          <t>Sentinel SIEM Deployment</t>
        </is>
      </c>
      <c r="C13" s="46" t="inlineStr">
        <is>
          <t>Deploy Sentinel SIEM with 100GB/month log ingestion</t>
        </is>
      </c>
      <c r="D13" s="46" t="inlineStr">
        <is>
          <t>EO Engineer</t>
        </is>
      </c>
      <c r="E13" s="47" t="n">
        <v>40</v>
      </c>
      <c r="F13" s="48">
        <f>'Estimate Settings'!$C$5</f>
        <v/>
      </c>
      <c r="G13" s="49">
        <f>$E13*$F13</f>
        <v/>
      </c>
      <c r="H13" s="50" t="n">
        <v>185</v>
      </c>
      <c r="I13" s="49">
        <f>TEXT($G13*$H13,"$#,##0")</f>
        <v/>
      </c>
      <c r="J13" s="46" t="inlineStr">
        <is>
          <t>CAC/PIV Authentication</t>
        </is>
      </c>
      <c r="K13" s="46" t="inlineStr">
        <is>
          <t>Security monitoring and incident response playbooks</t>
        </is>
      </c>
    </row>
    <row r="14" ht="26" customHeight="1">
      <c r="A14" s="51" t="inlineStr">
        <is>
          <t>Development</t>
        </is>
      </c>
      <c r="B14" s="52" t="inlineStr">
        <is>
          <t>Defender for Cloud</t>
        </is>
      </c>
      <c r="C14" s="52" t="inlineStr">
        <is>
          <t>Deploy Defender for Cloud with CMMC compliance monitoring</t>
        </is>
      </c>
      <c r="D14" s="52" t="inlineStr">
        <is>
          <t>EO Engineer</t>
        </is>
      </c>
      <c r="E14" s="53" t="n">
        <v>24</v>
      </c>
      <c r="F14" s="54">
        <f>'Estimate Settings'!$C$5</f>
        <v/>
      </c>
      <c r="G14" s="55">
        <f>$E14*$F14</f>
        <v/>
      </c>
      <c r="H14" s="56" t="n">
        <v>180</v>
      </c>
      <c r="I14" s="55">
        <f>TEXT($G14*$H14,"$#,##0")</f>
        <v/>
      </c>
      <c r="J14" s="52" t="inlineStr">
        <is>
          <t>Sentinel SIEM Deployment</t>
        </is>
      </c>
      <c r="K14" s="52" t="inlineStr">
        <is>
          <t>Compliance posture management and vulnerability assessment</t>
        </is>
      </c>
    </row>
    <row r="15" ht="26" customHeight="1">
      <c r="A15" s="45" t="inlineStr">
        <is>
          <t>Development</t>
        </is>
      </c>
      <c r="B15" s="46" t="inlineStr">
        <is>
          <t>Microsoft Purview</t>
        </is>
      </c>
      <c r="C15" s="46" t="inlineStr">
        <is>
          <t>Implement Purview for DLP information protection and retention</t>
        </is>
      </c>
      <c r="D15" s="46" t="inlineStr">
        <is>
          <t>EO Engineer</t>
        </is>
      </c>
      <c r="E15" s="47" t="n">
        <v>24</v>
      </c>
      <c r="F15" s="48">
        <f>'Estimate Settings'!$C$5</f>
        <v/>
      </c>
      <c r="G15" s="49">
        <f>$E15*$F15</f>
        <v/>
      </c>
      <c r="H15" s="50" t="n">
        <v>175</v>
      </c>
      <c r="I15" s="49">
        <f>TEXT($G15*$H15,"$#,##0")</f>
        <v/>
      </c>
      <c r="J15" s="46" t="inlineStr">
        <is>
          <t>Defender for Cloud</t>
        </is>
      </c>
      <c r="K15" s="46" t="inlineStr">
        <is>
          <t>Data loss prevention and compliance policies</t>
        </is>
      </c>
    </row>
    <row r="16" ht="26" customHeight="1">
      <c r="A16" s="51" t="inlineStr">
        <is>
          <t>Testing</t>
        </is>
      </c>
      <c r="B16" s="52" t="inlineStr">
        <is>
          <t>NIST Control Testing</t>
        </is>
      </c>
      <c r="C16" s="52" t="inlineStr">
        <is>
          <t>Validate all 110 NIST 800-171 security requirements</t>
        </is>
      </c>
      <c r="D16" s="52" t="inlineStr">
        <is>
          <t>EO Engineer</t>
        </is>
      </c>
      <c r="E16" s="53" t="n">
        <v>40</v>
      </c>
      <c r="F16" s="54">
        <f>'Estimate Settings'!$C$6</f>
        <v/>
      </c>
      <c r="G16" s="55">
        <f>$E16*$F16</f>
        <v/>
      </c>
      <c r="H16" s="56" t="n">
        <v>170</v>
      </c>
      <c r="I16" s="55">
        <f>TEXT($G16*$H16,"$#,##0")</f>
        <v/>
      </c>
      <c r="J16" s="52" t="inlineStr">
        <is>
          <t>Microsoft Purview</t>
        </is>
      </c>
      <c r="K16" s="52" t="inlineStr">
        <is>
          <t>Automated and manual testing of security controls</t>
        </is>
      </c>
    </row>
    <row r="17" ht="26" customHeight="1">
      <c r="A17" s="45" t="inlineStr">
        <is>
          <t>Testing</t>
        </is>
      </c>
      <c r="B17" s="46" t="inlineStr">
        <is>
          <t>Security Assessment</t>
        </is>
      </c>
      <c r="C17" s="46" t="inlineStr">
        <is>
          <t>Conduct vulnerability scanning and penetration testing</t>
        </is>
      </c>
      <c r="D17" s="46" t="inlineStr">
        <is>
          <t>EO Engineer</t>
        </is>
      </c>
      <c r="E17" s="47" t="n">
        <v>24</v>
      </c>
      <c r="F17" s="48">
        <f>'Estimate Settings'!$C$6</f>
        <v/>
      </c>
      <c r="G17" s="49">
        <f>$E17*$F17</f>
        <v/>
      </c>
      <c r="H17" s="50" t="n">
        <v>190</v>
      </c>
      <c r="I17" s="49">
        <f>TEXT($G17*$H17,"$#,##0")</f>
        <v/>
      </c>
      <c r="J17" s="46" t="inlineStr">
        <is>
          <t>NIST Control Testing</t>
        </is>
      </c>
      <c r="K17" s="46" t="inlineStr">
        <is>
          <t>External threat simulation and insider threat testing</t>
        </is>
      </c>
    </row>
    <row r="18" ht="26" customHeight="1">
      <c r="A18" s="51" t="inlineStr">
        <is>
          <t>Testing</t>
        </is>
      </c>
      <c r="B18" s="52" t="inlineStr">
        <is>
          <t>Compliance Audit</t>
        </is>
      </c>
      <c r="C18" s="52" t="inlineStr">
        <is>
          <t>Internal compliance audit against CMMC Level 2 requirements</t>
        </is>
      </c>
      <c r="D18" s="52" t="inlineStr">
        <is>
          <t>EO Engineer</t>
        </is>
      </c>
      <c r="E18" s="53" t="n">
        <v>32</v>
      </c>
      <c r="F18" s="54">
        <f>'Estimate Settings'!$C$6</f>
        <v/>
      </c>
      <c r="G18" s="55">
        <f>$E18*$F18</f>
        <v/>
      </c>
      <c r="H18" s="56" t="n">
        <v>185</v>
      </c>
      <c r="I18" s="55">
        <f>TEXT($G18*$H18,"$#,##0")</f>
        <v/>
      </c>
      <c r="J18" s="52" t="inlineStr">
        <is>
          <t>Security Assessment</t>
        </is>
      </c>
      <c r="K18" s="52" t="inlineStr">
        <is>
          <t>Validate all controls before C3PAO assessment</t>
        </is>
      </c>
    </row>
    <row r="19" ht="26" customHeight="1">
      <c r="A19" s="45" t="inlineStr">
        <is>
          <t>Deployment</t>
        </is>
      </c>
      <c r="B19" s="46" t="inlineStr">
        <is>
          <t>System Security Plan</t>
        </is>
      </c>
      <c r="C19" s="46" t="inlineStr">
        <is>
          <t>Develop SSP documenting GCC High and Azure Gov architecture</t>
        </is>
      </c>
      <c r="D19" s="46" t="inlineStr">
        <is>
          <t>EO Engineer</t>
        </is>
      </c>
      <c r="E19" s="47" t="n">
        <v>24</v>
      </c>
      <c r="F19" s="48">
        <f>'Estimate Settings'!$C$7</f>
        <v/>
      </c>
      <c r="G19" s="49">
        <f>$E19*$F19</f>
        <v/>
      </c>
      <c r="H19" s="50" t="n">
        <v>175</v>
      </c>
      <c r="I19" s="49">
        <f>TEXT($G19*$H19,"$#,##0")</f>
        <v/>
      </c>
      <c r="J19" s="46" t="inlineStr">
        <is>
          <t>Compliance Audit</t>
        </is>
      </c>
      <c r="K19" s="46" t="inlineStr">
        <is>
          <t>CMMC documentation and evidence artifacts</t>
        </is>
      </c>
    </row>
    <row r="20" ht="26" customHeight="1">
      <c r="A20" s="51" t="inlineStr">
        <is>
          <t>Deployment</t>
        </is>
      </c>
      <c r="B20" s="52" t="inlineStr">
        <is>
          <t>C3PAO Assessment</t>
        </is>
      </c>
      <c r="C20" s="52" t="inlineStr">
        <is>
          <t>Support C3PAO assessment and finding remediation</t>
        </is>
      </c>
      <c r="D20" s="52" t="inlineStr">
        <is>
          <t>EO Engineer</t>
        </is>
      </c>
      <c r="E20" s="53" t="n">
        <v>40</v>
      </c>
      <c r="F20" s="54">
        <f>'Estimate Settings'!$C$7</f>
        <v/>
      </c>
      <c r="G20" s="55">
        <f>$E20*$F20</f>
        <v/>
      </c>
      <c r="H20" s="56" t="n">
        <v>180</v>
      </c>
      <c r="I20" s="55">
        <f>TEXT($G20*$H20,"$#,##0")</f>
        <v/>
      </c>
      <c r="J20" s="52" t="inlineStr">
        <is>
          <t>System Security Plan</t>
        </is>
      </c>
      <c r="K20" s="52" t="inlineStr">
        <is>
          <t>Independent CMMC Level 2 assessment support</t>
        </is>
      </c>
    </row>
    <row r="21" ht="26" customHeight="1">
      <c r="A21" s="45" t="inlineStr">
        <is>
          <t>Deployment</t>
        </is>
      </c>
      <c r="B21" s="46" t="inlineStr">
        <is>
          <t>CMMC Certification</t>
        </is>
      </c>
      <c r="C21" s="46" t="inlineStr">
        <is>
          <t>Complete certification and DoD contract enablement</t>
        </is>
      </c>
      <c r="D21" s="46" t="inlineStr">
        <is>
          <t>EO Engineer</t>
        </is>
      </c>
      <c r="E21" s="47" t="n">
        <v>16</v>
      </c>
      <c r="F21" s="48">
        <f>'Estimate Settings'!$C$7</f>
        <v/>
      </c>
      <c r="G21" s="49">
        <f>$E21*$F21</f>
        <v/>
      </c>
      <c r="H21" s="50" t="n">
        <v>150</v>
      </c>
      <c r="I21" s="49">
        <f>TEXT($G21*$H21,"$#,##0")</f>
        <v/>
      </c>
      <c r="J21" s="46" t="inlineStr">
        <is>
          <t>C3PAO Assessment</t>
        </is>
      </c>
      <c r="K21" s="46" t="inlineStr">
        <is>
          <t>Final certification approval and documentation</t>
        </is>
      </c>
    </row>
    <row r="22" ht="26" customHeight="1">
      <c r="A22" s="51" t="inlineStr">
        <is>
          <t>Training</t>
        </is>
      </c>
      <c r="B22" s="52" t="inlineStr">
        <is>
          <t>ISSO/ISSM Training</t>
        </is>
      </c>
      <c r="C22" s="52" t="inlineStr">
        <is>
          <t>Train CMMC compliance lead on control management</t>
        </is>
      </c>
      <c r="D22" s="52" t="inlineStr">
        <is>
          <t>EO Engineer</t>
        </is>
      </c>
      <c r="E22" s="53" t="n">
        <v>16</v>
      </c>
      <c r="F22" s="54">
        <f>'Estimate Settings'!$C$8</f>
        <v/>
      </c>
      <c r="G22" s="55">
        <f>$E22*$F22</f>
        <v/>
      </c>
      <c r="H22" s="56" t="n">
        <v>160</v>
      </c>
      <c r="I22" s="55">
        <f>TEXT($G22*$H22,"$#,##0")</f>
        <v/>
      </c>
      <c r="J22" s="52" t="inlineStr">
        <is>
          <t>CMMC Certification</t>
        </is>
      </c>
      <c r="K22" s="52" t="inlineStr">
        <is>
          <t>NIST 800-171 control management and recertification</t>
        </is>
      </c>
    </row>
    <row r="23" ht="26" customHeight="1">
      <c r="A23" s="45" t="inlineStr">
        <is>
          <t>Training</t>
        </is>
      </c>
      <c r="B23" s="46" t="inlineStr">
        <is>
          <t>Security Operations Training</t>
        </is>
      </c>
      <c r="C23" s="46" t="inlineStr">
        <is>
          <t>Train security team on Sentinel and Defender operations</t>
        </is>
      </c>
      <c r="D23" s="46" t="inlineStr">
        <is>
          <t>EO Engineer</t>
        </is>
      </c>
      <c r="E23" s="47" t="n">
        <v>16</v>
      </c>
      <c r="F23" s="48">
        <f>'Estimate Settings'!$C$8</f>
        <v/>
      </c>
      <c r="G23" s="49">
        <f>$E23*$F23</f>
        <v/>
      </c>
      <c r="H23" s="50" t="n">
        <v>150</v>
      </c>
      <c r="I23" s="49">
        <f>TEXT($G23*$H23,"$#,##0")</f>
        <v/>
      </c>
      <c r="J23" s="46" t="inlineStr">
        <is>
          <t>ISSO/ISSM Training</t>
        </is>
      </c>
      <c r="K23" s="46" t="inlineStr">
        <is>
          <t>SIEM monitoring and incident response procedures</t>
        </is>
      </c>
    </row>
    <row r="24" ht="26" customHeight="1">
      <c r="A24" s="51" t="inlineStr">
        <is>
          <t>Training</t>
        </is>
      </c>
      <c r="B24" s="52" t="inlineStr">
        <is>
          <t>Documentation</t>
        </is>
      </c>
      <c r="C24" s="52" t="inlineStr">
        <is>
          <t>Create operations runbook and CMMC maintenance procedures</t>
        </is>
      </c>
      <c r="D24" s="52" t="inlineStr">
        <is>
          <t>EO Engineer</t>
        </is>
      </c>
      <c r="E24" s="53" t="n">
        <v>16</v>
      </c>
      <c r="F24" s="54">
        <f>'Estimate Settings'!$C$8</f>
        <v/>
      </c>
      <c r="G24" s="55">
        <f>$E24*$F24</f>
        <v/>
      </c>
      <c r="H24" s="56" t="n">
        <v>140</v>
      </c>
      <c r="I24" s="55">
        <f>TEXT($G24*$H24,"$#,##0")</f>
        <v/>
      </c>
      <c r="J24" s="52" t="inlineStr">
        <is>
          <t>Security Operations Training</t>
        </is>
      </c>
      <c r="K24" s="52" t="inlineStr">
        <is>
          <t>Ongoing compliance management documentation</t>
        </is>
      </c>
    </row>
    <row r="25" ht="26" customHeight="1">
      <c r="A25" s="45" t="inlineStr">
        <is>
          <t>Closeout</t>
        </is>
      </c>
      <c r="B25" s="46" t="inlineStr">
        <is>
          <t>Knowledge Transfer</t>
        </is>
      </c>
      <c r="C25" s="46" t="inlineStr">
        <is>
          <t>Transfer CMMC compliance ownership to client team</t>
        </is>
      </c>
      <c r="D25" s="46" t="inlineStr">
        <is>
          <t>EO Engineer</t>
        </is>
      </c>
      <c r="E25" s="47" t="n">
        <v>16</v>
      </c>
      <c r="F25" s="48">
        <f>'Estimate Settings'!$C$9</f>
        <v/>
      </c>
      <c r="G25" s="49">
        <f>$E25*$F25</f>
        <v/>
      </c>
      <c r="H25" s="50" t="n">
        <v>150</v>
      </c>
      <c r="I25" s="49">
        <f>TEXT($G25*$H25,"$#,##0")</f>
        <v/>
      </c>
      <c r="J25" s="46" t="inlineStr">
        <is>
          <t>Documentation</t>
        </is>
      </c>
      <c r="K25" s="46" t="inlineStr">
        <is>
          <t>Comprehensive handover of CMMC operations</t>
        </is>
      </c>
    </row>
    <row r="26" ht="26" customHeight="1">
      <c r="A26" s="51" t="inlineStr">
        <is>
          <t>Closeout</t>
        </is>
      </c>
      <c r="B26" s="52" t="inlineStr">
        <is>
          <t>Compliance Monitoring Setup</t>
        </is>
      </c>
      <c r="C26" s="52" t="inlineStr">
        <is>
          <t>Establish continuous compliance monitoring and reporting</t>
        </is>
      </c>
      <c r="D26" s="52" t="inlineStr">
        <is>
          <t>EO Engineer</t>
        </is>
      </c>
      <c r="E26" s="53" t="n">
        <v>8</v>
      </c>
      <c r="F26" s="54">
        <f>'Estimate Settings'!$C$9</f>
        <v/>
      </c>
      <c r="G26" s="55">
        <f>$E26*$F26</f>
        <v/>
      </c>
      <c r="H26" s="56" t="n">
        <v>140</v>
      </c>
      <c r="I26" s="55">
        <f>TEXT($G26*$H26,"$#,##0")</f>
        <v/>
      </c>
      <c r="J26" s="52" t="inlineStr">
        <is>
          <t>Knowledge Transfer</t>
        </is>
      </c>
      <c r="K26" s="52" t="inlineStr">
        <is>
          <t>Ongoing NIST 800-171 control monitoring setup</t>
        </is>
      </c>
    </row>
    <row r="27" ht="26" customHeight="1">
      <c r="A27" s="45" t="inlineStr">
        <is>
          <t>Management</t>
        </is>
      </c>
      <c r="B27" s="46" t="inlineStr">
        <is>
          <t>Technical Leadership</t>
        </is>
      </c>
      <c r="C27" s="46" t="inlineStr">
        <is>
          <t>Quarterback technical oversight and CMMC architecture review</t>
        </is>
      </c>
      <c r="D27" s="46" t="inlineStr">
        <is>
          <t>EO Quarterback</t>
        </is>
      </c>
      <c r="E27" s="49">
        <f>ROUND(SUM($G$33:$G$56)*0.10,0)</f>
        <v/>
      </c>
      <c r="F27" s="48">
        <f>'Estimate Settings'!$C$12</f>
        <v/>
      </c>
      <c r="G27" s="49">
        <f>$E27*$F27</f>
        <v/>
      </c>
      <c r="H27" s="50" t="n">
        <v>200</v>
      </c>
      <c r="I27" s="49">
        <f>TEXT($G27*$H27,"$#,##0")</f>
        <v/>
      </c>
      <c r="J27" s="46" t="inlineStr"/>
      <c r="K27" s="46" t="inlineStr">
        <is>
          <t>CMMC compliance architecture and C3PAO coordination</t>
        </is>
      </c>
    </row>
    <row r="28" ht="26" customHeight="1">
      <c r="A28" s="51" t="inlineStr">
        <is>
          <t>Management</t>
        </is>
      </c>
      <c r="B28" s="52" t="inlineStr">
        <is>
          <t>Project Management</t>
        </is>
      </c>
      <c r="C28" s="52" t="inlineStr">
        <is>
          <t>Project coordination and C3PAO assessment management</t>
        </is>
      </c>
      <c r="D28" s="52" t="inlineStr">
        <is>
          <t>EO Project Manager</t>
        </is>
      </c>
      <c r="E28" s="55">
        <f>ROUND(SUM($G$33:$G$56)*0.10,0)</f>
        <v/>
      </c>
      <c r="F28" s="54">
        <f>'Estimate Settings'!$C$11</f>
        <v/>
      </c>
      <c r="G28" s="55">
        <f>$E28*$F28</f>
        <v/>
      </c>
      <c r="H28" s="56" t="n">
        <v>150</v>
      </c>
      <c r="I28" s="55">
        <f>TEXT($G28*$H28,"$#,##0")</f>
        <v/>
      </c>
      <c r="J28" s="52" t="inlineStr"/>
      <c r="K28" s="52" t="inlineStr">
        <is>
          <t>Stakeholder coordination and certification timeline management</t>
        </is>
      </c>
    </row>
    <row r="29" ht="26" customHeight="1">
      <c r="A29" s="57" t="inlineStr"/>
      <c r="B29" s="57" t="inlineStr"/>
      <c r="C29" s="57" t="inlineStr"/>
      <c r="D29" s="57" t="inlineStr"/>
      <c r="E29" s="57" t="inlineStr"/>
      <c r="F29" s="58" t="inlineStr">
        <is>
          <t>TOTAL HOURS</t>
        </is>
      </c>
      <c r="G29" s="58">
        <f>SUM($G$33:$G$58)</f>
        <v/>
      </c>
      <c r="H29" s="58" t="inlineStr">
        <is>
          <t>TOTAL COST</t>
        </is>
      </c>
      <c r="I29" s="58">
        <f>TEXT(SUMPRODUCT($G$33:$G$58,$H$33:$H$58),"$#,##0")</f>
        <v/>
      </c>
      <c r="J29" s="57" t="inlineStr"/>
      <c r="K29" s="57" t="inlineStr">
        <is>
          <t>EO Sales Engineer: Update phase multipliers based on CMMC scope complexity</t>
        </is>
      </c>
    </row>
  </sheetData>
  <autoFilter ref="A2:K29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00" customWidth="1" min="3" max="3"/>
  </cols>
  <sheetData>
    <row r="1" ht="32" customHeight="1">
      <c r="A1" s="35" t="inlineStr">
        <is>
          <t>Credits - Applied to Total Cost (Year 1 Only)</t>
        </is>
      </c>
    </row>
    <row r="2" ht="32" customHeight="1">
      <c r="A2" s="36" t="inlineStr">
        <is>
          <t>Credit Type</t>
        </is>
      </c>
      <c r="B2" s="36" t="inlineStr">
        <is>
          <t>Credit Amount</t>
        </is>
      </c>
      <c r="C2" s="36" t="inlineStr">
        <is>
          <t>Credit Comments</t>
        </is>
      </c>
    </row>
    <row r="3" ht="26" customHeight="1">
      <c r="A3" s="37" t="inlineStr">
        <is>
          <t>Microsoft Partner Services Credit</t>
        </is>
      </c>
      <c r="B3" s="59" t="n">
        <v>0</v>
      </c>
      <c r="C3" s="38" t="inlineStr">
        <is>
          <t>No Microsoft partner credits available for government licensing (GCC High)</t>
        </is>
      </c>
    </row>
    <row r="4" ht="26" customHeight="1">
      <c r="A4" s="40" t="inlineStr">
        <is>
          <t>Implementation Discount</t>
        </is>
      </c>
      <c r="B4" s="60" t="n">
        <v>0</v>
      </c>
      <c r="C4" s="41" t="inlineStr">
        <is>
          <t>No implementation discount applicable</t>
        </is>
      </c>
    </row>
    <row r="5" ht="26" customHeight="1">
      <c r="A5" s="61" t="inlineStr">
        <is>
          <t>TOTAL</t>
        </is>
      </c>
      <c r="B5" s="62">
        <f>SUMPRODUCT($G$33:$G$58,$H$33:$H$58)</f>
        <v/>
      </c>
      <c r="C5" s="63" t="inlineStr">
        <is>
          <t>Total Cost - no credits available for GCC High government licensing</t>
        </is>
      </c>
    </row>
  </sheetData>
  <autoFilter ref="A2:C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2025-11-25T04:30:24Z</dcterms:modified>
  <cp:lastModifiedBy>Kishan Siram</cp:lastModifiedBy>
</cp:coreProperties>
</file>