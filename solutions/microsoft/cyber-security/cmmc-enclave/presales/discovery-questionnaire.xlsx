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Cmmc Enclave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61</v>
      </c>
      <c r="B2" s="36">
        <f>SUMPRODUCT(--(LEN(F5:F65)&gt;0))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IF('Security &amp; Compliance'!A2="","",'Security &amp; Compliance'!A2)</f>
        <v/>
      </c>
      <c r="B31" s="39">
        <f>IF('Security &amp; Compliance'!B2="","",'Security &amp; Compliance'!B2)</f>
        <v/>
      </c>
      <c r="C31" s="39">
        <f>IF('Security &amp; Compliance'!C2="","",'Security &amp; Compliance'!C2)</f>
        <v/>
      </c>
      <c r="D31" s="39">
        <f>IF('Security &amp; Compliance'!D2="","",'Security &amp; Compliance'!D2)</f>
        <v/>
      </c>
      <c r="E31" s="39">
        <f>IF('Security &amp; Compliance'!E2="","",'Security &amp; Compliance'!E2)</f>
        <v/>
      </c>
      <c r="F31" s="40">
        <f>IF('Security &amp; Compliance'!F2="","",'Security &amp; Compliance'!F2)</f>
        <v/>
      </c>
      <c r="G31" s="39">
        <f>IF('Security &amp; Compliance'!G2="","",'Security &amp; Compliance'!G2)</f>
        <v/>
      </c>
    </row>
    <row r="32">
      <c r="A32" s="41">
        <f>IF('Security &amp; Compliance'!A3="","",'Security &amp; Compliance'!A3)</f>
        <v/>
      </c>
      <c r="B32" s="41">
        <f>IF('Security &amp; Compliance'!B3="","",'Security &amp; Compliance'!B3)</f>
        <v/>
      </c>
      <c r="C32" s="41">
        <f>IF('Security &amp; Compliance'!C3="","",'Security &amp; Compliance'!C3)</f>
        <v/>
      </c>
      <c r="D32" s="41">
        <f>IF('Security &amp; Compliance'!D3="","",'Security &amp; Compliance'!D3)</f>
        <v/>
      </c>
      <c r="E32" s="41">
        <f>IF('Security &amp; Compliance'!E3="","",'Security &amp; Compliance'!E3)</f>
        <v/>
      </c>
      <c r="F32" s="40">
        <f>IF('Security &amp; Compliance'!F3="","",'Security &amp; Compliance'!F3)</f>
        <v/>
      </c>
      <c r="G32" s="41">
        <f>IF('Security &amp; Compliance'!G3="","",'Security &amp; Compliance'!G3)</f>
        <v/>
      </c>
    </row>
    <row r="33">
      <c r="A33" s="39">
        <f>IF('Security &amp; Compliance'!A4="","",'Security &amp; Compliance'!A4)</f>
        <v/>
      </c>
      <c r="B33" s="39">
        <f>IF('Security &amp; Compliance'!B4="","",'Security &amp; Compliance'!B4)</f>
        <v/>
      </c>
      <c r="C33" s="39">
        <f>IF('Security &amp; Compliance'!C4="","",'Security &amp; Compliance'!C4)</f>
        <v/>
      </c>
      <c r="D33" s="39">
        <f>IF('Security &amp; Compliance'!D4="","",'Security &amp; Compliance'!D4)</f>
        <v/>
      </c>
      <c r="E33" s="39">
        <f>IF('Security &amp; Compliance'!E4="","",'Security &amp; Compliance'!E4)</f>
        <v/>
      </c>
      <c r="F33" s="40">
        <f>IF('Security &amp; Compliance'!F4="","",'Security &amp; Compliance'!F4)</f>
        <v/>
      </c>
      <c r="G33" s="39">
        <f>IF('Security &amp; Compliance'!G4="","",'Security &amp; Compliance'!G4)</f>
        <v/>
      </c>
    </row>
    <row r="34">
      <c r="A34" s="41">
        <f>IF('Security &amp; Compliance'!A5="","",'Security &amp; Compliance'!A5)</f>
        <v/>
      </c>
      <c r="B34" s="41">
        <f>IF('Security &amp; Compliance'!B5="","",'Security &amp; Compliance'!B5)</f>
        <v/>
      </c>
      <c r="C34" s="41">
        <f>IF('Security &amp; Compliance'!C5="","",'Security &amp; Compliance'!C5)</f>
        <v/>
      </c>
      <c r="D34" s="41">
        <f>IF('Security &amp; Compliance'!D5="","",'Security &amp; Compliance'!D5)</f>
        <v/>
      </c>
      <c r="E34" s="41">
        <f>IF('Security &amp; Compliance'!E5="","",'Security &amp; Compliance'!E5)</f>
        <v/>
      </c>
      <c r="F34" s="40">
        <f>IF('Security &amp; Compliance'!F5="","",'Security &amp; Compliance'!F5)</f>
        <v/>
      </c>
      <c r="G34" s="41">
        <f>IF('Security &amp; Compliance'!G5="","",'Security &amp; Compliance'!G5)</f>
        <v/>
      </c>
    </row>
    <row r="35">
      <c r="A35" s="39">
        <f>IF('Security &amp; Compliance'!A6="","",'Security &amp; Compliance'!A6)</f>
        <v/>
      </c>
      <c r="B35" s="39">
        <f>IF('Security &amp; Compliance'!B6="","",'Security &amp; Compliance'!B6)</f>
        <v/>
      </c>
      <c r="C35" s="39">
        <f>IF('Security &amp; Compliance'!C6="","",'Security &amp; Compliance'!C6)</f>
        <v/>
      </c>
      <c r="D35" s="39">
        <f>IF('Security &amp; Compliance'!D6="","",'Security &amp; Compliance'!D6)</f>
        <v/>
      </c>
      <c r="E35" s="39">
        <f>IF('Security &amp; Compliance'!E6="","",'Security &amp; Compliance'!E6)</f>
        <v/>
      </c>
      <c r="F35" s="40">
        <f>IF('Security &amp; Compliance'!F6="","",'Security &amp; Compliance'!F6)</f>
        <v/>
      </c>
      <c r="G35" s="39">
        <f>IF('Security &amp; Compliance'!G6="","",'Security &amp; Compliance'!G6)</f>
        <v/>
      </c>
    </row>
    <row r="36">
      <c r="A36" s="41">
        <f>IF('Security &amp; Compliance'!A7="","",'Security &amp; Compliance'!A7)</f>
        <v/>
      </c>
      <c r="B36" s="41">
        <f>IF('Security &amp; Compliance'!B7="","",'Security &amp; Compliance'!B7)</f>
        <v/>
      </c>
      <c r="C36" s="41">
        <f>IF('Security &amp; Compliance'!C7="","",'Security &amp; Compliance'!C7)</f>
        <v/>
      </c>
      <c r="D36" s="41">
        <f>IF('Security &amp; Compliance'!D7="","",'Security &amp; Compliance'!D7)</f>
        <v/>
      </c>
      <c r="E36" s="41">
        <f>IF('Security &amp; Compliance'!E7="","",'Security &amp; Compliance'!E7)</f>
        <v/>
      </c>
      <c r="F36" s="40">
        <f>IF('Security &amp; Compliance'!F7="","",'Security &amp; Compliance'!F7)</f>
        <v/>
      </c>
      <c r="G36" s="41">
        <f>IF('Security &amp; Compliance'!G7="","",'Security &amp; Compliance'!G7)</f>
        <v/>
      </c>
    </row>
    <row r="37">
      <c r="A37" s="39">
        <f>IF('Security &amp; Compliance'!A8="","",'Security &amp; Compliance'!A8)</f>
        <v/>
      </c>
      <c r="B37" s="39">
        <f>IF('Security &amp; Compliance'!B8="","",'Security &amp; Compliance'!B8)</f>
        <v/>
      </c>
      <c r="C37" s="39">
        <f>IF('Security &amp; Compliance'!C8="","",'Security &amp; Compliance'!C8)</f>
        <v/>
      </c>
      <c r="D37" s="39">
        <f>IF('Security &amp; Compliance'!D8="","",'Security &amp; Compliance'!D8)</f>
        <v/>
      </c>
      <c r="E37" s="39">
        <f>IF('Security &amp; Compliance'!E8="","",'Security &amp; Compliance'!E8)</f>
        <v/>
      </c>
      <c r="F37" s="40">
        <f>IF('Security &amp; Compliance'!F8="","",'Security &amp; Compliance'!F8)</f>
        <v/>
      </c>
      <c r="G37" s="39">
        <f>IF('Security &amp; Compliance'!G8="","",'Security &amp; Compliance'!G8)</f>
        <v/>
      </c>
    </row>
    <row r="38">
      <c r="A38" s="41">
        <f>IF('Security &amp; Compliance'!A9="","",'Security &amp; Compliance'!A9)</f>
        <v/>
      </c>
      <c r="B38" s="41">
        <f>IF('Security &amp; Compliance'!B9="","",'Security &amp; Compliance'!B9)</f>
        <v/>
      </c>
      <c r="C38" s="41">
        <f>IF('Security &amp; Compliance'!C9="","",'Security &amp; Compliance'!C9)</f>
        <v/>
      </c>
      <c r="D38" s="41">
        <f>IF('Security &amp; Compliance'!D9="","",'Security &amp; Compliance'!D9)</f>
        <v/>
      </c>
      <c r="E38" s="41">
        <f>IF('Security &amp; Compliance'!E9="","",'Security &amp; Compliance'!E9)</f>
        <v/>
      </c>
      <c r="F38" s="40">
        <f>IF('Security &amp; Compliance'!F9="","",'Security &amp; Compliance'!F9)</f>
        <v/>
      </c>
      <c r="G38" s="41">
        <f>IF('Security &amp; Compliance'!G9="","",'Security &amp; Compliance'!G9)</f>
        <v/>
      </c>
    </row>
    <row r="39">
      <c r="A39" s="39">
        <f>IF('Security &amp; Compliance'!A10="","",'Security &amp; Compliance'!A10)</f>
        <v/>
      </c>
      <c r="B39" s="39">
        <f>IF('Security &amp; Compliance'!B10="","",'Security &amp; Compliance'!B10)</f>
        <v/>
      </c>
      <c r="C39" s="39">
        <f>IF('Security &amp; Compliance'!C10="","",'Security &amp; Compliance'!C10)</f>
        <v/>
      </c>
      <c r="D39" s="39">
        <f>IF('Security &amp; Compliance'!D10="","",'Security &amp; Compliance'!D10)</f>
        <v/>
      </c>
      <c r="E39" s="39">
        <f>IF('Security &amp; Compliance'!E10="","",'Security &amp; Compliance'!E10)</f>
        <v/>
      </c>
      <c r="F39" s="40">
        <f>IF('Security &amp; Compliance'!F10="","",'Security &amp; Compliance'!F10)</f>
        <v/>
      </c>
      <c r="G39" s="39">
        <f>IF('Security &amp; Compliance'!G10="","",'Security &amp; Compliance'!G10)</f>
        <v/>
      </c>
    </row>
    <row r="40">
      <c r="A40" s="41">
        <f>IF('Security &amp; Compliance'!A11="","",'Security &amp; Compliance'!A11)</f>
        <v/>
      </c>
      <c r="B40" s="41">
        <f>IF('Security &amp; Compliance'!B11="","",'Security &amp; Compliance'!B11)</f>
        <v/>
      </c>
      <c r="C40" s="41">
        <f>IF('Security &amp; Compliance'!C11="","",'Security &amp; Compliance'!C11)</f>
        <v/>
      </c>
      <c r="D40" s="41">
        <f>IF('Security &amp; Compliance'!D11="","",'Security &amp; Compliance'!D11)</f>
        <v/>
      </c>
      <c r="E40" s="41">
        <f>IF('Security &amp; Compliance'!E11="","",'Security &amp; Compliance'!E11)</f>
        <v/>
      </c>
      <c r="F40" s="40">
        <f>IF('Security &amp; Compliance'!F11="","",'Security &amp; Compliance'!F11)</f>
        <v/>
      </c>
      <c r="G40" s="41">
        <f>IF('Security &amp; Compliance'!G11="","",'Security &amp; Compliance'!G11)</f>
        <v/>
      </c>
    </row>
    <row r="41">
      <c r="A41" s="39">
        <f>IF('Security &amp; Compliance'!A12="","",'Security &amp; Compliance'!A12)</f>
        <v/>
      </c>
      <c r="B41" s="39">
        <f>IF('Security &amp; Compliance'!B12="","",'Security &amp; Compliance'!B12)</f>
        <v/>
      </c>
      <c r="C41" s="39">
        <f>IF('Security &amp; Compliance'!C12="","",'Security &amp; Compliance'!C12)</f>
        <v/>
      </c>
      <c r="D41" s="39">
        <f>IF('Security &amp; Compliance'!D12="","",'Security &amp; Compliance'!D12)</f>
        <v/>
      </c>
      <c r="E41" s="39">
        <f>IF('Security &amp; Compliance'!E12="","",'Security &amp; Compliance'!E12)</f>
        <v/>
      </c>
      <c r="F41" s="40">
        <f>IF('Security &amp; Compliance'!F12="","",'Security &amp; Compliance'!F12)</f>
        <v/>
      </c>
      <c r="G41" s="39">
        <f>IF('Security &amp; Compliance'!G12="","",'Security &amp; Compliance'!G12)</f>
        <v/>
      </c>
    </row>
    <row r="42">
      <c r="A42" s="41">
        <f>IF('Security &amp; Compliance'!A13="","",'Security &amp; Compliance'!A13)</f>
        <v/>
      </c>
      <c r="B42" s="41">
        <f>IF('Security &amp; Compliance'!B13="","",'Security &amp; Compliance'!B13)</f>
        <v/>
      </c>
      <c r="C42" s="41">
        <f>IF('Security &amp; Compliance'!C13="","",'Security &amp; Compliance'!C13)</f>
        <v/>
      </c>
      <c r="D42" s="41">
        <f>IF('Security &amp; Compliance'!D13="","",'Security &amp; Compliance'!D13)</f>
        <v/>
      </c>
      <c r="E42" s="41">
        <f>IF('Security &amp; Compliance'!E13="","",'Security &amp; Compliance'!E13)</f>
        <v/>
      </c>
      <c r="F42" s="40">
        <f>IF('Security &amp; Compliance'!F13="","",'Security &amp; Compliance'!F13)</f>
        <v/>
      </c>
      <c r="G42" s="41">
        <f>IF('Security &amp; Compliance'!G13="","",'Security &amp; Compliance'!G13)</f>
        <v/>
      </c>
    </row>
    <row r="43">
      <c r="A43" s="39">
        <f>IF('Operations &amp; Support'!A2="","",'Operations &amp; Support'!A2)</f>
        <v/>
      </c>
      <c r="B43" s="39">
        <f>IF('Operations &amp; Support'!B2="","",'Operations &amp; Support'!B2)</f>
        <v/>
      </c>
      <c r="C43" s="39">
        <f>IF('Operations &amp; Support'!C2="","",'Operations &amp; Support'!C2)</f>
        <v/>
      </c>
      <c r="D43" s="39">
        <f>IF('Operations &amp; Support'!D2="","",'Operations &amp; Support'!D2)</f>
        <v/>
      </c>
      <c r="E43" s="39">
        <f>IF('Operations &amp; Support'!E2="","",'Operations &amp; Support'!E2)</f>
        <v/>
      </c>
      <c r="F43" s="40">
        <f>IF('Operations &amp; Support'!F2="","",'Operations &amp; Support'!F2)</f>
        <v/>
      </c>
      <c r="G43" s="39">
        <f>IF('Operations &amp; Support'!G2="","",'Operations &amp; Support'!G2)</f>
        <v/>
      </c>
    </row>
    <row r="44">
      <c r="A44" s="41">
        <f>IF('Operations &amp; Support'!A3="","",'Operations &amp; Support'!A3)</f>
        <v/>
      </c>
      <c r="B44" s="41">
        <f>IF('Operations &amp; Support'!B3="","",'Operations &amp; Support'!B3)</f>
        <v/>
      </c>
      <c r="C44" s="41">
        <f>IF('Operations &amp; Support'!C3="","",'Operations &amp; Support'!C3)</f>
        <v/>
      </c>
      <c r="D44" s="41">
        <f>IF('Operations &amp; Support'!D3="","",'Operations &amp; Support'!D3)</f>
        <v/>
      </c>
      <c r="E44" s="41">
        <f>IF('Operations &amp; Support'!E3="","",'Operations &amp; Support'!E3)</f>
        <v/>
      </c>
      <c r="F44" s="40">
        <f>IF('Operations &amp; Support'!F3="","",'Operations &amp; Support'!F3)</f>
        <v/>
      </c>
      <c r="G44" s="41">
        <f>IF('Operations &amp; Support'!G3="","",'Operations &amp; Support'!G3)</f>
        <v/>
      </c>
    </row>
    <row r="45">
      <c r="A45" s="39">
        <f>IF('Operations &amp; Support'!A4="","",'Operations &amp; Support'!A4)</f>
        <v/>
      </c>
      <c r="B45" s="39">
        <f>IF('Operations &amp; Support'!B4="","",'Operations &amp; Support'!B4)</f>
        <v/>
      </c>
      <c r="C45" s="39">
        <f>IF('Operations &amp; Support'!C4="","",'Operations &amp; Support'!C4)</f>
        <v/>
      </c>
      <c r="D45" s="39">
        <f>IF('Operations &amp; Support'!D4="","",'Operations &amp; Support'!D4)</f>
        <v/>
      </c>
      <c r="E45" s="39">
        <f>IF('Operations &amp; Support'!E4="","",'Operations &amp; Support'!E4)</f>
        <v/>
      </c>
      <c r="F45" s="40">
        <f>IF('Operations &amp; Support'!F4="","",'Operations &amp; Support'!F4)</f>
        <v/>
      </c>
      <c r="G45" s="39">
        <f>IF('Operations &amp; Support'!G4="","",'Operations &amp; Support'!G4)</f>
        <v/>
      </c>
    </row>
    <row r="46">
      <c r="A46" s="41">
        <f>IF('Operations &amp; Support'!A5="","",'Operations &amp; Support'!A5)</f>
        <v/>
      </c>
      <c r="B46" s="41">
        <f>IF('Operations &amp; Support'!B5="","",'Operations &amp; Support'!B5)</f>
        <v/>
      </c>
      <c r="C46" s="41">
        <f>IF('Operations &amp; Support'!C5="","",'Operations &amp; Support'!C5)</f>
        <v/>
      </c>
      <c r="D46" s="41">
        <f>IF('Operations &amp; Support'!D5="","",'Operations &amp; Support'!D5)</f>
        <v/>
      </c>
      <c r="E46" s="41">
        <f>IF('Operations &amp; Support'!E5="","",'Operations &amp; Support'!E5)</f>
        <v/>
      </c>
      <c r="F46" s="40">
        <f>IF('Operations &amp; Support'!F5="","",'Operations &amp; Support'!F5)</f>
        <v/>
      </c>
      <c r="G46" s="41">
        <f>IF('Operations &amp; Support'!G5="","",'Operations &amp; Support'!G5)</f>
        <v/>
      </c>
    </row>
    <row r="47">
      <c r="A47" s="39">
        <f>IF('Operations &amp; Support'!A6="","",'Operations &amp; Support'!A6)</f>
        <v/>
      </c>
      <c r="B47" s="39">
        <f>IF('Operations &amp; Support'!B6="","",'Operations &amp; Support'!B6)</f>
        <v/>
      </c>
      <c r="C47" s="39">
        <f>IF('Operations &amp; Support'!C6="","",'Operations &amp; Support'!C6)</f>
        <v/>
      </c>
      <c r="D47" s="39">
        <f>IF('Operations &amp; Support'!D6="","",'Operations &amp; Support'!D6)</f>
        <v/>
      </c>
      <c r="E47" s="39">
        <f>IF('Operations &amp; Support'!E6="","",'Operations &amp; Support'!E6)</f>
        <v/>
      </c>
      <c r="F47" s="40">
        <f>IF('Operations &amp; Support'!F6="","",'Operations &amp; Support'!F6)</f>
        <v/>
      </c>
      <c r="G47" s="39">
        <f>IF('Operations &amp; Support'!G6="","",'Operations &amp; Support'!G6)</f>
        <v/>
      </c>
    </row>
    <row r="48">
      <c r="A48" s="41">
        <f>IF('Operations &amp; Support'!A7="","",'Operations &amp; Support'!A7)</f>
        <v/>
      </c>
      <c r="B48" s="41">
        <f>IF('Operations &amp; Support'!B7="","",'Operations &amp; Support'!B7)</f>
        <v/>
      </c>
      <c r="C48" s="41">
        <f>IF('Operations &amp; Support'!C7="","",'Operations &amp; Support'!C7)</f>
        <v/>
      </c>
      <c r="D48" s="41">
        <f>IF('Operations &amp; Support'!D7="","",'Operations &amp; Support'!D7)</f>
        <v/>
      </c>
      <c r="E48" s="41">
        <f>IF('Operations &amp; Support'!E7="","",'Operations &amp; Support'!E7)</f>
        <v/>
      </c>
      <c r="F48" s="40">
        <f>IF('Operations &amp; Support'!F7="","",'Operations &amp; Support'!F7)</f>
        <v/>
      </c>
      <c r="G48" s="41">
        <f>IF('Operations &amp; Support'!G7="","",'Operations &amp; Support'!G7)</f>
        <v/>
      </c>
    </row>
    <row r="49">
      <c r="A49" s="39">
        <f>IF('Operations &amp; Support'!A8="","",'Operations &amp; Support'!A8)</f>
        <v/>
      </c>
      <c r="B49" s="39">
        <f>IF('Operations &amp; Support'!B8="","",'Operations &amp; Support'!B8)</f>
        <v/>
      </c>
      <c r="C49" s="39">
        <f>IF('Operations &amp; Support'!C8="","",'Operations &amp; Support'!C8)</f>
        <v/>
      </c>
      <c r="D49" s="39">
        <f>IF('Operations &amp; Support'!D8="","",'Operations &amp; Support'!D8)</f>
        <v/>
      </c>
      <c r="E49" s="39">
        <f>IF('Operations &amp; Support'!E8="","",'Operations &amp; Support'!E8)</f>
        <v/>
      </c>
      <c r="F49" s="40">
        <f>IF('Operations &amp; Support'!F8="","",'Operations &amp; Support'!F8)</f>
        <v/>
      </c>
      <c r="G49" s="39">
        <f>IF('Operations &amp; Support'!G8="","",'Operations &amp; Support'!G8)</f>
        <v/>
      </c>
    </row>
    <row r="50">
      <c r="A50" s="41">
        <f>IF('Implementation Planning'!A2="","",'Implementation Planning'!A2)</f>
        <v/>
      </c>
      <c r="B50" s="41">
        <f>IF('Implementation Planning'!B2="","",'Implementation Planning'!B2)</f>
        <v/>
      </c>
      <c r="C50" s="41">
        <f>IF('Implementation Planning'!C2="","",'Implementation Planning'!C2)</f>
        <v/>
      </c>
      <c r="D50" s="41">
        <f>IF('Implementation Planning'!D2="","",'Implementation Planning'!D2)</f>
        <v/>
      </c>
      <c r="E50" s="41">
        <f>IF('Implementation Planning'!E2="","",'Implementation Planning'!E2)</f>
        <v/>
      </c>
      <c r="F50" s="40">
        <f>IF('Implementation Planning'!F2="","",'Implementation Planning'!F2)</f>
        <v/>
      </c>
      <c r="G50" s="41">
        <f>IF('Implementation Planning'!G2="","",'Implementation Planning'!G2)</f>
        <v/>
      </c>
    </row>
    <row r="51">
      <c r="A51" s="39">
        <f>IF('Implementation Planning'!A3="","",'Implementation Planning'!A3)</f>
        <v/>
      </c>
      <c r="B51" s="39">
        <f>IF('Implementation Planning'!B3="","",'Implementation Planning'!B3)</f>
        <v/>
      </c>
      <c r="C51" s="39">
        <f>IF('Implementation Planning'!C3="","",'Implementation Planning'!C3)</f>
        <v/>
      </c>
      <c r="D51" s="39">
        <f>IF('Implementation Planning'!D3="","",'Implementation Planning'!D3)</f>
        <v/>
      </c>
      <c r="E51" s="39">
        <f>IF('Implementation Planning'!E3="","",'Implementation Planning'!E3)</f>
        <v/>
      </c>
      <c r="F51" s="40">
        <f>IF('Implementation Planning'!F3="","",'Implementation Planning'!F3)</f>
        <v/>
      </c>
      <c r="G51" s="39">
        <f>IF('Implementation Planning'!G3="","",'Implementation Planning'!G3)</f>
        <v/>
      </c>
    </row>
    <row r="52">
      <c r="A52" s="41">
        <f>IF('Implementation Planning'!A4="","",'Implementation Planning'!A4)</f>
        <v/>
      </c>
      <c r="B52" s="41">
        <f>IF('Implementation Planning'!B4="","",'Implementation Planning'!B4)</f>
        <v/>
      </c>
      <c r="C52" s="41">
        <f>IF('Implementation Planning'!C4="","",'Implementation Planning'!C4)</f>
        <v/>
      </c>
      <c r="D52" s="41">
        <f>IF('Implementation Planning'!D4="","",'Implementation Planning'!D4)</f>
        <v/>
      </c>
      <c r="E52" s="41">
        <f>IF('Implementation Planning'!E4="","",'Implementation Planning'!E4)</f>
        <v/>
      </c>
      <c r="F52" s="40">
        <f>IF('Implementation Planning'!F4="","",'Implementation Planning'!F4)</f>
        <v/>
      </c>
      <c r="G52" s="41">
        <f>IF('Implementation Planning'!G4="","",'Implementation Planning'!G4)</f>
        <v/>
      </c>
    </row>
    <row r="53">
      <c r="A53" s="39">
        <f>IF('Implementation Planning'!A5="","",'Implementation Planning'!A5)</f>
        <v/>
      </c>
      <c r="B53" s="39">
        <f>IF('Implementation Planning'!B5="","",'Implementation Planning'!B5)</f>
        <v/>
      </c>
      <c r="C53" s="39">
        <f>IF('Implementation Planning'!C5="","",'Implementation Planning'!C5)</f>
        <v/>
      </c>
      <c r="D53" s="39">
        <f>IF('Implementation Planning'!D5="","",'Implementation Planning'!D5)</f>
        <v/>
      </c>
      <c r="E53" s="39">
        <f>IF('Implementation Planning'!E5="","",'Implementation Planning'!E5)</f>
        <v/>
      </c>
      <c r="F53" s="40">
        <f>IF('Implementation Planning'!F5="","",'Implementation Planning'!F5)</f>
        <v/>
      </c>
      <c r="G53" s="39">
        <f>IF('Implementation Planning'!G5="","",'Implementation Planning'!G5)</f>
        <v/>
      </c>
    </row>
    <row r="54">
      <c r="A54" s="41">
        <f>IF('Implementation Planning'!A6="","",'Implementation Planning'!A6)</f>
        <v/>
      </c>
      <c r="B54" s="41">
        <f>IF('Implementation Planning'!B6="","",'Implementation Planning'!B6)</f>
        <v/>
      </c>
      <c r="C54" s="41">
        <f>IF('Implementation Planning'!C6="","",'Implementation Planning'!C6)</f>
        <v/>
      </c>
      <c r="D54" s="41">
        <f>IF('Implementation Planning'!D6="","",'Implementation Planning'!D6)</f>
        <v/>
      </c>
      <c r="E54" s="41">
        <f>IF('Implementation Planning'!E6="","",'Implementation Planning'!E6)</f>
        <v/>
      </c>
      <c r="F54" s="40">
        <f>IF('Implementation Planning'!F6="","",'Implementation Planning'!F6)</f>
        <v/>
      </c>
      <c r="G54" s="41">
        <f>IF('Implementation Planning'!G6="","",'Implementation Planning'!G6)</f>
        <v/>
      </c>
    </row>
    <row r="55">
      <c r="A55" s="39">
        <f>IF('Implementation Planning'!A7="","",'Implementation Planning'!A7)</f>
        <v/>
      </c>
      <c r="B55" s="39">
        <f>IF('Implementation Planning'!B7="","",'Implementation Planning'!B7)</f>
        <v/>
      </c>
      <c r="C55" s="39">
        <f>IF('Implementation Planning'!C7="","",'Implementation Planning'!C7)</f>
        <v/>
      </c>
      <c r="D55" s="39">
        <f>IF('Implementation Planning'!D7="","",'Implementation Planning'!D7)</f>
        <v/>
      </c>
      <c r="E55" s="39">
        <f>IF('Implementation Planning'!E7="","",'Implementation Planning'!E7)</f>
        <v/>
      </c>
      <c r="F55" s="40">
        <f>IF('Implementation Planning'!F7="","",'Implementation Planning'!F7)</f>
        <v/>
      </c>
      <c r="G55" s="39">
        <f>IF('Implementation Planning'!G7="","",'Implementation Planning'!G7)</f>
        <v/>
      </c>
    </row>
    <row r="56">
      <c r="A56" s="41">
        <f>IF('Implementation Planning'!A8="","",'Implementation Planning'!A8)</f>
        <v/>
      </c>
      <c r="B56" s="41">
        <f>IF('Implementation Planning'!B8="","",'Implementation Planning'!B8)</f>
        <v/>
      </c>
      <c r="C56" s="41">
        <f>IF('Implementation Planning'!C8="","",'Implementation Planning'!C8)</f>
        <v/>
      </c>
      <c r="D56" s="41">
        <f>IF('Implementation Planning'!D8="","",'Implementation Planning'!D8)</f>
        <v/>
      </c>
      <c r="E56" s="41">
        <f>IF('Implementation Planning'!E8="","",'Implementation Planning'!E8)</f>
        <v/>
      </c>
      <c r="F56" s="40">
        <f>IF('Implementation Planning'!F8="","",'Implementation Planning'!F8)</f>
        <v/>
      </c>
      <c r="G56" s="41">
        <f>IF('Implementation Planning'!G8="","",'Implementation Planning'!G8)</f>
        <v/>
      </c>
    </row>
    <row r="57">
      <c r="A57" s="39">
        <f>IF('Implementation Planning'!A9="","",'Implementation Planning'!A9)</f>
        <v/>
      </c>
      <c r="B57" s="39">
        <f>IF('Implementation Planning'!B9="","",'Implementation Planning'!B9)</f>
        <v/>
      </c>
      <c r="C57" s="39">
        <f>IF('Implementation Planning'!C9="","",'Implementation Planning'!C9)</f>
        <v/>
      </c>
      <c r="D57" s="39">
        <f>IF('Implementation Planning'!D9="","",'Implementation Planning'!D9)</f>
        <v/>
      </c>
      <c r="E57" s="39">
        <f>IF('Implementation Planning'!E9="","",'Implementation Planning'!E9)</f>
        <v/>
      </c>
      <c r="F57" s="40">
        <f>IF('Implementation Planning'!F9="","",'Implementation Planning'!F9)</f>
        <v/>
      </c>
      <c r="G57" s="39">
        <f>IF('Implementation Planning'!G9="","",'Implementation Planning'!G9)</f>
        <v/>
      </c>
    </row>
    <row r="58">
      <c r="A58" s="41">
        <f>IF('Implementation Planning'!A10="","",'Implementation Planning'!A10)</f>
        <v/>
      </c>
      <c r="B58" s="41">
        <f>IF('Implementation Planning'!B10="","",'Implementation Planning'!B10)</f>
        <v/>
      </c>
      <c r="C58" s="41">
        <f>IF('Implementation Planning'!C10="","",'Implementation Planning'!C10)</f>
        <v/>
      </c>
      <c r="D58" s="41">
        <f>IF('Implementation Planning'!D10="","",'Implementation Planning'!D10)</f>
        <v/>
      </c>
      <c r="E58" s="41">
        <f>IF('Implementation Planning'!E10="","",'Implementation Planning'!E10)</f>
        <v/>
      </c>
      <c r="F58" s="40">
        <f>IF('Implementation Planning'!F10="","",'Implementation Planning'!F10)</f>
        <v/>
      </c>
      <c r="G58" s="41">
        <f>IF('Implementation Planning'!G10="","",'Implementation Planning'!G10)</f>
        <v/>
      </c>
    </row>
    <row r="59">
      <c r="A59" s="39">
        <f>IF('Implementation Planning'!A11="","",'Implementation Planning'!A11)</f>
        <v/>
      </c>
      <c r="B59" s="39">
        <f>IF('Implementation Planning'!B11="","",'Implementation Planning'!B11)</f>
        <v/>
      </c>
      <c r="C59" s="39">
        <f>IF('Implementation Planning'!C11="","",'Implementation Planning'!C11)</f>
        <v/>
      </c>
      <c r="D59" s="39">
        <f>IF('Implementation Planning'!D11="","",'Implementation Planning'!D11)</f>
        <v/>
      </c>
      <c r="E59" s="39">
        <f>IF('Implementation Planning'!E11="","",'Implementation Planning'!E11)</f>
        <v/>
      </c>
      <c r="F59" s="40">
        <f>IF('Implementation Planning'!F11="","",'Implementation Planning'!F11)</f>
        <v/>
      </c>
      <c r="G59" s="39">
        <f>IF('Implementation Planning'!G11="","",'Implementation Planning'!G11)</f>
        <v/>
      </c>
    </row>
    <row r="60">
      <c r="A60" s="41">
        <f>IF('Risk &amp; Constraints'!A2="","",'Risk &amp; Constraints'!A2)</f>
        <v/>
      </c>
      <c r="B60" s="41">
        <f>IF('Risk &amp; Constraints'!B2="","",'Risk &amp; Constraints'!B2)</f>
        <v/>
      </c>
      <c r="C60" s="41">
        <f>IF('Risk &amp; Constraints'!C2="","",'Risk &amp; Constraints'!C2)</f>
        <v/>
      </c>
      <c r="D60" s="41">
        <f>IF('Risk &amp; Constraints'!D2="","",'Risk &amp; Constraints'!D2)</f>
        <v/>
      </c>
      <c r="E60" s="41">
        <f>IF('Risk &amp; Constraints'!E2="","",'Risk &amp; Constraints'!E2)</f>
        <v/>
      </c>
      <c r="F60" s="40">
        <f>IF('Risk &amp; Constraints'!F2="","",'Risk &amp; Constraints'!F2)</f>
        <v/>
      </c>
      <c r="G60" s="41">
        <f>IF('Risk &amp; Constraints'!G2="","",'Risk &amp; Constraints'!G2)</f>
        <v/>
      </c>
    </row>
    <row r="61">
      <c r="A61" s="39">
        <f>IF('Risk &amp; Constraints'!A3="","",'Risk &amp; Constraints'!A3)</f>
        <v/>
      </c>
      <c r="B61" s="39">
        <f>IF('Risk &amp; Constraints'!B3="","",'Risk &amp; Constraints'!B3)</f>
        <v/>
      </c>
      <c r="C61" s="39">
        <f>IF('Risk &amp; Constraints'!C3="","",'Risk &amp; Constraints'!C3)</f>
        <v/>
      </c>
      <c r="D61" s="39">
        <f>IF('Risk &amp; Constraints'!D3="","",'Risk &amp; Constraints'!D3)</f>
        <v/>
      </c>
      <c r="E61" s="39">
        <f>IF('Risk &amp; Constraints'!E3="","",'Risk &amp; Constraints'!E3)</f>
        <v/>
      </c>
      <c r="F61" s="40">
        <f>IF('Risk &amp; Constraints'!F3="","",'Risk &amp; Constraints'!F3)</f>
        <v/>
      </c>
      <c r="G61" s="39">
        <f>IF('Risk &amp; Constraints'!G3="","",'Risk &amp; Constraints'!G3)</f>
        <v/>
      </c>
    </row>
    <row r="62">
      <c r="A62" s="41">
        <f>IF('Risk &amp; Constraints'!A4="","",'Risk &amp; Constraints'!A4)</f>
        <v/>
      </c>
      <c r="B62" s="41">
        <f>IF('Risk &amp; Constraints'!B4="","",'Risk &amp; Constraints'!B4)</f>
        <v/>
      </c>
      <c r="C62" s="41">
        <f>IF('Risk &amp; Constraints'!C4="","",'Risk &amp; Constraints'!C4)</f>
        <v/>
      </c>
      <c r="D62" s="41">
        <f>IF('Risk &amp; Constraints'!D4="","",'Risk &amp; Constraints'!D4)</f>
        <v/>
      </c>
      <c r="E62" s="41">
        <f>IF('Risk &amp; Constraints'!E4="","",'Risk &amp; Constraints'!E4)</f>
        <v/>
      </c>
      <c r="F62" s="40">
        <f>IF('Risk &amp; Constraints'!F4="","",'Risk &amp; Constraints'!F4)</f>
        <v/>
      </c>
      <c r="G62" s="41">
        <f>IF('Risk &amp; Constraints'!G4="","",'Risk &amp; Constraints'!G4)</f>
        <v/>
      </c>
    </row>
    <row r="63">
      <c r="A63" s="39">
        <f>IF('Risk &amp; Constraints'!A5="","",'Risk &amp; Constraints'!A5)</f>
        <v/>
      </c>
      <c r="B63" s="39">
        <f>IF('Risk &amp; Constraints'!B5="","",'Risk &amp; Constraints'!B5)</f>
        <v/>
      </c>
      <c r="C63" s="39">
        <f>IF('Risk &amp; Constraints'!C5="","",'Risk &amp; Constraints'!C5)</f>
        <v/>
      </c>
      <c r="D63" s="39">
        <f>IF('Risk &amp; Constraints'!D5="","",'Risk &amp; Constraints'!D5)</f>
        <v/>
      </c>
      <c r="E63" s="39">
        <f>IF('Risk &amp; Constraints'!E5="","",'Risk &amp; Constraints'!E5)</f>
        <v/>
      </c>
      <c r="F63" s="40">
        <f>IF('Risk &amp; Constraints'!F5="","",'Risk &amp; Constraints'!F5)</f>
        <v/>
      </c>
      <c r="G63" s="39">
        <f>IF('Risk &amp; Constraints'!G5="","",'Risk &amp; Constraints'!G5)</f>
        <v/>
      </c>
    </row>
    <row r="64">
      <c r="A64" s="41">
        <f>IF('Risk &amp; Constraints'!A6="","",'Risk &amp; Constraints'!A6)</f>
        <v/>
      </c>
      <c r="B64" s="41">
        <f>IF('Risk &amp; Constraints'!B6="","",'Risk &amp; Constraints'!B6)</f>
        <v/>
      </c>
      <c r="C64" s="41">
        <f>IF('Risk &amp; Constraints'!C6="","",'Risk &amp; Constraints'!C6)</f>
        <v/>
      </c>
      <c r="D64" s="41">
        <f>IF('Risk &amp; Constraints'!D6="","",'Risk &amp; Constraints'!D6)</f>
        <v/>
      </c>
      <c r="E64" s="41">
        <f>IF('Risk &amp; Constraints'!E6="","",'Risk &amp; Constraints'!E6)</f>
        <v/>
      </c>
      <c r="F64" s="40">
        <f>IF('Risk &amp; Constraints'!F6="","",'Risk &amp; Constraints'!F6)</f>
        <v/>
      </c>
      <c r="G64" s="41">
        <f>IF('Risk &amp; Constraints'!G6="","",'Risk &amp; Constraints'!G6)</f>
        <v/>
      </c>
    </row>
    <row r="65">
      <c r="A65" s="39">
        <f>IF('Risk &amp; Constraints'!A7="","",'Risk &amp; Constraints'!A7)</f>
        <v/>
      </c>
      <c r="B65" s="39">
        <f>IF('Risk &amp; Constraints'!B7="","",'Risk &amp; Constraints'!B7)</f>
        <v/>
      </c>
      <c r="C65" s="39">
        <f>IF('Risk &amp; Constraints'!C7="","",'Risk &amp; Constraints'!C7)</f>
        <v/>
      </c>
      <c r="D65" s="39">
        <f>IF('Risk &amp; Constraints'!D7="","",'Risk &amp; Constraints'!D7)</f>
        <v/>
      </c>
      <c r="E65" s="39">
        <f>IF('Risk &amp; Constraints'!E7="","",'Risk &amp; Constraints'!E7)</f>
        <v/>
      </c>
      <c r="F65" s="40">
        <f>IF('Risk &amp; Constraints'!F7="","",'Risk &amp; Constraints'!F7)</f>
        <v/>
      </c>
      <c r="G65" s="39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CMMC GCC High Enclave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CMMC compliance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DoD contract opportunities require CMMC Level 2 certification?</t>
        </is>
      </c>
      <c r="E4" s="41" t="inlineStr">
        <is>
          <t>List contract values and timelines for CMMC compliance requirements</t>
        </is>
      </c>
      <c r="F4" s="40" t="n"/>
      <c r="G4" s="41" t="inlineStr">
        <is>
          <t>Primary business driver for CMMC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approach to handling Controlled Unclassified Information (CUI)?</t>
        </is>
      </c>
      <c r="E5" s="39" t="inlineStr">
        <is>
          <t>Describe on-premises systems, manual processes, or existing cloud solutions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Compliance Status</t>
        </is>
      </c>
      <c r="D6" s="41" t="inlineStr">
        <is>
          <t>What is your current CMMC compliance status?</t>
        </is>
      </c>
      <c r="E6" s="41" t="inlineStr">
        <is>
          <t>Options: No compliance, Self-assessment started, C3PAO engaged, Certified Level 1, Pursuing Level 2</t>
        </is>
      </c>
      <c r="F6" s="40" t="n"/>
      <c r="G6" s="41" t="inlineStr">
        <is>
          <t>CMMC certification readiness and timeline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CUI Volume</t>
        </is>
      </c>
      <c r="D7" s="39" t="inlineStr">
        <is>
          <t>How many users will access CUI in this environment?</t>
        </is>
      </c>
      <c r="E7" s="39" t="inlineStr">
        <is>
          <t>Typical ranges: 1-25, 26-50, 51-100, 100-250, 250+</t>
        </is>
      </c>
      <c r="F7" s="40" t="n"/>
      <c r="G7" s="39" t="inlineStr">
        <is>
          <t>User licensing and access control sizing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GCC High Enclave?</t>
        </is>
      </c>
      <c r="E8" s="41" t="inlineStr">
        <is>
          <t>Common goals: Win DoD contracts, Meet CMMC certification, Secure CUI data, Reduce compliance costs, Enable remote collaboration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CMMC enclave success?</t>
        </is>
      </c>
      <c r="E9" s="39" t="inlineStr">
        <is>
          <t>Define KPIs: CMMC certification achieved, contract awards won, compliance cost reduction, audit pass rate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CMMC Level 2 certification?</t>
        </is>
      </c>
      <c r="E10" s="41" t="inlineStr">
        <is>
          <t>Typical ranges: 0-6 months, 6-12 months, 12-18 months, 18+ months</t>
        </is>
      </c>
      <c r="F10" s="40" t="n"/>
      <c r="G10" s="41" t="inlineStr">
        <is>
          <t>Certification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for CMMC compliance implementation?</t>
        </is>
      </c>
      <c r="E11" s="39" t="inlineStr">
        <is>
          <t>Common ranges: $100K-250K, $250K-500K, $500K-1M, $1M+. Include software licenses and professional services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DoD contracting and CUI handling?</t>
        </is>
      </c>
      <c r="E12" s="41" t="inlineStr">
        <is>
          <t>Consider expansion to additional contracts, agencies, or classification levels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CUI user count and data volume to change over 3 years?</t>
        </is>
      </c>
      <c r="E13" s="39" t="inlineStr">
        <is>
          <t>Provide current users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Microsoft 365 Environment</t>
        </is>
      </c>
      <c r="D2" s="41" t="inlineStr">
        <is>
          <t>What Microsoft 365 services are you currently using?</t>
        </is>
      </c>
      <c r="E2" s="41" t="inlineStr">
        <is>
          <t>Options: Commercial M365, GCC, GCC High, None, Other cloud collaboration</t>
        </is>
      </c>
      <c r="F2" s="40" t="n"/>
      <c r="G2" s="41" t="inlineStr">
        <is>
          <t>Current Microsoft footprint and migration scope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Azure Environment</t>
        </is>
      </c>
      <c r="D3" s="39" t="inlineStr">
        <is>
          <t>What Azure cloud environment are you currently using?</t>
        </is>
      </c>
      <c r="E3" s="39" t="inlineStr">
        <is>
          <t>Options: Azure Commercial, Azure Government, None, Other cloud provider</t>
        </is>
      </c>
      <c r="F3" s="40" t="n"/>
      <c r="G3" s="39" t="inlineStr">
        <is>
          <t>Current Azure footprint and hybrid connectivity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CUI Data Classification</t>
        </is>
      </c>
      <c r="D4" s="41" t="inlineStr">
        <is>
          <t>What types of CUI data will be stored in this environment?</t>
        </is>
      </c>
      <c r="E4" s="41" t="inlineStr">
        <is>
          <t>Common types: Export-controlled technical data (ITAR/EAR), DoD contract data, Critical infrastructure, Law enforcement, Privacy Act data</t>
        </is>
      </c>
      <c r="F4" s="40" t="n"/>
      <c r="G4" s="41" t="inlineStr">
        <is>
          <t>CUI classification affects compliance controls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NIST 800-171 Compliance</t>
        </is>
      </c>
      <c r="D5" s="39" t="inlineStr">
        <is>
          <t>Which NIST 800-171 control families require implementation?</t>
        </is>
      </c>
      <c r="E5" s="39" t="inlineStr">
        <is>
          <t>Control families: Access Control (AC), Audit &amp; Accountability (AU), Configuration Management (CM), Identification &amp; Authentication (IA), Incident Response (IR), Maintenance (MA), Media Protection (MP), Personnel Security (PS), Physical Protection (PE), Risk Assessment (RA), Security Assessment (SA), System &amp; Communications Protection (SC), System &amp; Information Integrity (SI)</t>
        </is>
      </c>
      <c r="F5" s="40" t="n"/>
      <c r="G5" s="39" t="inlineStr">
        <is>
          <t>Determines scope of security controls and automation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Authentication Requirements</t>
        </is>
      </c>
      <c r="D6" s="41" t="inlineStr">
        <is>
          <t>What authentication methods do you require for CUI access?</t>
        </is>
      </c>
      <c r="E6" s="41" t="inlineStr">
        <is>
          <t>Options: CAC/PIV smart cards, Azure AD MFA, FIDO2 security keys, Conditional Access, Privileged Access Workstations (PAW)</t>
        </is>
      </c>
      <c r="F6" s="40" t="n"/>
      <c r="G6" s="41" t="inlineStr">
        <is>
          <t>Identity and authentication architecture design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Network Connectivity</t>
        </is>
      </c>
      <c r="D7" s="39" t="inlineStr">
        <is>
          <t>What network connectivity is required for the GCC High Enclave?</t>
        </is>
      </c>
      <c r="E7" s="39" t="inlineStr">
        <is>
          <t>Options: ExpressRoute to Azure Gov, Site-to-Site VPN, Internet-only, Hybrid connectivity to on-premises</t>
        </is>
      </c>
      <c r="F7" s="40" t="n"/>
      <c r="G7" s="39" t="inlineStr">
        <is>
          <t>Network architecture and security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Data Migration</t>
        </is>
      </c>
      <c r="D8" s="41" t="inlineStr">
        <is>
          <t>What data needs to be migrated to the GCC High environment?</t>
        </is>
      </c>
      <c r="E8" s="41" t="inlineStr">
        <is>
          <t>List data sources: Email, SharePoint, file servers, databases, applications</t>
        </is>
      </c>
      <c r="F8" s="40" t="n"/>
      <c r="G8" s="41" t="inlineStr">
        <is>
          <t>Migration scope and approach planning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Email Migration</t>
        </is>
      </c>
      <c r="D9" s="39" t="inlineStr">
        <is>
          <t>What email system are you currently using?</t>
        </is>
      </c>
      <c r="E9" s="39" t="inlineStr">
        <is>
          <t>Options: Exchange on-premises, Exchange Online Commercial, Gmail, Other email system</t>
        </is>
      </c>
      <c r="F9" s="40" t="n"/>
      <c r="G9" s="39" t="inlineStr">
        <is>
          <t>Email migration strategy and timeline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File Storage</t>
        </is>
      </c>
      <c r="D10" s="41" t="inlineStr">
        <is>
          <t>What file storage and collaboration systems are currently used?</t>
        </is>
      </c>
      <c r="E10" s="41" t="inlineStr">
        <is>
          <t>Options: On-premises file servers, SharePoint on-prem, SharePoint Online Commercial, Box, Dropbox, Other</t>
        </is>
      </c>
      <c r="F10" s="40" t="n"/>
      <c r="G10" s="41" t="inlineStr">
        <is>
          <t>File migration and SharePoint Online GCC High deployment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Application Integration</t>
        </is>
      </c>
      <c r="D11" s="39" t="inlineStr">
        <is>
          <t>What business applications need to integrate with GCC High?</t>
        </is>
      </c>
      <c r="E11" s="39" t="inlineStr">
        <is>
          <t>List applications requiring SSO, data synchronization, or API integration</t>
        </is>
      </c>
      <c r="F11" s="40" t="n"/>
      <c r="G11" s="39" t="inlineStr">
        <is>
          <t>Application compatibility and integration requirements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Identity Integration</t>
        </is>
      </c>
      <c r="D12" s="41" t="inlineStr">
        <is>
          <t>How will user identities be managed in GCC High?</t>
        </is>
      </c>
      <c r="E12" s="41" t="inlineStr">
        <is>
          <t>Options: Cloud-only Azure AD, Azure AD Connect sync from on-prem AD, Federated with ADFS, Hybrid identity</t>
        </is>
      </c>
      <c r="F12" s="40" t="n"/>
      <c r="G12" s="41" t="inlineStr">
        <is>
          <t>Identity architecture and directory synchronization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Workload Migration</t>
        </is>
      </c>
      <c r="D13" s="39" t="inlineStr">
        <is>
          <t>What workloads will run in Azure Government?</t>
        </is>
      </c>
      <c r="E13" s="39" t="inlineStr">
        <is>
          <t>Common workloads: Virtual machines, Web applications, Databases, Storage accounts, Backup/DR</t>
        </is>
      </c>
      <c r="F13" s="40" t="n"/>
      <c r="G13" s="39" t="inlineStr">
        <is>
          <t>Azure Government infrastructure sizing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Monitoring Requirements</t>
        </is>
      </c>
      <c r="D14" s="41" t="inlineStr">
        <is>
          <t>What security monitoring and logging capabilities do you need?</t>
        </is>
      </c>
      <c r="E14" s="41" t="inlineStr">
        <is>
          <t>Requirements: SIEM (Sentinel), CloudWatch, Threat detection, Compliance dashboards, Audit reporting</t>
        </is>
      </c>
      <c r="F14" s="40" t="n"/>
      <c r="G14" s="41" t="inlineStr">
        <is>
          <t>Security operations and compliance monitoring design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Backup and Recovery</t>
        </is>
      </c>
      <c r="D15" s="39" t="inlineStr">
        <is>
          <t>What backup and disaster recovery requirements apply?</t>
        </is>
      </c>
      <c r="E15" s="39" t="inlineStr">
        <is>
          <t>Specify: RPO (Recovery Point Objective), RTO (Recovery Time Objective), Geo-redundancy requirements</t>
        </is>
      </c>
      <c r="F15" s="40" t="n"/>
      <c r="G15" s="39" t="inlineStr">
        <is>
          <t>Business continuity and disaster recovery planning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CMMC Level</t>
        </is>
      </c>
      <c r="D2" s="41" t="inlineStr">
        <is>
          <t>What CMMC Level certification are you pursuing?</t>
        </is>
      </c>
      <c r="E2" s="41" t="inlineStr">
        <is>
          <t>Options: Level 1 (Basic Cyber Hygiene), Level 2 (Advanced Cyber Hygiene), Level 3 (Expert Cyber Hygiene)</t>
        </is>
      </c>
      <c r="F2" s="40" t="n"/>
      <c r="G2" s="41" t="inlineStr">
        <is>
          <t>Determines security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Assessment Timeline</t>
        </is>
      </c>
      <c r="D3" s="39" t="inlineStr">
        <is>
          <t>When do you need to complete your CMMC assessment?</t>
        </is>
      </c>
      <c r="E3" s="39" t="inlineStr">
        <is>
          <t>Provide target assessment date and C3PAO engagement status</t>
        </is>
      </c>
      <c r="F3" s="40" t="n"/>
      <c r="G3" s="39" t="inlineStr">
        <is>
          <t>Assessment readiness and preparation timeline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C3PAO Selection</t>
        </is>
      </c>
      <c r="D4" s="41" t="inlineStr">
        <is>
          <t>Have you selected a CMMC Third-Party Assessment Organization (C3PAO)?</t>
        </is>
      </c>
      <c r="E4" s="41" t="inlineStr">
        <is>
          <t>Options: Already selected, Evaluating options, Need recommendations, Not yet started</t>
        </is>
      </c>
      <c r="F4" s="40" t="n"/>
      <c r="G4" s="41" t="inlineStr">
        <is>
          <t>Assessment planning and preparation support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NIST 800-171 Gaps</t>
        </is>
      </c>
      <c r="D5" s="39" t="inlineStr">
        <is>
          <t>What gaps exist in your current NIST 800-171 compliance?</t>
        </is>
      </c>
      <c r="E5" s="39" t="inlineStr">
        <is>
          <t>Describe findings from self-assessment or gaps identified in SPRS score</t>
        </is>
      </c>
      <c r="F5" s="40" t="n"/>
      <c r="G5" s="39" t="inlineStr">
        <is>
          <t>Gap remediation scope and timeline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SPRS Score</t>
        </is>
      </c>
      <c r="D6" s="41" t="inlineStr">
        <is>
          <t>What is your current Supplier Performance Risk System (SPRS) score?</t>
        </is>
      </c>
      <c r="E6" s="41" t="inlineStr">
        <is>
          <t>Provide current score (0-110) and target score</t>
        </is>
      </c>
      <c r="F6" s="40" t="n"/>
      <c r="G6" s="41" t="inlineStr">
        <is>
          <t>Compliance baseline and improvement targets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Encryption Requirements</t>
        </is>
      </c>
      <c r="D7" s="39" t="inlineStr">
        <is>
          <t>What encryption standards must be implemented?</t>
        </is>
      </c>
      <c r="E7" s="39" t="inlineStr">
        <is>
          <t>Requirements: FIPS 140-2 validated encryption, AES-256 at rest, TLS 1.2+ in transit</t>
        </is>
      </c>
      <c r="F7" s="40" t="n"/>
      <c r="G7" s="39" t="inlineStr">
        <is>
          <t>Encryption architecture and key management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Logging</t>
        </is>
      </c>
      <c r="D8" s="41" t="inlineStr">
        <is>
          <t>What audit and logging retention is required?</t>
        </is>
      </c>
      <c r="E8" s="41" t="inlineStr">
        <is>
          <t>CMMC typically requires 1-year online + 6-year archive for audit logs</t>
        </is>
      </c>
      <c r="F8" s="40" t="n"/>
      <c r="G8" s="41" t="inlineStr">
        <is>
          <t>Log retention and compliance reporting design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Incident Response</t>
        </is>
      </c>
      <c r="D9" s="39" t="inlineStr">
        <is>
          <t>What incident response capabilities are required?</t>
        </is>
      </c>
      <c r="E9" s="39" t="inlineStr">
        <is>
          <t>Requirements: 24/7 SOC monitoring, Automated playbooks, Incident investigation, Threat hunting, Forensics</t>
        </is>
      </c>
      <c r="F9" s="40" t="n"/>
      <c r="G9" s="39" t="inlineStr">
        <is>
          <t>Security operations center design and staffing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Vulnerability Management</t>
        </is>
      </c>
      <c r="D10" s="41" t="inlineStr">
        <is>
          <t>What vulnerability scanning and remediation requirements apply?</t>
        </is>
      </c>
      <c r="E10" s="41" t="inlineStr">
        <is>
          <t>Requirements: Weekly scanning, 30-day critical patch timeline, Continuous monitoring</t>
        </is>
      </c>
      <c r="F10" s="40" t="n"/>
      <c r="G10" s="41" t="inlineStr">
        <is>
          <t>Vulnerability management and patch automation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Access Control</t>
        </is>
      </c>
      <c r="D11" s="39" t="inlineStr">
        <is>
          <t>What access control policies must be enforced?</t>
        </is>
      </c>
      <c r="E11" s="39" t="inlineStr">
        <is>
          <t>Common policies: Least privilege, Separation of duties, Need-to-know, Time-based access, Location restrictions</t>
        </is>
      </c>
      <c r="F11" s="40" t="n"/>
      <c r="G11" s="39" t="inlineStr">
        <is>
          <t>Role-based access control (RBAC) design</t>
        </is>
      </c>
    </row>
    <row r="12">
      <c r="A12" s="41" t="inlineStr">
        <is>
          <t>SEC-011</t>
        </is>
      </c>
      <c r="B12" s="41" t="inlineStr">
        <is>
          <t>Security &amp; Compliance</t>
        </is>
      </c>
      <c r="C12" s="41" t="inlineStr">
        <is>
          <t>Physical Security</t>
        </is>
      </c>
      <c r="D12" s="41" t="inlineStr">
        <is>
          <t>What physical security controls are required for endpoints?</t>
        </is>
      </c>
      <c r="E12" s="41" t="inlineStr">
        <is>
          <t>Controls: Encrypted laptops, Secure boot, TPM, Endpoint DLP, Mobile device management</t>
        </is>
      </c>
      <c r="F12" s="40" t="n"/>
      <c r="G12" s="41" t="inlineStr">
        <is>
          <t>Endpoint security and device management</t>
        </is>
      </c>
    </row>
    <row r="13">
      <c r="A13" s="39" t="inlineStr">
        <is>
          <t>SEC-012</t>
        </is>
      </c>
      <c r="B13" s="39" t="inlineStr">
        <is>
          <t>Security &amp; Compliance</t>
        </is>
      </c>
      <c r="C13" s="39" t="inlineStr">
        <is>
          <t>Supply Chain Risk</t>
        </is>
      </c>
      <c r="D13" s="39" t="inlineStr">
        <is>
          <t>What supply chain risk management (SCRM) requirements apply?</t>
        </is>
      </c>
      <c r="E13" s="39" t="inlineStr">
        <is>
          <t>Requirements: Vendor assessment, Software composition analysis, Third-party security validation</t>
        </is>
      </c>
      <c r="F13" s="40" t="n"/>
      <c r="G13" s="39" t="inlineStr">
        <is>
          <t>Supply chain security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CUI systems?</t>
        </is>
      </c>
      <c r="E2" s="41" t="inlineStr">
        <is>
          <t>Common targets: 99.5%, 99.9%, 99.95% (Microsoft GCC High SLA is 99.9%)</t>
        </is>
      </c>
      <c r="F2" s="40" t="n"/>
      <c r="G2" s="41" t="inlineStr">
        <is>
          <t>SLA requirements drive architecture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Support Coverage</t>
        </is>
      </c>
      <c r="D3" s="39" t="inlineStr">
        <is>
          <t>What support coverage do you require for CUI environment?</t>
        </is>
      </c>
      <c r="E3" s="39" t="inlineStr">
        <is>
          <t>Options: Business hours (8x5), Extended (24x5), Full (24x7)</t>
        </is>
      </c>
      <c r="F3" s="40" t="n"/>
      <c r="G3" s="39" t="inlineStr">
        <is>
          <t>Support staffing and cost planning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SOC Services</t>
        </is>
      </c>
      <c r="D4" s="41" t="inlineStr">
        <is>
          <t>Do you need managed SOC services for Sentinel SIEM?</t>
        </is>
      </c>
      <c r="E4" s="41" t="inlineStr">
        <is>
          <t>Options: In-house SOC, Managed SOC (24x7), Co-managed SOC, Microsoft detection/response only</t>
        </is>
      </c>
      <c r="F4" s="40" t="n"/>
      <c r="G4" s="41" t="inlineStr">
        <is>
          <t>Security operations staffing and service model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Change Management</t>
        </is>
      </c>
      <c r="D5" s="39" t="inlineStr">
        <is>
          <t>What change management processes must be followed?</t>
        </is>
      </c>
      <c r="E5" s="39" t="inlineStr">
        <is>
          <t>Describe approval workflows, change windows, rollback procedures</t>
        </is>
      </c>
      <c r="F5" s="40" t="n"/>
      <c r="G5" s="39" t="inlineStr">
        <is>
          <t>Change control and configuration management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Compliance Reporting</t>
        </is>
      </c>
      <c r="D6" s="41" t="inlineStr">
        <is>
          <t>What compliance reporting is required?</t>
        </is>
      </c>
      <c r="E6" s="41" t="inlineStr">
        <is>
          <t>Reports: Monthly compliance dashboards, NIST 800-171 control status, CMMC assessment prep, SPRS score updates</t>
        </is>
      </c>
      <c r="F6" s="40" t="n"/>
      <c r="G6" s="41" t="inlineStr">
        <is>
          <t>Compliance monitoring and reporting automation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User Support</t>
        </is>
      </c>
      <c r="D7" s="39" t="inlineStr">
        <is>
          <t>How will end-user support be provided for GCC High users?</t>
        </is>
      </c>
      <c r="E7" s="39" t="inlineStr">
        <is>
          <t>Options: Internal helpdesk, Managed service provider, Microsoft FastTrack, Hybrid model</t>
        </is>
      </c>
      <c r="F7" s="40" t="n"/>
      <c r="G7" s="39" t="inlineStr">
        <is>
          <t>End-user support model and training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Training Requirements</t>
        </is>
      </c>
      <c r="D8" s="41" t="inlineStr">
        <is>
          <t>What CMMC and security awareness training is required?</t>
        </is>
      </c>
      <c r="E8" s="41" t="inlineStr">
        <is>
          <t>Training types: Annual security awareness, Role-based training, Privileged user training, Incident response drills</t>
        </is>
      </c>
      <c r="F8" s="40" t="n"/>
      <c r="G8" s="41" t="inlineStr">
        <is>
          <t>Security training program and compliance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CMMC GCC High project?</t>
        </is>
      </c>
      <c r="E2" s="41" t="inlineStr">
        <is>
          <t>Name, role, contact information, security clearance level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CMMC implementation?</t>
        </is>
      </c>
      <c r="E3" s="39" t="inlineStr">
        <is>
          <t>List team members, roles, time commitment, and CMMC/security expertise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Microsoft Experience</t>
        </is>
      </c>
      <c r="D4" s="41" t="inlineStr">
        <is>
          <t>What is your team's experience with Microsoft 365 and Azure Government?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Migration Approach</t>
        </is>
      </c>
      <c r="D5" s="39" t="inlineStr">
        <is>
          <t>What is your preferred migration approach for GCC High?</t>
        </is>
      </c>
      <c r="E5" s="39" t="inlineStr">
        <is>
          <t>Options: Phased by department, Pilot then scale, Big bang cutover, Parallel run with commercial</t>
        </is>
      </c>
      <c r="F5" s="40" t="n"/>
      <c r="G5" s="39" t="inlineStr">
        <is>
          <t>Implementation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Parallel Run</t>
        </is>
      </c>
      <c r="D6" s="41" t="inlineStr">
        <is>
          <t>Do you require a parallel run period with existing systems?</t>
        </is>
      </c>
      <c r="E6" s="41" t="inlineStr">
        <is>
          <t>Specify duration if needed (typically 1-3 months for email/collaboration)</t>
        </is>
      </c>
      <c r="F6" s="40" t="n"/>
      <c r="G6" s="41" t="inlineStr">
        <is>
          <t>Implementation timeline and validation approach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Change Management</t>
        </is>
      </c>
      <c r="D7" s="39" t="inlineStr">
        <is>
          <t>How will you handle the transition to GCC High environment?</t>
        </is>
      </c>
      <c r="E7" s="39" t="inlineStr">
        <is>
          <t>Consider communication, training, user adoption, business process changes</t>
        </is>
      </c>
      <c r="F7" s="40" t="n"/>
      <c r="G7" s="39" t="inlineStr">
        <is>
          <t>Change management and user adoption strategy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users and administrators?</t>
        </is>
      </c>
      <c r="E8" s="41" t="inlineStr">
        <is>
          <t>Types: End-user M365 training, Azure admin training, Security operations training, CMMC awareness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Testing Requirements</t>
        </is>
      </c>
      <c r="D9" s="39" t="inlineStr">
        <is>
          <t>What testing approach do you prefer for GCC High deployment?</t>
        </is>
      </c>
      <c r="E9" s="39" t="inlineStr">
        <is>
          <t>Options: Pilot user group, Department-by-department, Phased rollout, Full cutover</t>
        </is>
      </c>
      <c r="F9" s="40" t="n"/>
      <c r="G9" s="39" t="inlineStr">
        <is>
          <t>Testing and validation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Approval Process</t>
        </is>
      </c>
      <c r="D10" s="41" t="inlineStr">
        <is>
          <t>What approval processes are required for CMMC compliance changes?</t>
        </is>
      </c>
      <c r="E10" s="41" t="inlineStr">
        <is>
          <t>Describe change control, ISSO/ISSM approvals, ATO process, governance</t>
        </is>
      </c>
      <c r="F10" s="40" t="n"/>
      <c r="G10" s="41" t="inlineStr">
        <is>
          <t>Change approval and governance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Partner Requirements</t>
        </is>
      </c>
      <c r="D11" s="39" t="inlineStr">
        <is>
          <t>What Microsoft GCC High implementation experience do you expect from partners?</t>
        </is>
      </c>
      <c r="E11" s="39" t="inlineStr">
        <is>
          <t>Specify: Microsoft partner status, CMMC expertise, DoD clearances, past GCC High projects</t>
        </is>
      </c>
      <c r="F11" s="40" t="n"/>
      <c r="G11" s="39" t="inlineStr">
        <is>
          <t>Partner selection criteria and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GCC High Enclave?</t>
        </is>
      </c>
      <c r="E2" s="41" t="inlineStr">
        <is>
          <t>Consider: Migration complexity, User adoption, Cost, Timeline, Certification readiness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CMMC project to fail?</t>
        </is>
      </c>
      <c r="E3" s="39" t="inlineStr">
        <is>
          <t>Consider: Budget overruns, Assessment delays, Lack of executive support, Insufficient security controls, Data migration issues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Contract Risks</t>
        </is>
      </c>
      <c r="D4" s="41" t="inlineStr">
        <is>
          <t>What contract opportunities are at risk without CMMC certification?</t>
        </is>
      </c>
      <c r="E4" s="41" t="inlineStr">
        <is>
          <t>List specific DoD contracts, values, and award timelines dependent on CMMC</t>
        </is>
      </c>
      <c r="F4" s="40" t="n"/>
      <c r="G4" s="41" t="inlineStr">
        <is>
          <t>Business impact and urgency assessment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GCC High migration?</t>
        </is>
      </c>
      <c r="E5" s="39" t="inlineStr">
        <is>
          <t>Consider: Application compatibility, Identity federation, Network connectivity, Data migration, Performance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Examples: DoD contract awards, C3PAO availability, Budget approvals, Azure Gov subscription, Vendor coordination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solution work within?</t>
        </is>
      </c>
      <c r="E7" s="39" t="inlineStr">
        <is>
          <t>Consider: Budget limits, Timeline, Existing infrastructure, Regulatory, Security clearances, Contract deadlines</t>
        </is>
      </c>
      <c r="F7" s="40" t="n"/>
      <c r="G7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2025-11-22T20:11:08Z</dcterms:modified>
  <cp:lastModifiedBy>Kishan Siram</cp:lastModifiedBy>
</cp:coreProperties>
</file>