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Assumptions'!$A$2:$G$17</definedName>
    <definedName name="_xlnm._FilterDatabase" localSheetId="2" hidden="1">'Estimate Settings'!$A$2:$D$11</definedName>
    <definedName name="_xlnm._FilterDatabase" localSheetId="3" hidden="1">'LOE'!$A$2:$K$42</definedName>
    <definedName name="_xlnm._FilterDatabase" localSheetId="4" hidden="1">'Credits'!$A$2:$C$5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left" vertical="center" wrapText="1"/>
    </xf>
    <xf numFmtId="166" fontId="5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NVIDIA - Modern-Workspace - Omniverse Enterprise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</row>
    <row r="3" ht="26" customHeight="1">
      <c r="A3" s="37" t="inlineStr">
        <is>
          <t>Solution Scope</t>
        </is>
      </c>
      <c r="B3" s="38" t="inlineStr">
        <is>
          <t>GPU Workstations</t>
        </is>
      </c>
      <c r="C3" s="39" t="inlineStr">
        <is>
          <t>50x RTX A6000 workstations</t>
        </is>
      </c>
      <c r="D3" s="38" t="inlineStr">
        <is>
          <t>25 workstations</t>
        </is>
      </c>
      <c r="E3" s="38" t="inlineStr">
        <is>
          <t>50 workstations</t>
        </is>
      </c>
      <c r="F3" s="38" t="inlineStr">
        <is>
          <t>100 workstations</t>
        </is>
      </c>
      <c r="G3" s="38" t="inlineStr">
        <is>
          <t>Dell Precision 7960 with RTX A6000 48GB</t>
        </is>
      </c>
    </row>
    <row r="4" ht="26" customHeight="1">
      <c r="A4" s="40" t="inlineStr">
        <is>
          <t>Solution Scope</t>
        </is>
      </c>
      <c r="B4" s="41" t="inlineStr">
        <is>
          <t>Nucleus Servers</t>
        </is>
      </c>
      <c r="C4" s="39" t="inlineStr">
        <is>
          <t>2x Nucleus servers (HA)</t>
        </is>
      </c>
      <c r="D4" s="41" t="inlineStr">
        <is>
          <t>1 server</t>
        </is>
      </c>
      <c r="E4" s="41" t="inlineStr">
        <is>
          <t>2 servers (HA)</t>
        </is>
      </c>
      <c r="F4" s="41" t="inlineStr">
        <is>
          <t>4 servers (distributed)</t>
        </is>
      </c>
      <c r="G4" s="41" t="inlineStr">
        <is>
          <t>Primary plus replica for high availability</t>
        </is>
      </c>
    </row>
    <row r="5" ht="26" customHeight="1">
      <c r="A5" s="37" t="inlineStr">
        <is>
          <t>Integration</t>
        </is>
      </c>
      <c r="B5" s="38" t="inlineStr">
        <is>
          <t>Design Team Size</t>
        </is>
      </c>
      <c r="C5" s="39" t="inlineStr">
        <is>
          <t>50 designers and engineers</t>
        </is>
      </c>
      <c r="D5" s="38" t="inlineStr">
        <is>
          <t>20-30 users</t>
        </is>
      </c>
      <c r="E5" s="38" t="inlineStr">
        <is>
          <t>50-75 users</t>
        </is>
      </c>
      <c r="F5" s="38" t="inlineStr">
        <is>
          <t>100+ users</t>
        </is>
      </c>
      <c r="G5" s="38" t="inlineStr">
        <is>
          <t>Concurrent Omniverse collaboration users</t>
        </is>
      </c>
    </row>
    <row r="6" ht="26" customHeight="1">
      <c r="A6" s="40" t="inlineStr">
        <is>
          <t>Integration</t>
        </is>
      </c>
      <c r="B6" s="41" t="inlineStr">
        <is>
          <t>Storage Infrastructure</t>
        </is>
      </c>
      <c r="C6" s="39" t="inlineStr">
        <is>
          <t>100 TB USD scene storage</t>
        </is>
      </c>
      <c r="D6" s="41" t="inlineStr">
        <is>
          <t>50 TB</t>
        </is>
      </c>
      <c r="E6" s="41" t="inlineStr">
        <is>
          <t>100 TB</t>
        </is>
      </c>
      <c r="F6" s="41" t="inlineStr">
        <is>
          <t>250 TB</t>
        </is>
      </c>
      <c r="G6" s="41" t="inlineStr">
        <is>
          <t>NetApp storage for Universal Scene Description files</t>
        </is>
      </c>
    </row>
    <row r="7" ht="26" customHeight="1">
      <c r="A7" s="37" t="inlineStr">
        <is>
          <t>Data Volume</t>
        </is>
      </c>
      <c r="B7" s="38" t="inlineStr">
        <is>
          <t>3D Scene Data</t>
        </is>
      </c>
      <c r="C7" s="39" t="inlineStr">
        <is>
          <t>Multi-TB project files</t>
        </is>
      </c>
      <c r="D7" s="38" t="inlineStr">
        <is>
          <t>25-50 TB</t>
        </is>
      </c>
      <c r="E7" s="38" t="inlineStr">
        <is>
          <t>100-200 TB</t>
        </is>
      </c>
      <c r="F7" s="38" t="inlineStr">
        <is>
          <t>500+ TB</t>
        </is>
      </c>
      <c r="G7" s="38" t="inlineStr">
        <is>
          <t>CAD models textures and rendered assets</t>
        </is>
      </c>
    </row>
    <row r="8" ht="26" customHeight="1">
      <c r="A8" s="40" t="inlineStr">
        <is>
          <t>Data Volume</t>
        </is>
      </c>
      <c r="B8" s="41" t="inlineStr">
        <is>
          <t>Rendering Workloads</t>
        </is>
      </c>
      <c r="C8" s="39" t="inlineStr">
        <is>
          <t>Interactive + batch rendering</t>
        </is>
      </c>
      <c r="D8" s="41" t="inlineStr">
        <is>
          <t>Interactive only</t>
        </is>
      </c>
      <c r="E8" s="41" t="inlineStr">
        <is>
          <t>Interactive + batch</t>
        </is>
      </c>
      <c r="F8" s="41" t="inlineStr">
        <is>
          <t>Film-quality batch farm</t>
        </is>
      </c>
      <c r="G8" s="41" t="inlineStr">
        <is>
          <t>RTX ray tracing requirements</t>
        </is>
      </c>
    </row>
    <row r="9" ht="26" customHeight="1">
      <c r="A9" s="37" t="inlineStr">
        <is>
          <t>Technical Environment</t>
        </is>
      </c>
      <c r="B9" s="38" t="inlineStr">
        <is>
          <t>Network Infrastructure</t>
        </is>
      </c>
      <c r="C9" s="39" t="inlineStr">
        <is>
          <t>100 GbE network</t>
        </is>
      </c>
      <c r="D9" s="38" t="inlineStr">
        <is>
          <t>10 GbE</t>
        </is>
      </c>
      <c r="E9" s="38" t="inlineStr">
        <is>
          <t>100 GbE</t>
        </is>
      </c>
      <c r="F9" s="38" t="inlineStr">
        <is>
          <t>100 GbE + InfiniBand</t>
        </is>
      </c>
      <c r="G9" s="38" t="inlineStr">
        <is>
          <t>Scene sync and file transfer performance</t>
        </is>
      </c>
    </row>
    <row r="10" ht="26" customHeight="1">
      <c r="A10" s="40" t="inlineStr">
        <is>
          <t>Technical Environment</t>
        </is>
      </c>
      <c r="B10" s="41" t="inlineStr">
        <is>
          <t>Datacenter Readiness</t>
        </is>
      </c>
      <c r="C10" s="39" t="inlineStr">
        <is>
          <t>Standard IT infrastructure</t>
        </is>
      </c>
      <c r="D10" s="41" t="inlineStr">
        <is>
          <t>Existing network</t>
        </is>
      </c>
      <c r="E10" s="41" t="inlineStr">
        <is>
          <t>Minor upgrades</t>
        </is>
      </c>
      <c r="F10" s="41" t="inlineStr">
        <is>
          <t>Purpose-built studio</t>
        </is>
      </c>
      <c r="G10" s="41" t="inlineStr">
        <is>
          <t>Nucleus server hosting and network capacity</t>
        </is>
      </c>
    </row>
    <row r="11" ht="26" customHeight="1">
      <c r="A11" s="37" t="inlineStr">
        <is>
          <t>Technical Environment</t>
        </is>
      </c>
      <c r="B11" s="38" t="inlineStr">
        <is>
          <t>Deployment Model</t>
        </is>
      </c>
      <c r="C11" s="39" t="inlineStr">
        <is>
          <t>On-premises deployment</t>
        </is>
      </c>
      <c r="D11" s="38" t="inlineStr">
        <is>
          <t>Cloud-hosted</t>
        </is>
      </c>
      <c r="E11" s="38" t="inlineStr">
        <is>
          <t>Hybrid on-prem</t>
        </is>
      </c>
      <c r="F11" s="38" t="inlineStr">
        <is>
          <t>Edge + cloud sync</t>
        </is>
      </c>
      <c r="G11" s="38" t="inlineStr">
        <is>
          <t>Nucleus server location</t>
        </is>
      </c>
    </row>
    <row r="12" ht="26" customHeight="1">
      <c r="A12" s="40" t="inlineStr">
        <is>
          <t>Security &amp; Compliance</t>
        </is>
      </c>
      <c r="B12" s="41" t="inlineStr">
        <is>
          <t>Data Classification</t>
        </is>
      </c>
      <c r="C12" s="39" t="inlineStr">
        <is>
          <t>Proprietary 3D designs</t>
        </is>
      </c>
      <c r="D12" s="41" t="inlineStr">
        <is>
          <t>Internal use</t>
        </is>
      </c>
      <c r="E12" s="41" t="inlineStr">
        <is>
          <t>Confidential IP</t>
        </is>
      </c>
      <c r="F12" s="41" t="inlineStr">
        <is>
          <t>Export-controlled designs</t>
        </is>
      </c>
      <c r="G12" s="41" t="inlineStr">
        <is>
          <t>Design file protection requirements</t>
        </is>
      </c>
    </row>
    <row r="13" ht="26" customHeight="1">
      <c r="A13" s="37" t="inlineStr">
        <is>
          <t>Security &amp; Compliance</t>
        </is>
      </c>
      <c r="B13" s="38" t="inlineStr">
        <is>
          <t>Compliance Requirements</t>
        </is>
      </c>
      <c r="C13" s="39" t="inlineStr">
        <is>
          <t>Standard security</t>
        </is>
      </c>
      <c r="D13" s="38" t="inlineStr">
        <is>
          <t>Basic controls</t>
        </is>
      </c>
      <c r="E13" s="38" t="inlineStr">
        <is>
          <t>SOC2 + IP protection</t>
        </is>
      </c>
      <c r="F13" s="38" t="inlineStr">
        <is>
          <t>ITAR + trade secret</t>
        </is>
      </c>
      <c r="G13" s="38" t="inlineStr">
        <is>
          <t>Regulatory frameworks for design data</t>
        </is>
      </c>
    </row>
    <row r="14" ht="26" customHeight="1">
      <c r="A14" s="40" t="inlineStr">
        <is>
          <t>Performance</t>
        </is>
      </c>
      <c r="B14" s="41" t="inlineStr">
        <is>
          <t>Real-Time Collaboration</t>
        </is>
      </c>
      <c r="C14" s="39" t="inlineStr">
        <is>
          <t>50 concurrent users</t>
        </is>
      </c>
      <c r="D14" s="41" t="inlineStr">
        <is>
          <t>10 users</t>
        </is>
      </c>
      <c r="E14" s="41" t="inlineStr">
        <is>
          <t>50 users</t>
        </is>
      </c>
      <c r="F14" s="41" t="inlineStr">
        <is>
          <t>100+ users</t>
        </is>
      </c>
      <c r="G14" s="41" t="inlineStr">
        <is>
          <t>Simultaneous USD scene editing</t>
        </is>
      </c>
    </row>
    <row r="15" ht="26" customHeight="1">
      <c r="A15" s="37" t="inlineStr">
        <is>
          <t>Performance</t>
        </is>
      </c>
      <c r="B15" s="38" t="inlineStr">
        <is>
          <t>Rendering Performance</t>
        </is>
      </c>
      <c r="C15" s="39" t="inlineStr">
        <is>
          <t>RTX ray tracing</t>
        </is>
      </c>
      <c r="D15" s="38" t="inlineStr">
        <is>
          <t>Standard rasterization</t>
        </is>
      </c>
      <c r="E15" s="38" t="inlineStr">
        <is>
          <t>RTX real-time</t>
        </is>
      </c>
      <c r="F15" s="38" t="inlineStr">
        <is>
          <t>Path tracing + denoising</t>
        </is>
      </c>
      <c r="G15" s="38" t="inlineStr">
        <is>
          <t>Interactive rendering quality requirements</t>
        </is>
      </c>
    </row>
    <row r="16" ht="26" customHeight="1">
      <c r="A16" s="40" t="inlineStr">
        <is>
          <t>Environment</t>
        </is>
      </c>
      <c r="B16" s="41" t="inlineStr">
        <is>
          <t>CAD Tool Connectors</t>
        </is>
      </c>
      <c r="C16" s="39" t="inlineStr">
        <is>
          <t>5 primary connectors</t>
        </is>
      </c>
      <c r="D16" s="41" t="inlineStr">
        <is>
          <t>2-3 tools</t>
        </is>
      </c>
      <c r="E16" s="41" t="inlineStr">
        <is>
          <t>5-7 tools</t>
        </is>
      </c>
      <c r="F16" s="41" t="inlineStr">
        <is>
          <t>10+ custom connectors</t>
        </is>
      </c>
      <c r="G16" s="41" t="inlineStr">
        <is>
          <t>Revit SolidWorks Rhino Blender Maya Unreal integration</t>
        </is>
      </c>
    </row>
    <row r="17" ht="26" customHeight="1">
      <c r="A17" s="37" t="inlineStr">
        <is>
          <t>Environment</t>
        </is>
      </c>
      <c r="B17" s="38" t="inlineStr">
        <is>
          <t>Rendering Farm</t>
        </is>
      </c>
      <c r="C17" s="39" t="inlineStr">
        <is>
          <t>10 GPU render nodes</t>
        </is>
      </c>
      <c r="D17" s="38" t="inlineStr">
        <is>
          <t>No farm</t>
        </is>
      </c>
      <c r="E17" s="38" t="inlineStr">
        <is>
          <t>10 nodes</t>
        </is>
      </c>
      <c r="F17" s="38" t="inlineStr">
        <is>
          <t>50+ nodes</t>
        </is>
      </c>
      <c r="G17" s="38" t="inlineStr">
        <is>
          <t>Batch rendering for final output</t>
        </is>
      </c>
    </row>
  </sheetData>
  <autoFilter ref="A2:G17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(Design Requirements, Workflow Analysis, Tool Assessment, Team Planning)</t>
        </is>
      </c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(Omniverse Architecture, Nucleus Design, Network Design, Connector Strategy)</t>
        </is>
      </c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(Nucleus Deployment, Workstation Setup, Connector Integration, USD Pipeline, Rendering)</t>
        </is>
      </c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(System Validation, Collaboration Testing, Rendering Testing, Performance Tuning)</t>
        </is>
      </c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(Production Handoff, Designer Onboarding, Production Projects)</t>
        </is>
      </c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(Administrator Training, Designer Training, Documentation)</t>
        </is>
      </c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Performance Baseline)</t>
        </is>
      </c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</v>
      </c>
      <c r="D10" s="41" t="inlineStr">
        <is>
          <t>Project Management overhead - 10% of actual engineering hours</t>
        </is>
      </c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</v>
      </c>
      <c r="D11" s="38" t="inlineStr">
        <is>
          <t>Technical Leadership overhead - 10% of actual engineering hours</t>
        </is>
      </c>
    </row>
    <row r="13" ht="20" customHeight="1">
      <c r="A13" s="44" t="inlineStr">
        <is>
          <t>EO Sales Engineer Updates Multipliers Based on Customer Scope</t>
        </is>
      </c>
    </row>
  </sheetData>
  <autoFilter ref="A2:D11"/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Design Requirements</t>
        </is>
      </c>
      <c r="C3" s="46" t="inlineStr">
        <is>
          <t>Conduct stakeholder interviews for 3D design and collaboration requirements</t>
        </is>
      </c>
      <c r="D3" s="46" t="inlineStr">
        <is>
          <t>EO Engineer</t>
        </is>
      </c>
      <c r="E3" s="47" t="n">
        <v>24</v>
      </c>
      <c r="F3" s="48">
        <f>'Estimate Settings'!$C$3</f>
        <v/>
      </c>
      <c r="G3" s="49">
        <f>$E3*$F3</f>
        <v/>
      </c>
      <c r="H3" s="50" t="n">
        <v>200</v>
      </c>
      <c r="I3" s="49">
        <f>TEXT($G3*$H3,"$#,##0")</f>
        <v/>
      </c>
      <c r="J3" s="46" t="inlineStr"/>
      <c r="K3" s="46" t="inlineStr">
        <is>
          <t>Includes USD workflow requirements and rendering needs analysis</t>
        </is>
      </c>
    </row>
    <row r="4" ht="26" customHeight="1">
      <c r="A4" s="51" t="inlineStr">
        <is>
          <t>Discovery</t>
        </is>
      </c>
      <c r="B4" s="52" t="inlineStr">
        <is>
          <t>Workflow Analysis</t>
        </is>
      </c>
      <c r="C4" s="52" t="inlineStr">
        <is>
          <t>Analyze current CAD workflows file formats and collaboration pain points</t>
        </is>
      </c>
      <c r="D4" s="52" t="inlineStr">
        <is>
          <t>EO Engineer</t>
        </is>
      </c>
      <c r="E4" s="53" t="n">
        <v>32</v>
      </c>
      <c r="F4" s="54">
        <f>'Estimate Settings'!$C$3</f>
        <v/>
      </c>
      <c r="G4" s="55">
        <f>$E4*$F4</f>
        <v/>
      </c>
      <c r="H4" s="56" t="n">
        <v>200</v>
      </c>
      <c r="I4" s="55">
        <f>TEXT($G4*$H4,"$#,##0")</f>
        <v/>
      </c>
      <c r="J4" s="52" t="inlineStr"/>
      <c r="K4" s="52" t="inlineStr">
        <is>
          <t>Customer must provide current design tools and project examples</t>
        </is>
      </c>
    </row>
    <row r="5" ht="26" customHeight="1">
      <c r="A5" s="45" t="inlineStr">
        <is>
          <t>Discovery</t>
        </is>
      </c>
      <c r="B5" s="46" t="inlineStr">
        <is>
          <t>Tool Assessment</t>
        </is>
      </c>
      <c r="C5" s="46" t="inlineStr">
        <is>
          <t>Inventory design tools and assess connector requirements</t>
        </is>
      </c>
      <c r="D5" s="46" t="inlineStr">
        <is>
          <t>EO Engineer</t>
        </is>
      </c>
      <c r="E5" s="47" t="n">
        <v>24</v>
      </c>
      <c r="F5" s="48">
        <f>'Estimate Settings'!$C$3</f>
        <v/>
      </c>
      <c r="G5" s="49">
        <f>$E5*$F5</f>
        <v/>
      </c>
      <c r="H5" s="50" t="n">
        <v>200</v>
      </c>
      <c r="I5" s="49">
        <f>TEXT($G5*$H5,"$#,##0")</f>
        <v/>
      </c>
      <c r="J5" s="46" t="inlineStr"/>
      <c r="K5" s="46" t="inlineStr">
        <is>
          <t>Identifies Revit SolidWorks Rhino Blender Maya Unreal integration needs</t>
        </is>
      </c>
    </row>
    <row r="6" ht="26" customHeight="1">
      <c r="A6" s="51" t="inlineStr">
        <is>
          <t>Discovery</t>
        </is>
      </c>
      <c r="B6" s="52" t="inlineStr">
        <is>
          <t>Team Planning</t>
        </is>
      </c>
      <c r="C6" s="52" t="inlineStr">
        <is>
          <t>Assess design team size roles and concurrent collaboration requirements</t>
        </is>
      </c>
      <c r="D6" s="52" t="inlineStr">
        <is>
          <t>EO Engineer</t>
        </is>
      </c>
      <c r="E6" s="53" t="n">
        <v>16</v>
      </c>
      <c r="F6" s="54">
        <f>'Estimate Settings'!$C$3</f>
        <v/>
      </c>
      <c r="G6" s="55">
        <f>$E6*$F6</f>
        <v/>
      </c>
      <c r="H6" s="56" t="n">
        <v>175</v>
      </c>
      <c r="I6" s="55">
        <f>TEXT($G6*$H6,"$#,##0")</f>
        <v/>
      </c>
      <c r="J6" s="52" t="inlineStr"/>
      <c r="K6" s="52" t="inlineStr">
        <is>
          <t>Identifies multi-user USD scene editing patterns and access needs</t>
        </is>
      </c>
    </row>
    <row r="7" ht="26" customHeight="1">
      <c r="A7" s="45" t="inlineStr">
        <is>
          <t>Planning</t>
        </is>
      </c>
      <c r="B7" s="46" t="inlineStr">
        <is>
          <t>Omniverse Architecture</t>
        </is>
      </c>
      <c r="C7" s="46" t="inlineStr">
        <is>
          <t>Design Omniverse Enterprise architecture with Nucleus and workstations</t>
        </is>
      </c>
      <c r="D7" s="46" t="inlineStr">
        <is>
          <t>EO Engineer</t>
        </is>
      </c>
      <c r="E7" s="47" t="n">
        <v>40</v>
      </c>
      <c r="F7" s="48">
        <f>'Estimate Settings'!$C$4</f>
        <v/>
      </c>
      <c r="G7" s="49">
        <f>$E7*$F7</f>
        <v/>
      </c>
      <c r="H7" s="50" t="n">
        <v>225</v>
      </c>
      <c r="I7" s="49">
        <f>TEXT($G7*$H7,"$#,##0")</f>
        <v/>
      </c>
      <c r="J7" s="46" t="inlineStr">
        <is>
          <t>Design Requirements</t>
        </is>
      </c>
      <c r="K7" s="46" t="inlineStr">
        <is>
          <t>Deliverable: Omniverse architecture diagram with USD collaboration workflow</t>
        </is>
      </c>
    </row>
    <row r="8" ht="26" customHeight="1">
      <c r="A8" s="51" t="inlineStr">
        <is>
          <t>Planning</t>
        </is>
      </c>
      <c r="B8" s="52" t="inlineStr">
        <is>
          <t>Nucleus Server Design</t>
        </is>
      </c>
      <c r="C8" s="52" t="inlineStr">
        <is>
          <t>Design Nucleus server configuration with HA and storage backend</t>
        </is>
      </c>
      <c r="D8" s="52" t="inlineStr">
        <is>
          <t>EO Engineer</t>
        </is>
      </c>
      <c r="E8" s="53" t="n">
        <v>32</v>
      </c>
      <c r="F8" s="54">
        <f>'Estimate Settings'!$C$4</f>
        <v/>
      </c>
      <c r="G8" s="55">
        <f>$E8*$F8</f>
        <v/>
      </c>
      <c r="H8" s="56" t="n">
        <v>225</v>
      </c>
      <c r="I8" s="55">
        <f>TEXT($G8*$H8,"$#,##0")</f>
        <v/>
      </c>
      <c r="J8" s="52" t="inlineStr">
        <is>
          <t>Omniverse Architecture</t>
        </is>
      </c>
      <c r="K8" s="52" t="inlineStr">
        <is>
          <t>Primary replica servers with NetApp storage integration</t>
        </is>
      </c>
    </row>
    <row r="9" ht="26" customHeight="1">
      <c r="A9" s="45" t="inlineStr">
        <is>
          <t>Planning</t>
        </is>
      </c>
      <c r="B9" s="46" t="inlineStr">
        <is>
          <t>Network Design</t>
        </is>
      </c>
      <c r="C9" s="46" t="inlineStr">
        <is>
          <t>Design 100 GbE network for USD scene sync and large file transfers</t>
        </is>
      </c>
      <c r="D9" s="46" t="inlineStr">
        <is>
          <t>EO Engineer</t>
        </is>
      </c>
      <c r="E9" s="47" t="n">
        <v>24</v>
      </c>
      <c r="F9" s="48">
        <f>'Estimate Settings'!$C$4</f>
        <v/>
      </c>
      <c r="G9" s="49">
        <f>$E9*$F9</f>
        <v/>
      </c>
      <c r="H9" s="50" t="n">
        <v>200</v>
      </c>
      <c r="I9" s="49">
        <f>TEXT($G9*$H9,"$#,##0")</f>
        <v/>
      </c>
      <c r="J9" s="46" t="inlineStr">
        <is>
          <t>Nucleus Server Design</t>
        </is>
      </c>
      <c r="K9" s="46" t="inlineStr">
        <is>
          <t>High-bandwidth network for real-time collaboration</t>
        </is>
      </c>
    </row>
    <row r="10" ht="26" customHeight="1">
      <c r="A10" s="51" t="inlineStr">
        <is>
          <t>Planning</t>
        </is>
      </c>
      <c r="B10" s="52" t="inlineStr">
        <is>
          <t>Connector Strategy</t>
        </is>
      </c>
      <c r="C10" s="52" t="inlineStr">
        <is>
          <t>Plan CAD tool connector deployment and USD pipeline integration</t>
        </is>
      </c>
      <c r="D10" s="52" t="inlineStr">
        <is>
          <t>EO Engineer</t>
        </is>
      </c>
      <c r="E10" s="53" t="n">
        <v>32</v>
      </c>
      <c r="F10" s="54">
        <f>'Estimate Settings'!$C$4</f>
        <v/>
      </c>
      <c r="G10" s="55">
        <f>$E10*$F10</f>
        <v/>
      </c>
      <c r="H10" s="56" t="n">
        <v>225</v>
      </c>
      <c r="I10" s="55">
        <f>TEXT($G10*$H10,"$#,##0")</f>
        <v/>
      </c>
      <c r="J10" s="52" t="inlineStr">
        <is>
          <t>Tool Assessment</t>
        </is>
      </c>
      <c r="K10" s="52" t="inlineStr">
        <is>
          <t>Connector installation strategy for Revit SolidWorks Rhino Blender Maya</t>
        </is>
      </c>
    </row>
    <row r="11" ht="26" customHeight="1">
      <c r="A11" s="45" t="inlineStr">
        <is>
          <t>Planning</t>
        </is>
      </c>
      <c r="B11" s="46" t="inlineStr">
        <is>
          <t>Rendering Architecture</t>
        </is>
      </c>
      <c r="C11" s="46" t="inlineStr">
        <is>
          <t>Design RTX rendering strategy with Omniverse Farm for batch jobs</t>
        </is>
      </c>
      <c r="D11" s="46" t="inlineStr">
        <is>
          <t>EO Engineer</t>
        </is>
      </c>
      <c r="E11" s="47" t="n">
        <v>24</v>
      </c>
      <c r="F11" s="48">
        <f>'Estimate Settings'!$C$4</f>
        <v/>
      </c>
      <c r="G11" s="49">
        <f>$E11*$F11</f>
        <v/>
      </c>
      <c r="H11" s="50" t="n">
        <v>200</v>
      </c>
      <c r="I11" s="49">
        <f>TEXT($G11*$H11,"$#,##0")</f>
        <v/>
      </c>
      <c r="J11" s="46" t="inlineStr">
        <is>
          <t>Omniverse Architecture</t>
        </is>
      </c>
      <c r="K11" s="46" t="inlineStr">
        <is>
          <t>Interactive RTX ray tracing plus farm rendering for final output</t>
        </is>
      </c>
    </row>
    <row r="12" ht="26" customHeight="1">
      <c r="A12" s="51" t="inlineStr">
        <is>
          <t>Development</t>
        </is>
      </c>
      <c r="B12" s="52" t="inlineStr">
        <is>
          <t>Storage Deployment</t>
        </is>
      </c>
      <c r="C12" s="52" t="inlineStr">
        <is>
          <t>Deploy and configure NetApp storage for USD scene data</t>
        </is>
      </c>
      <c r="D12" s="52" t="inlineStr">
        <is>
          <t>EO Engineer</t>
        </is>
      </c>
      <c r="E12" s="53" t="n">
        <v>40</v>
      </c>
      <c r="F12" s="54">
        <f>'Estimate Settings'!$C$5</f>
        <v/>
      </c>
      <c r="G12" s="55">
        <f>$E12*$F12</f>
        <v/>
      </c>
      <c r="H12" s="56" t="n">
        <v>200</v>
      </c>
      <c r="I12" s="55">
        <f>TEXT($G12*$H12,"$#,##0")</f>
        <v/>
      </c>
      <c r="J12" s="52" t="inlineStr">
        <is>
          <t>Network Design</t>
        </is>
      </c>
      <c r="K12" s="52" t="inlineStr">
        <is>
          <t>100 TB storage cluster NFS configuration and performance tuning</t>
        </is>
      </c>
    </row>
    <row r="13" ht="26" customHeight="1">
      <c r="A13" s="45" t="inlineStr">
        <is>
          <t>Development</t>
        </is>
      </c>
      <c r="B13" s="46" t="inlineStr">
        <is>
          <t>Nucleus Server Deployment</t>
        </is>
      </c>
      <c r="C13" s="46" t="inlineStr">
        <is>
          <t>Install and configure 2x Nucleus servers with HA replication</t>
        </is>
      </c>
      <c r="D13" s="46" t="inlineStr">
        <is>
          <t>EO Engineer</t>
        </is>
      </c>
      <c r="E13" s="47" t="n">
        <v>48</v>
      </c>
      <c r="F13" s="48">
        <f>'Estimate Settings'!$C$5</f>
        <v/>
      </c>
      <c r="G13" s="49">
        <f>$E13*$F13</f>
        <v/>
      </c>
      <c r="H13" s="50" t="n">
        <v>225</v>
      </c>
      <c r="I13" s="49">
        <f>TEXT($G13*$H13,"$#,##0")</f>
        <v/>
      </c>
      <c r="J13" s="46" t="inlineStr">
        <is>
          <t>Storage Deployment</t>
        </is>
      </c>
      <c r="K13" s="46" t="inlineStr">
        <is>
          <t>Primary replica deployment with automatic failover</t>
        </is>
      </c>
    </row>
    <row r="14" ht="26" customHeight="1">
      <c r="A14" s="51" t="inlineStr">
        <is>
          <t>Development</t>
        </is>
      </c>
      <c r="B14" s="52" t="inlineStr">
        <is>
          <t>Network Configuration</t>
        </is>
      </c>
      <c r="C14" s="52" t="inlineStr">
        <is>
          <t>Configure 100 GbE switches and workstation network connectivity</t>
        </is>
      </c>
      <c r="D14" s="52" t="inlineStr">
        <is>
          <t>EO Engineer</t>
        </is>
      </c>
      <c r="E14" s="53" t="n">
        <v>32</v>
      </c>
      <c r="F14" s="54">
        <f>'Estimate Settings'!$C$5</f>
        <v/>
      </c>
      <c r="G14" s="55">
        <f>$E14*$F14</f>
        <v/>
      </c>
      <c r="H14" s="56" t="n">
        <v>200</v>
      </c>
      <c r="I14" s="55">
        <f>TEXT($G14*$H14,"$#,##0")</f>
        <v/>
      </c>
      <c r="J14" s="52" t="inlineStr">
        <is>
          <t>Nucleus Server Deployment</t>
        </is>
      </c>
      <c r="K14" s="52" t="inlineStr">
        <is>
          <t>Switch configuration VLAN setup and bandwidth management</t>
        </is>
      </c>
    </row>
    <row r="15" ht="26" customHeight="1">
      <c r="A15" s="45" t="inlineStr">
        <is>
          <t>Development</t>
        </is>
      </c>
      <c r="B15" s="46" t="inlineStr">
        <is>
          <t>Workstation Deployment</t>
        </is>
      </c>
      <c r="C15" s="46" t="inlineStr">
        <is>
          <t>Deploy and configure 50x Dell Precision workstations with RTX A6000</t>
        </is>
      </c>
      <c r="D15" s="46" t="inlineStr">
        <is>
          <t>EO Engineer</t>
        </is>
      </c>
      <c r="E15" s="47" t="n">
        <v>80</v>
      </c>
      <c r="F15" s="48">
        <f>'Estimate Settings'!$C$5</f>
        <v/>
      </c>
      <c r="G15" s="49">
        <f>$E15*$F15</f>
        <v/>
      </c>
      <c r="H15" s="50" t="n">
        <v>200</v>
      </c>
      <c r="I15" s="49">
        <f>TEXT($G15*$H15,"$#,##0")</f>
        <v/>
      </c>
      <c r="J15" s="46" t="inlineStr">
        <is>
          <t>Network Configuration</t>
        </is>
      </c>
      <c r="K15" s="46" t="inlineStr">
        <is>
          <t>Workstation imaging driver installation and Omniverse client setup</t>
        </is>
      </c>
    </row>
    <row r="16" ht="26" customHeight="1">
      <c r="A16" s="51" t="inlineStr">
        <is>
          <t>Development</t>
        </is>
      </c>
      <c r="B16" s="52" t="inlineStr">
        <is>
          <t>Revit Connector Integration</t>
        </is>
      </c>
      <c r="C16" s="52" t="inlineStr">
        <is>
          <t>Install and configure Autodesk Revit connector for BIM workflows</t>
        </is>
      </c>
      <c r="D16" s="52" t="inlineStr">
        <is>
          <t>EO Engineer</t>
        </is>
      </c>
      <c r="E16" s="53" t="n">
        <v>32</v>
      </c>
      <c r="F16" s="54">
        <f>'Estimate Settings'!$C$5</f>
        <v/>
      </c>
      <c r="G16" s="55">
        <f>$E16*$F16</f>
        <v/>
      </c>
      <c r="H16" s="56" t="n">
        <v>225</v>
      </c>
      <c r="I16" s="55">
        <f>TEXT($G16*$H16,"$#,##0")</f>
        <v/>
      </c>
      <c r="J16" s="52" t="inlineStr">
        <is>
          <t>Workstation Deployment</t>
        </is>
      </c>
      <c r="K16" s="52" t="inlineStr">
        <is>
          <t>Revit plugin installation USD export settings and live sync configuration</t>
        </is>
      </c>
    </row>
    <row r="17" ht="26" customHeight="1">
      <c r="A17" s="45" t="inlineStr">
        <is>
          <t>Development</t>
        </is>
      </c>
      <c r="B17" s="46" t="inlineStr">
        <is>
          <t>SolidWorks Connector Integration</t>
        </is>
      </c>
      <c r="C17" s="46" t="inlineStr">
        <is>
          <t>Install and configure SolidWorks connector for CAD workflows</t>
        </is>
      </c>
      <c r="D17" s="46" t="inlineStr">
        <is>
          <t>EO Engineer</t>
        </is>
      </c>
      <c r="E17" s="47" t="n">
        <v>32</v>
      </c>
      <c r="F17" s="48">
        <f>'Estimate Settings'!$C$5</f>
        <v/>
      </c>
      <c r="G17" s="49">
        <f>$E17*$F17</f>
        <v/>
      </c>
      <c r="H17" s="50" t="n">
        <v>225</v>
      </c>
      <c r="I17" s="49">
        <f>TEXT($G17*$H17,"$#,##0")</f>
        <v/>
      </c>
      <c r="J17" s="46" t="inlineStr">
        <is>
          <t>Workstation Deployment</t>
        </is>
      </c>
      <c r="K17" s="46" t="inlineStr">
        <is>
          <t>SolidWorks plugin installation assembly sync and materials mapping</t>
        </is>
      </c>
    </row>
    <row r="18" ht="26" customHeight="1">
      <c r="A18" s="51" t="inlineStr">
        <is>
          <t>Development</t>
        </is>
      </c>
      <c r="B18" s="52" t="inlineStr">
        <is>
          <t>Rhino Connector Integration</t>
        </is>
      </c>
      <c r="C18" s="52" t="inlineStr">
        <is>
          <t>Install and configure Rhino connector for industrial design workflows</t>
        </is>
      </c>
      <c r="D18" s="52" t="inlineStr">
        <is>
          <t>EO Engineer</t>
        </is>
      </c>
      <c r="E18" s="53" t="n">
        <v>24</v>
      </c>
      <c r="F18" s="54">
        <f>'Estimate Settings'!$C$5</f>
        <v/>
      </c>
      <c r="G18" s="55">
        <f>$E18*$F18</f>
        <v/>
      </c>
      <c r="H18" s="56" t="n">
        <v>225</v>
      </c>
      <c r="I18" s="55">
        <f>TEXT($G18*$H18,"$#,##0")</f>
        <v/>
      </c>
      <c r="J18" s="52" t="inlineStr">
        <is>
          <t>Workstation Deployment</t>
        </is>
      </c>
      <c r="K18" s="52" t="inlineStr">
        <is>
          <t>Rhino plugin installation NURBS to USD conversion</t>
        </is>
      </c>
    </row>
    <row r="19" ht="26" customHeight="1">
      <c r="A19" s="45" t="inlineStr">
        <is>
          <t>Development</t>
        </is>
      </c>
      <c r="B19" s="46" t="inlineStr">
        <is>
          <t>Blender Integration</t>
        </is>
      </c>
      <c r="C19" s="46" t="inlineStr">
        <is>
          <t>Configure Blender USD workflows for 3D modeling and animation</t>
        </is>
      </c>
      <c r="D19" s="46" t="inlineStr">
        <is>
          <t>EO Engineer</t>
        </is>
      </c>
      <c r="E19" s="47" t="n">
        <v>16</v>
      </c>
      <c r="F19" s="48">
        <f>'Estimate Settings'!$C$5</f>
        <v/>
      </c>
      <c r="G19" s="49">
        <f>$E19*$F19</f>
        <v/>
      </c>
      <c r="H19" s="50" t="n">
        <v>200</v>
      </c>
      <c r="I19" s="49">
        <f>TEXT($G19*$H19,"$#,##0")</f>
        <v/>
      </c>
      <c r="J19" s="46" t="inlineStr">
        <is>
          <t>Workstation Deployment</t>
        </is>
      </c>
      <c r="K19" s="46" t="inlineStr">
        <is>
          <t>Blender USD native support and Omniverse connector setup</t>
        </is>
      </c>
    </row>
    <row r="20" ht="26" customHeight="1">
      <c r="A20" s="51" t="inlineStr">
        <is>
          <t>Development</t>
        </is>
      </c>
      <c r="B20" s="52" t="inlineStr">
        <is>
          <t>Maya Integration</t>
        </is>
      </c>
      <c r="C20" s="52" t="inlineStr">
        <is>
          <t>Install and configure Autodesk Maya connector for animation workflows</t>
        </is>
      </c>
      <c r="D20" s="52" t="inlineStr">
        <is>
          <t>EO Engineer</t>
        </is>
      </c>
      <c r="E20" s="53" t="n">
        <v>24</v>
      </c>
      <c r="F20" s="54">
        <f>'Estimate Settings'!$C$5</f>
        <v/>
      </c>
      <c r="G20" s="55">
        <f>$E20*$F20</f>
        <v/>
      </c>
      <c r="H20" s="56" t="n">
        <v>225</v>
      </c>
      <c r="I20" s="55">
        <f>TEXT($G20*$H20,"$#,##0")</f>
        <v/>
      </c>
      <c r="J20" s="52" t="inlineStr">
        <is>
          <t>Workstation Deployment</t>
        </is>
      </c>
      <c r="K20" s="52" t="inlineStr">
        <is>
          <t>Maya plugin installation scene sync and rendering integration</t>
        </is>
      </c>
    </row>
    <row r="21" ht="26" customHeight="1">
      <c r="A21" s="45" t="inlineStr">
        <is>
          <t>Development</t>
        </is>
      </c>
      <c r="B21" s="46" t="inlineStr">
        <is>
          <t>Unreal Engine Integration</t>
        </is>
      </c>
      <c r="C21" s="46" t="inlineStr">
        <is>
          <t>Configure Unreal Engine for real-time visualization and VR walkthroughs</t>
        </is>
      </c>
      <c r="D21" s="46" t="inlineStr">
        <is>
          <t>EO Engineer</t>
        </is>
      </c>
      <c r="E21" s="47" t="n">
        <v>32</v>
      </c>
      <c r="F21" s="48">
        <f>'Estimate Settings'!$C$5</f>
        <v/>
      </c>
      <c r="G21" s="49">
        <f>$E21*$F21</f>
        <v/>
      </c>
      <c r="H21" s="50" t="n">
        <v>225</v>
      </c>
      <c r="I21" s="49">
        <f>TEXT($G21*$H21,"$#,##0")</f>
        <v/>
      </c>
      <c r="J21" s="46" t="inlineStr">
        <is>
          <t>Workstation Deployment</t>
        </is>
      </c>
      <c r="K21" s="46" t="inlineStr">
        <is>
          <t>Unreal USD import live link and RTX ray tracing setup</t>
        </is>
      </c>
    </row>
    <row r="22" ht="26" customHeight="1">
      <c r="A22" s="51" t="inlineStr">
        <is>
          <t>Development</t>
        </is>
      </c>
      <c r="B22" s="52" t="inlineStr">
        <is>
          <t>USD Pipeline Setup</t>
        </is>
      </c>
      <c r="C22" s="52" t="inlineStr">
        <is>
          <t>Configure custom USD pipeline with layers variants and references</t>
        </is>
      </c>
      <c r="D22" s="52" t="inlineStr">
        <is>
          <t>EO Engineer</t>
        </is>
      </c>
      <c r="E22" s="53" t="n">
        <v>40</v>
      </c>
      <c r="F22" s="54">
        <f>'Estimate Settings'!$C$5</f>
        <v/>
      </c>
      <c r="G22" s="55">
        <f>$E22*$F22</f>
        <v/>
      </c>
      <c r="H22" s="56" t="n">
        <v>250</v>
      </c>
      <c r="I22" s="55">
        <f>TEXT($G22*$H22,"$#,##0")</f>
        <v/>
      </c>
      <c r="J22" s="52" t="inlineStr">
        <is>
          <t>Unreal Engine Integration</t>
        </is>
      </c>
      <c r="K22" s="52" t="inlineStr">
        <is>
          <t>Studio-specific USD schema asset structure and version control</t>
        </is>
      </c>
    </row>
    <row r="23" ht="26" customHeight="1">
      <c r="A23" s="45" t="inlineStr">
        <is>
          <t>Development</t>
        </is>
      </c>
      <c r="B23" s="46" t="inlineStr">
        <is>
          <t>Rendering Farm Setup</t>
        </is>
      </c>
      <c r="C23" s="46" t="inlineStr">
        <is>
          <t>Deploy 10x GPU render nodes for Omniverse Farm batch rendering</t>
        </is>
      </c>
      <c r="D23" s="46" t="inlineStr">
        <is>
          <t>EO Engineer</t>
        </is>
      </c>
      <c r="E23" s="47" t="n">
        <v>40</v>
      </c>
      <c r="F23" s="48">
        <f>'Estimate Settings'!$C$5</f>
        <v/>
      </c>
      <c r="G23" s="49">
        <f>$E23*$F23</f>
        <v/>
      </c>
      <c r="H23" s="50" t="n">
        <v>225</v>
      </c>
      <c r="I23" s="49">
        <f>TEXT($G23*$H23,"$#,##0")</f>
        <v/>
      </c>
      <c r="J23" s="46" t="inlineStr">
        <is>
          <t>USD Pipeline Setup</t>
        </is>
      </c>
      <c r="K23" s="46" t="inlineStr">
        <is>
          <t>Farm controller configuration job queuing and render output management</t>
        </is>
      </c>
    </row>
    <row r="24" ht="26" customHeight="1">
      <c r="A24" s="51" t="inlineStr">
        <is>
          <t>Development</t>
        </is>
      </c>
      <c r="B24" s="52" t="inlineStr">
        <is>
          <t>RTX Rendering Configuration</t>
        </is>
      </c>
      <c r="C24" s="52" t="inlineStr">
        <is>
          <t>Configure RTX ray tracing settings materials and lighting for quality</t>
        </is>
      </c>
      <c r="D24" s="52" t="inlineStr">
        <is>
          <t>EO Engineer</t>
        </is>
      </c>
      <c r="E24" s="53" t="n">
        <v>24</v>
      </c>
      <c r="F24" s="54">
        <f>'Estimate Settings'!$C$5</f>
        <v/>
      </c>
      <c r="G24" s="55">
        <f>$E24*$F24</f>
        <v/>
      </c>
      <c r="H24" s="56" t="n">
        <v>200</v>
      </c>
      <c r="I24" s="55">
        <f>TEXT($G24*$H24,"$#,##0")</f>
        <v/>
      </c>
      <c r="J24" s="52" t="inlineStr">
        <is>
          <t>Rendering Farm Setup</t>
        </is>
      </c>
      <c r="K24" s="52" t="inlineStr">
        <is>
          <t>RTX settings MDL materials and physically-based rendering optimization</t>
        </is>
      </c>
    </row>
    <row r="25" ht="26" customHeight="1">
      <c r="A25" s="45" t="inlineStr">
        <is>
          <t>Development</t>
        </is>
      </c>
      <c r="B25" s="46" t="inlineStr">
        <is>
          <t>Security Configuration</t>
        </is>
      </c>
      <c r="C25" s="46" t="inlineStr">
        <is>
          <t>Configure user authentication access controls and project permissions</t>
        </is>
      </c>
      <c r="D25" s="46" t="inlineStr">
        <is>
          <t>EO Engineer</t>
        </is>
      </c>
      <c r="E25" s="47" t="n">
        <v>24</v>
      </c>
      <c r="F25" s="48">
        <f>'Estimate Settings'!$C$5</f>
        <v/>
      </c>
      <c r="G25" s="49">
        <f>$E25*$F25</f>
        <v/>
      </c>
      <c r="H25" s="50" t="n">
        <v>200</v>
      </c>
      <c r="I25" s="49">
        <f>TEXT($G25*$H25,"$#,##0")</f>
        <v/>
      </c>
      <c r="J25" s="46" t="inlineStr">
        <is>
          <t>RTX Rendering Configuration</t>
        </is>
      </c>
      <c r="K25" s="46" t="inlineStr">
        <is>
          <t>SSO integration role-based access and IP protection</t>
        </is>
      </c>
    </row>
    <row r="26" ht="26" customHeight="1">
      <c r="A26" s="51" t="inlineStr">
        <is>
          <t>Testing</t>
        </is>
      </c>
      <c r="B26" s="52" t="inlineStr">
        <is>
          <t>System Validation</t>
        </is>
      </c>
      <c r="C26" s="52" t="inlineStr">
        <is>
          <t>Validate Nucleus servers workstations and RTX GPU functionality</t>
        </is>
      </c>
      <c r="D26" s="52" t="inlineStr">
        <is>
          <t>EO Engineer</t>
        </is>
      </c>
      <c r="E26" s="53" t="n">
        <v>24</v>
      </c>
      <c r="F26" s="54">
        <f>'Estimate Settings'!$C$6</f>
        <v/>
      </c>
      <c r="G26" s="55">
        <f>$E26*$F26</f>
        <v/>
      </c>
      <c r="H26" s="56" t="n">
        <v>175</v>
      </c>
      <c r="I26" s="55">
        <f>TEXT($G26*$H26,"$#,##0")</f>
        <v/>
      </c>
      <c r="J26" s="52" t="inlineStr">
        <is>
          <t>Security Configuration</t>
        </is>
      </c>
      <c r="K26" s="52" t="inlineStr">
        <is>
          <t>Server health checks GPU diagnostics and storage validation</t>
        </is>
      </c>
    </row>
    <row r="27" ht="26" customHeight="1">
      <c r="A27" s="45" t="inlineStr">
        <is>
          <t>Testing</t>
        </is>
      </c>
      <c r="B27" s="46" t="inlineStr">
        <is>
          <t>Collaboration Testing</t>
        </is>
      </c>
      <c r="C27" s="46" t="inlineStr">
        <is>
          <t>Test multi-user USD scene editing with concurrent designer access</t>
        </is>
      </c>
      <c r="D27" s="46" t="inlineStr">
        <is>
          <t>EO Engineer</t>
        </is>
      </c>
      <c r="E27" s="47" t="n">
        <v>32</v>
      </c>
      <c r="F27" s="48">
        <f>'Estimate Settings'!$C$6</f>
        <v/>
      </c>
      <c r="G27" s="49">
        <f>$E27*$F27</f>
        <v/>
      </c>
      <c r="H27" s="50" t="n">
        <v>200</v>
      </c>
      <c r="I27" s="49">
        <f>TEXT($G27*$H27,"$#,##0")</f>
        <v/>
      </c>
      <c r="J27" s="46" t="inlineStr">
        <is>
          <t>System Validation</t>
        </is>
      </c>
      <c r="K27" s="46" t="inlineStr">
        <is>
          <t>Real-time sync conflict resolution and version control testing</t>
        </is>
      </c>
    </row>
    <row r="28" ht="26" customHeight="1">
      <c r="A28" s="51" t="inlineStr">
        <is>
          <t>Testing</t>
        </is>
      </c>
      <c r="B28" s="52" t="inlineStr">
        <is>
          <t>Connector Testing</t>
        </is>
      </c>
      <c r="C28" s="52" t="inlineStr">
        <is>
          <t>Validate all CAD tool connectors with representative design files</t>
        </is>
      </c>
      <c r="D28" s="52" t="inlineStr">
        <is>
          <t>EO Engineer</t>
        </is>
      </c>
      <c r="E28" s="53" t="n">
        <v>40</v>
      </c>
      <c r="F28" s="54">
        <f>'Estimate Settings'!$C$6</f>
        <v/>
      </c>
      <c r="G28" s="55">
        <f>$E28*$F28</f>
        <v/>
      </c>
      <c r="H28" s="56" t="n">
        <v>225</v>
      </c>
      <c r="I28" s="55">
        <f>TEXT($G28*$H28,"$#,##0")</f>
        <v/>
      </c>
      <c r="J28" s="52" t="inlineStr">
        <is>
          <t>Collaboration Testing</t>
        </is>
      </c>
      <c r="K28" s="52" t="inlineStr">
        <is>
          <t>Customer must provide sample Revit SolidWorks Rhino and Maya files</t>
        </is>
      </c>
    </row>
    <row r="29" ht="26" customHeight="1">
      <c r="A29" s="45" t="inlineStr">
        <is>
          <t>Testing</t>
        </is>
      </c>
      <c r="B29" s="46" t="inlineStr">
        <is>
          <t>Rendering Testing</t>
        </is>
      </c>
      <c r="C29" s="46" t="inlineStr">
        <is>
          <t>Test RTX interactive rendering and Farm batch job performance</t>
        </is>
      </c>
      <c r="D29" s="46" t="inlineStr">
        <is>
          <t>EO Engineer</t>
        </is>
      </c>
      <c r="E29" s="47" t="n">
        <v>24</v>
      </c>
      <c r="F29" s="48">
        <f>'Estimate Settings'!$C$6</f>
        <v/>
      </c>
      <c r="G29" s="49">
        <f>$E29*$F29</f>
        <v/>
      </c>
      <c r="H29" s="50" t="n">
        <v>200</v>
      </c>
      <c r="I29" s="49">
        <f>TEXT($G29*$H29,"$#,##0")</f>
        <v/>
      </c>
      <c r="J29" s="46" t="inlineStr">
        <is>
          <t>Connector Testing</t>
        </is>
      </c>
      <c r="K29" s="46" t="inlineStr">
        <is>
          <t>Ray tracing quality benchmarks and render farm throughput validation</t>
        </is>
      </c>
    </row>
    <row r="30" ht="26" customHeight="1">
      <c r="A30" s="51" t="inlineStr">
        <is>
          <t>Testing</t>
        </is>
      </c>
      <c r="B30" s="52" t="inlineStr">
        <is>
          <t>Performance Tuning</t>
        </is>
      </c>
      <c r="C30" s="52" t="inlineStr">
        <is>
          <t>Optimize USD scene performance RTX settings and network throughput</t>
        </is>
      </c>
      <c r="D30" s="52" t="inlineStr">
        <is>
          <t>EO Engineer</t>
        </is>
      </c>
      <c r="E30" s="53" t="n">
        <v>24</v>
      </c>
      <c r="F30" s="54">
        <f>'Estimate Settings'!$C$6</f>
        <v/>
      </c>
      <c r="G30" s="55">
        <f>$E30*$F30</f>
        <v/>
      </c>
      <c r="H30" s="56" t="n">
        <v>225</v>
      </c>
      <c r="I30" s="55">
        <f>TEXT($G30*$H30,"$#,##0")</f>
        <v/>
      </c>
      <c r="J30" s="52" t="inlineStr">
        <is>
          <t>Rendering Testing</t>
        </is>
      </c>
      <c r="K30" s="52" t="inlineStr">
        <is>
          <t>Tune scene complexity LOD settings and collaboration performance</t>
        </is>
      </c>
    </row>
    <row r="31" ht="26" customHeight="1">
      <c r="A31" s="45" t="inlineStr">
        <is>
          <t>Deployment</t>
        </is>
      </c>
      <c r="B31" s="46" t="inlineStr">
        <is>
          <t>Production Handoff</t>
        </is>
      </c>
      <c r="C31" s="46" t="inlineStr">
        <is>
          <t>Transition Omniverse platform to production with monitoring and support</t>
        </is>
      </c>
      <c r="D31" s="46" t="inlineStr">
        <is>
          <t>EO Engineer</t>
        </is>
      </c>
      <c r="E31" s="47" t="n">
        <v>16</v>
      </c>
      <c r="F31" s="48">
        <f>'Estimate Settings'!$C$7</f>
        <v/>
      </c>
      <c r="G31" s="49">
        <f>$E31*$F31</f>
        <v/>
      </c>
      <c r="H31" s="50" t="n">
        <v>200</v>
      </c>
      <c r="I31" s="49">
        <f>TEXT($G31*$H31,"$#,##0")</f>
        <v/>
      </c>
      <c r="J31" s="46" t="inlineStr">
        <is>
          <t>Performance Tuning</t>
        </is>
      </c>
      <c r="K31" s="46" t="inlineStr">
        <is>
          <t>Production readiness validation and operational procedures documentation</t>
        </is>
      </c>
    </row>
    <row r="32" ht="26" customHeight="1">
      <c r="A32" s="51" t="inlineStr">
        <is>
          <t>Deployment</t>
        </is>
      </c>
      <c r="B32" s="52" t="inlineStr">
        <is>
          <t>Designer Onboarding</t>
        </is>
      </c>
      <c r="C32" s="52" t="inlineStr">
        <is>
          <t>Onboard design teams with Nucleus access connector setup and projects</t>
        </is>
      </c>
      <c r="D32" s="52" t="inlineStr">
        <is>
          <t>EO Engineer</t>
        </is>
      </c>
      <c r="E32" s="53" t="n">
        <v>40</v>
      </c>
      <c r="F32" s="54">
        <f>'Estimate Settings'!$C$7</f>
        <v/>
      </c>
      <c r="G32" s="55">
        <f>$E32*$F32</f>
        <v/>
      </c>
      <c r="H32" s="56" t="n">
        <v>175</v>
      </c>
      <c r="I32" s="55">
        <f>TEXT($G32*$H32,"$#,##0")</f>
        <v/>
      </c>
      <c r="J32" s="52" t="inlineStr">
        <is>
          <t>Production Handoff</t>
        </is>
      </c>
      <c r="K32" s="52" t="inlineStr">
        <is>
          <t>User account setup project workspace creation and initial collaboration support</t>
        </is>
      </c>
    </row>
    <row r="33" ht="26" customHeight="1">
      <c r="A33" s="45" t="inlineStr">
        <is>
          <t>Deployment</t>
        </is>
      </c>
      <c r="B33" s="46" t="inlineStr">
        <is>
          <t>Production Project Migration</t>
        </is>
      </c>
      <c r="C33" s="46" t="inlineStr">
        <is>
          <t>Migrate first production design projects to Omniverse workflows</t>
        </is>
      </c>
      <c r="D33" s="46" t="inlineStr">
        <is>
          <t>EO Engineer</t>
        </is>
      </c>
      <c r="E33" s="47" t="n">
        <v>48</v>
      </c>
      <c r="F33" s="48">
        <f>'Estimate Settings'!$C$7</f>
        <v/>
      </c>
      <c r="G33" s="49">
        <f>$E33*$F33</f>
        <v/>
      </c>
      <c r="H33" s="50" t="n">
        <v>200</v>
      </c>
      <c r="I33" s="49">
        <f>TEXT($G33*$H33,"$#,##0")</f>
        <v/>
      </c>
      <c r="J33" s="46" t="inlineStr">
        <is>
          <t>Designer Onboarding</t>
        </is>
      </c>
      <c r="K33" s="46" t="inlineStr">
        <is>
          <t>Assist with CAD model import USD conversion and collaborative editing</t>
        </is>
      </c>
    </row>
    <row r="34" ht="26" customHeight="1">
      <c r="A34" s="51" t="inlineStr">
        <is>
          <t>Training</t>
        </is>
      </c>
      <c r="B34" s="52" t="inlineStr">
        <is>
          <t>Administrator Training</t>
        </is>
      </c>
      <c r="C34" s="52" t="inlineStr">
        <is>
          <t>Train IT administrators on Nucleus server management and troubleshooting</t>
        </is>
      </c>
      <c r="D34" s="52" t="inlineStr">
        <is>
          <t>EO Engineer</t>
        </is>
      </c>
      <c r="E34" s="53" t="n">
        <v>24</v>
      </c>
      <c r="F34" s="54">
        <f>'Estimate Settings'!$C$8</f>
        <v/>
      </c>
      <c r="G34" s="55">
        <f>$E34*$F34</f>
        <v/>
      </c>
      <c r="H34" s="56" t="n">
        <v>200</v>
      </c>
      <c r="I34" s="55">
        <f>TEXT($G34*$H34,"$#,##0")</f>
        <v/>
      </c>
      <c r="J34" s="52" t="inlineStr">
        <is>
          <t>Production Handoff</t>
        </is>
      </c>
      <c r="K34" s="52" t="inlineStr">
        <is>
          <t>Nucleus administration user management storage monitoring and backup</t>
        </is>
      </c>
    </row>
    <row r="35" ht="26" customHeight="1">
      <c r="A35" s="45" t="inlineStr">
        <is>
          <t>Training</t>
        </is>
      </c>
      <c r="B35" s="46" t="inlineStr">
        <is>
          <t>Designer Training</t>
        </is>
      </c>
      <c r="C35" s="46" t="inlineStr">
        <is>
          <t>Train designers on Omniverse workflows USD collaboration and rendering</t>
        </is>
      </c>
      <c r="D35" s="46" t="inlineStr">
        <is>
          <t>EO Engineer</t>
        </is>
      </c>
      <c r="E35" s="47" t="n">
        <v>40</v>
      </c>
      <c r="F35" s="48">
        <f>'Estimate Settings'!$C$8</f>
        <v/>
      </c>
      <c r="G35" s="49">
        <f>$E35*$F35</f>
        <v/>
      </c>
      <c r="H35" s="50" t="n">
        <v>200</v>
      </c>
      <c r="I35" s="49">
        <f>TEXT($G35*$H35,"$#,##0")</f>
        <v/>
      </c>
      <c r="J35" s="46" t="inlineStr">
        <is>
          <t>Administrator Training</t>
        </is>
      </c>
      <c r="K35" s="46" t="inlineStr">
        <is>
          <t>CAD connector usage live sync version control RTX rendering and best practices</t>
        </is>
      </c>
    </row>
    <row r="36" ht="26" customHeight="1">
      <c r="A36" s="51" t="inlineStr">
        <is>
          <t>Training</t>
        </is>
      </c>
      <c r="B36" s="52" t="inlineStr">
        <is>
          <t>Advanced USD Training</t>
        </is>
      </c>
      <c r="C36" s="52" t="inlineStr">
        <is>
          <t>Train power users on custom USD pipeline materials and automation</t>
        </is>
      </c>
      <c r="D36" s="52" t="inlineStr">
        <is>
          <t>EO Engineer</t>
        </is>
      </c>
      <c r="E36" s="53" t="n">
        <v>24</v>
      </c>
      <c r="F36" s="54">
        <f>'Estimate Settings'!$C$8</f>
        <v/>
      </c>
      <c r="G36" s="55">
        <f>$E36*$F36</f>
        <v/>
      </c>
      <c r="H36" s="56" t="n">
        <v>225</v>
      </c>
      <c r="I36" s="55">
        <f>TEXT($G36*$H36,"$#,##0")</f>
        <v/>
      </c>
      <c r="J36" s="52" t="inlineStr">
        <is>
          <t>Designer Training</t>
        </is>
      </c>
      <c r="K36" s="52" t="inlineStr">
        <is>
          <t>USD composition scripting MDL materials and pipeline customization</t>
        </is>
      </c>
    </row>
    <row r="37" ht="26" customHeight="1">
      <c r="A37" s="45" t="inlineStr">
        <is>
          <t>Training</t>
        </is>
      </c>
      <c r="B37" s="46" t="inlineStr">
        <is>
          <t>Documentation</t>
        </is>
      </c>
      <c r="C37" s="46" t="inlineStr">
        <is>
          <t>Create technical documentation workflow guides and best practices</t>
        </is>
      </c>
      <c r="D37" s="46" t="inlineStr">
        <is>
          <t>EO Engineer</t>
        </is>
      </c>
      <c r="E37" s="47" t="n">
        <v>32</v>
      </c>
      <c r="F37" s="48">
        <f>'Estimate Settings'!$C$8</f>
        <v/>
      </c>
      <c r="G37" s="49">
        <f>$E37*$F37</f>
        <v/>
      </c>
      <c r="H37" s="50" t="n">
        <v>150</v>
      </c>
      <c r="I37" s="49">
        <f>TEXT($G37*$H37,"$#,##0")</f>
        <v/>
      </c>
      <c r="J37" s="46" t="inlineStr">
        <is>
          <t>Advanced USD Training</t>
        </is>
      </c>
      <c r="K37" s="46" t="inlineStr">
        <is>
          <t>Deliverable: Operations runbook connector guides USD workflow documentation</t>
        </is>
      </c>
    </row>
    <row r="38" ht="26" customHeight="1">
      <c r="A38" s="51" t="inlineStr">
        <is>
          <t>Closeout</t>
        </is>
      </c>
      <c r="B38" s="52" t="inlineStr">
        <is>
          <t>Knowledge Transfer</t>
        </is>
      </c>
      <c r="C38" s="52" t="inlineStr">
        <is>
          <t>Transfer Omniverse platform ownership to client IT and design teams</t>
        </is>
      </c>
      <c r="D38" s="52" t="inlineStr">
        <is>
          <t>EO Engineer</t>
        </is>
      </c>
      <c r="E38" s="53" t="n">
        <v>16</v>
      </c>
      <c r="F38" s="54">
        <f>'Estimate Settings'!$C$9</f>
        <v/>
      </c>
      <c r="G38" s="55">
        <f>$E38*$F38</f>
        <v/>
      </c>
      <c r="H38" s="56" t="n">
        <v>200</v>
      </c>
      <c r="I38" s="55">
        <f>TEXT($G38*$H38,"$#,##0")</f>
        <v/>
      </c>
      <c r="J38" s="52" t="inlineStr">
        <is>
          <t>Documentation</t>
        </is>
      </c>
      <c r="K38" s="52" t="inlineStr">
        <is>
          <t>Comprehensive handover including architecture Nucleus management and support</t>
        </is>
      </c>
    </row>
    <row r="39" ht="26" customHeight="1">
      <c r="A39" s="45" t="inlineStr">
        <is>
          <t>Closeout</t>
        </is>
      </c>
      <c r="B39" s="46" t="inlineStr">
        <is>
          <t>Performance Baseline</t>
        </is>
      </c>
      <c r="C39" s="46" t="inlineStr">
        <is>
          <t>Establish collaboration metrics rendering performance and user adoption KPIs</t>
        </is>
      </c>
      <c r="D39" s="46" t="inlineStr">
        <is>
          <t>EO Engineer</t>
        </is>
      </c>
      <c r="E39" s="47" t="n">
        <v>16</v>
      </c>
      <c r="F39" s="48">
        <f>'Estimate Settings'!$C$9</f>
        <v/>
      </c>
      <c r="G39" s="49">
        <f>$E39*$F39</f>
        <v/>
      </c>
      <c r="H39" s="50" t="n">
        <v>175</v>
      </c>
      <c r="I39" s="49">
        <f>TEXT($G39*$H39,"$#,##0")</f>
        <v/>
      </c>
      <c r="J39" s="46" t="inlineStr">
        <is>
          <t>Knowledge Transfer</t>
        </is>
      </c>
      <c r="K39" s="46" t="inlineStr">
        <is>
          <t>Establishes concurrent users rendering time and ROI metrics</t>
        </is>
      </c>
    </row>
    <row r="40" ht="26" customHeight="1">
      <c r="A40" s="51" t="inlineStr">
        <is>
          <t>Management</t>
        </is>
      </c>
      <c r="B40" s="52" t="inlineStr">
        <is>
          <t>Technical Leadership</t>
        </is>
      </c>
      <c r="C40" s="52" t="inlineStr">
        <is>
          <t>NVIDIA Omniverse technical oversight and USD architecture review</t>
        </is>
      </c>
      <c r="D40" s="52" t="inlineStr">
        <is>
          <t>EO Quarterback</t>
        </is>
      </c>
      <c r="E40" s="55">
        <f>ROUND(SUM($G$3:$G$41)*0.10,0)</f>
        <v/>
      </c>
      <c r="F40" s="54">
        <f>'Estimate Settings'!$C$11</f>
        <v/>
      </c>
      <c r="G40" s="55">
        <f>$E40*$F40</f>
        <v/>
      </c>
      <c r="H40" s="56" t="n">
        <v>250</v>
      </c>
      <c r="I40" s="55">
        <f>TEXT($G40*$H40,"$#,##0")</f>
        <v/>
      </c>
      <c r="J40" s="52" t="inlineStr"/>
      <c r="K40" s="52" t="inlineStr">
        <is>
          <t>Omniverse expertise USD pipeline design and technical escalation</t>
        </is>
      </c>
    </row>
    <row r="41" ht="26" customHeight="1">
      <c r="A41" s="45" t="inlineStr">
        <is>
          <t>Management</t>
        </is>
      </c>
      <c r="B41" s="46" t="inlineStr">
        <is>
          <t>Project Management</t>
        </is>
      </c>
      <c r="C41" s="46" t="inlineStr">
        <is>
          <t>Project coordination planning and stakeholder management</t>
        </is>
      </c>
      <c r="D41" s="46" t="inlineStr">
        <is>
          <t>EO Project Manager</t>
        </is>
      </c>
      <c r="E41" s="49">
        <f>ROUND(SUM($G$3:$G$41)*0.10,0)</f>
        <v/>
      </c>
      <c r="F41" s="48">
        <f>'Estimate Settings'!$C$10</f>
        <v/>
      </c>
      <c r="G41" s="49">
        <f>$E41*$F41</f>
        <v/>
      </c>
      <c r="H41" s="50" t="n">
        <v>175</v>
      </c>
      <c r="I41" s="49">
        <f>TEXT($G41*$H41,"$#,##0")</f>
        <v/>
      </c>
      <c r="J41" s="46" t="inlineStr"/>
      <c r="K41" s="46" t="inlineStr">
        <is>
          <t>Includes weekly status Dell/NVIDIA coordination and risk management</t>
        </is>
      </c>
    </row>
    <row r="42" ht="26" customHeight="1">
      <c r="A42" s="57" t="inlineStr"/>
      <c r="B42" s="57" t="inlineStr"/>
      <c r="C42" s="57" t="inlineStr"/>
      <c r="D42" s="57" t="inlineStr"/>
      <c r="E42" s="57" t="inlineStr"/>
      <c r="F42" s="58" t="inlineStr">
        <is>
          <t>TOTAL HOURS</t>
        </is>
      </c>
      <c r="G42" s="58">
        <f>SUM($G$3:$G$41)</f>
        <v/>
      </c>
      <c r="H42" s="58" t="inlineStr">
        <is>
          <t>TOTAL COST</t>
        </is>
      </c>
      <c r="I42" s="58">
        <f>TEXT(SUMPRODUCT($G$3:$G$41,$H$3:$H$41),"$#,##0")</f>
        <v/>
      </c>
      <c r="J42" s="57" t="inlineStr"/>
      <c r="K42" s="57" t="inlineStr">
        <is>
          <t>EO Sales Engineer: Update phase multipliers in Estimate Settings based on deployment scope</t>
        </is>
      </c>
    </row>
  </sheetData>
  <autoFilter ref="A2:K42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0" customWidth="1" min="3" max="3"/>
  </cols>
  <sheetData>
    <row r="1" ht="32" customHeight="1">
      <c r="A1" s="35" t="inlineStr">
        <is>
          <t>Credits - Applied to Total Cost (Year 1 Only)</t>
        </is>
      </c>
    </row>
    <row r="2" ht="32" customHeight="1">
      <c r="A2" s="36" t="inlineStr">
        <is>
          <t>Credit Type</t>
        </is>
      </c>
      <c r="B2" s="36" t="inlineStr">
        <is>
          <t>Credit Amount</t>
        </is>
      </c>
      <c r="C2" s="36" t="inlineStr">
        <is>
          <t>Credit Comments</t>
        </is>
      </c>
    </row>
    <row r="3" ht="26" customHeight="1">
      <c r="A3" s="37" t="inlineStr">
        <is>
          <t>NVIDIA Partner Services Credit</t>
        </is>
      </c>
      <c r="B3" s="59" t="n">
        <v>-12000</v>
      </c>
      <c r="C3" s="38" t="inlineStr">
        <is>
          <t>NVIDIA Partner Network credit for Omniverse Enterprise deployment and connector integration</t>
        </is>
      </c>
    </row>
    <row r="4" ht="26" customHeight="1">
      <c r="A4" s="40" t="inlineStr">
        <is>
          <t>Implementation Discount</t>
        </is>
      </c>
      <c r="B4" s="60" t="n">
        <v>0</v>
      </c>
      <c r="C4" s="41" t="inlineStr">
        <is>
          <t>No implementation discount applicable</t>
        </is>
      </c>
    </row>
    <row r="5" ht="26" customHeight="1">
      <c r="A5" s="61" t="inlineStr">
        <is>
          <t>TOTAL</t>
        </is>
      </c>
      <c r="B5" s="62">
        <f>SUMPRODUCT($G$3:$G$41,$H$3:$H$41)-12000</f>
        <v/>
      </c>
      <c r="C5" s="61" t="n"/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2025-11-23T00:31:27Z</dcterms:modified>
  <cp:lastModifiedBy>Kishan Siram</cp:lastModifiedBy>
</cp:coreProperties>
</file>