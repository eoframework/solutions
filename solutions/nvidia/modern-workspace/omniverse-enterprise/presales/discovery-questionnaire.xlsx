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5500" tabRatio="600" firstSheet="0" activeTab="2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All Categories (Read Only)" sheetId="2" state="visible" r:id="rId2"/>
    <sheet xmlns:r="http://schemas.openxmlformats.org/officeDocument/2006/relationships" name="Business Requirements" sheetId="3" state="visible" r:id="rId3"/>
    <sheet xmlns:r="http://schemas.openxmlformats.org/officeDocument/2006/relationships" name="Technical Requirements" sheetId="4" state="visible" r:id="rId4"/>
    <sheet xmlns:r="http://schemas.openxmlformats.org/officeDocument/2006/relationships" name="Security &amp; Compliance" sheetId="5" state="visible" r:id="rId5"/>
    <sheet xmlns:r="http://schemas.openxmlformats.org/officeDocument/2006/relationships" name="Operations &amp; Support" sheetId="6" state="visible" r:id="rId6"/>
    <sheet xmlns:r="http://schemas.openxmlformats.org/officeDocument/2006/relationships" name="Implementation Planning" sheetId="7" state="visible" r:id="rId7"/>
    <sheet xmlns:r="http://schemas.openxmlformats.org/officeDocument/2006/relationships" name="Risk &amp; Constraints" sheetId="8" state="visible" r:id="rId8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17">
    <font>
      <name val="Calibri"/>
      <family val="2"/>
      <color theme="1"/>
      <sz val="11"/>
      <scheme val="minor"/>
    </font>
    <font>
      <name val="Segoe UI"/>
      <b val="1"/>
      <color rgb="FF5D6D7E"/>
      <sz val="12"/>
    </font>
    <font>
      <name val="Calibri"/>
      <color rgb="FF2C3E50"/>
      <sz val="12"/>
    </font>
    <font>
      <name val="Segoe UI"/>
      <color rgb="FFCC0000"/>
      <sz val="12"/>
    </font>
    <font>
      <name val="Calibri"/>
      <color rgb="FF5D6D7E"/>
      <sz val="11"/>
      <u val="single"/>
    </font>
    <font>
      <name val="Calibri"/>
      <b val="1"/>
      <color rgb="FFCC0000"/>
      <sz val="12"/>
    </font>
    <font>
      <name val="Calibri"/>
      <family val="2"/>
      <b val="1"/>
      <color rgb="FFFFFFFF"/>
      <sz val="12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color rgb="FF5D6D7E"/>
      <sz val="14"/>
      <scheme val="minor"/>
    </font>
    <font>
      <name val="Calibri"/>
      <family val="2"/>
      <color rgb="FF2C3E50"/>
      <sz val="26"/>
      <scheme val="minor"/>
    </font>
    <font>
      <name val="Calibri"/>
      <sz val="11"/>
    </font>
    <font>
      <name val="Calibri"/>
      <family val="2"/>
      <b val="1"/>
      <sz val="12"/>
    </font>
    <font>
      <name val="Calibri"/>
      <family val="2"/>
      <color rgb="FF2C3E50"/>
      <sz val="11"/>
    </font>
    <font>
      <name val="Calibri"/>
      <family val="2"/>
      <sz val="11"/>
    </font>
    <font>
      <name val="Calibri"/>
      <family val="2"/>
      <b val="1"/>
      <color rgb="FFCC0000"/>
      <sz val="11"/>
    </font>
    <font>
      <name val="Calibri"/>
      <b val="1"/>
      <color rgb="FFFFFFFF"/>
      <sz val="12"/>
    </font>
    <font>
      <name val="Calibri"/>
      <b val="1"/>
      <color rgb="FF2C3E50"/>
      <sz val="12"/>
    </font>
  </fonts>
  <fills count="12">
    <fill>
      <patternFill/>
    </fill>
    <fill>
      <patternFill patternType="gray125"/>
    </fill>
    <fill>
      <patternFill patternType="solid">
        <fgColor rgb="FFCC0000"/>
        <bgColor rgb="FFCC0000"/>
      </patternFill>
    </fill>
    <fill>
      <patternFill patternType="solid">
        <fgColor rgb="FF2C3E50"/>
        <bgColor rgb="FF2C3E50"/>
      </patternFill>
    </fill>
    <fill>
      <patternFill patternType="solid">
        <fgColor rgb="FFF8FAFB"/>
        <bgColor rgb="FFF8FAFB"/>
      </patternFill>
    </fill>
    <fill>
      <patternFill patternType="solid">
        <fgColor rgb="FFE8F4F8"/>
        <bgColor rgb="FFE8F4F8"/>
      </patternFill>
    </fill>
    <fill>
      <patternFill patternType="solid">
        <fgColor rgb="FFFFF2CC"/>
        <bgColor rgb="FFFFF2CC"/>
      </patternFill>
    </fill>
    <fill>
      <patternFill patternType="solid">
        <fgColor rgb="FFD1ECF1"/>
        <bgColor rgb="FFD1ECF1"/>
      </patternFill>
    </fill>
    <fill>
      <patternFill patternType="solid">
        <fgColor rgb="FFE8F5E9"/>
        <bgColor rgb="FFE8F5E9"/>
      </patternFill>
    </fill>
    <fill>
      <patternFill patternType="solid">
        <fgColor rgb="FFE8F4F8"/>
        <bgColor indexed="64"/>
      </patternFill>
    </fill>
    <fill>
      <patternFill patternType="solid">
        <fgColor rgb="00FFF2CC"/>
        <bgColor rgb="00FFF2CC"/>
      </patternFill>
    </fill>
    <fill>
      <patternFill patternType="solid">
        <fgColor rgb="00FFFFFF"/>
        <bgColor rgb="00FFFFFF"/>
      </patternFill>
    </fill>
  </fills>
  <borders count="6">
    <border>
      <left/>
      <right/>
      <top/>
      <bottom/>
      <diagonal/>
    </border>
    <border>
      <left style="thin">
        <color rgb="FFBDC3C7"/>
      </left>
      <right style="thin">
        <color rgb="FFBDC3C7"/>
      </right>
      <top style="thin">
        <color rgb="FFBDC3C7"/>
      </top>
      <bottom style="medium">
        <color rgb="FF2C3E50"/>
      </bottom>
      <diagonal/>
    </border>
    <border>
      <left style="thin">
        <color rgb="FFDEE2E6"/>
      </left>
      <right style="thin">
        <color rgb="FFDEE2E6"/>
      </right>
      <top style="thin">
        <color rgb="FFDEE2E6"/>
      </top>
      <bottom style="thin">
        <color rgb="FFDEE2E6"/>
      </bottom>
      <diagonal/>
    </border>
    <border>
      <left/>
      <right/>
      <top/>
      <bottom style="thin">
        <color rgb="FFBDC3C7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2">
    <xf numFmtId="0" fontId="0" fillId="0" borderId="0" pivotButton="0" quotePrefix="0" xfId="0"/>
    <xf numFmtId="0" fontId="0" fillId="2" borderId="0" pivotButton="0" quotePrefix="0" xfId="0"/>
    <xf numFmtId="0" fontId="1" fillId="0" borderId="0" applyAlignment="1" pivotButton="0" quotePrefix="0" xfId="0">
      <alignment horizontal="right" vertical="center"/>
    </xf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top"/>
    </xf>
    <xf numFmtId="0" fontId="2" fillId="4" borderId="2" applyAlignment="1" pivotButton="0" quotePrefix="0" xfId="0">
      <alignment horizontal="left" vertical="center" wrapText="1" indent="1"/>
    </xf>
    <xf numFmtId="0" fontId="2" fillId="4" borderId="2" applyAlignment="1" pivotButton="0" quotePrefix="0" xfId="0">
      <alignment horizontal="right" vertical="center" wrapText="1" indent="1"/>
    </xf>
    <xf numFmtId="164" fontId="2" fillId="4" borderId="2" applyAlignment="1" pivotButton="0" quotePrefix="0" xfId="0">
      <alignment horizontal="right" vertical="center" wrapText="1" indent="1"/>
    </xf>
    <xf numFmtId="0" fontId="2" fillId="0" borderId="2" applyAlignment="1" pivotButton="0" quotePrefix="0" xfId="0">
      <alignment horizontal="left" vertical="center" wrapText="1" indent="1"/>
    </xf>
    <xf numFmtId="0" fontId="2" fillId="0" borderId="2" applyAlignment="1" pivotButton="0" quotePrefix="0" xfId="0">
      <alignment horizontal="right" vertical="center" wrapText="1" indent="1"/>
    </xf>
    <xf numFmtId="164" fontId="2" fillId="0" borderId="2" applyAlignment="1" pivotButton="0" quotePrefix="0" xfId="0">
      <alignment horizontal="right" vertical="center" wrapText="1" indent="1"/>
    </xf>
    <xf numFmtId="0" fontId="0" fillId="5" borderId="2" pivotButton="0" quotePrefix="0" xfId="0"/>
    <xf numFmtId="164" fontId="5" fillId="5" borderId="2" applyAlignment="1" pivotButton="0" quotePrefix="0" xfId="0">
      <alignment horizontal="right" vertical="center" wrapText="1" indent="1"/>
    </xf>
    <xf numFmtId="0" fontId="6" fillId="3" borderId="1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left" vertical="center"/>
    </xf>
    <xf numFmtId="0" fontId="9" fillId="0" borderId="0" applyAlignment="1" pivotButton="0" quotePrefix="0" xfId="0">
      <alignment horizontal="left" vertical="center"/>
    </xf>
    <xf numFmtId="0" fontId="11" fillId="7" borderId="4" applyAlignment="1" pivotButton="0" quotePrefix="0" xfId="0">
      <alignment horizontal="center" vertical="center"/>
    </xf>
    <xf numFmtId="0" fontId="11" fillId="8" borderId="4" applyAlignment="1" pivotButton="0" quotePrefix="0" xfId="0">
      <alignment horizontal="center" vertical="center"/>
    </xf>
    <xf numFmtId="9" fontId="11" fillId="8" borderId="4" applyAlignment="1" pivotButton="0" quotePrefix="0" xfId="0">
      <alignment horizontal="center" vertical="center"/>
    </xf>
    <xf numFmtId="0" fontId="14" fillId="5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164" fontId="12" fillId="4" borderId="2" applyAlignment="1" pivotButton="0" quotePrefix="0" xfId="0">
      <alignment horizontal="right" wrapText="1"/>
    </xf>
    <xf numFmtId="164" fontId="12" fillId="0" borderId="2" applyAlignment="1" pivotButton="0" quotePrefix="0" xfId="0">
      <alignment horizontal="right" wrapText="1"/>
    </xf>
    <xf numFmtId="164" fontId="12" fillId="4" borderId="2" applyAlignment="1" pivotButton="0" quotePrefix="0" xfId="0">
      <alignment horizontal="right" wrapText="1" indent="1"/>
    </xf>
    <xf numFmtId="164" fontId="12" fillId="0" borderId="2" applyAlignment="1" pivotButton="0" quotePrefix="0" xfId="0">
      <alignment horizontal="right" wrapText="1" indent="1"/>
    </xf>
    <xf numFmtId="164" fontId="14" fillId="5" borderId="2" applyAlignment="1" pivotButton="0" quotePrefix="0" xfId="0">
      <alignment horizontal="right" wrapText="1" indent="1"/>
    </xf>
    <xf numFmtId="0" fontId="12" fillId="4" borderId="2" applyAlignment="1" pivotButton="0" quotePrefix="0" xfId="0">
      <alignment horizontal="right" vertical="center" wrapText="1"/>
    </xf>
    <xf numFmtId="0" fontId="12" fillId="0" borderId="2" applyAlignment="1" pivotButton="0" quotePrefix="0" xfId="0">
      <alignment horizontal="right" vertical="center" wrapText="1"/>
    </xf>
    <xf numFmtId="0" fontId="5" fillId="5" borderId="2" applyAlignment="1" pivotButton="0" quotePrefix="0" xfId="0">
      <alignment horizontal="center" vertical="center" wrapText="1"/>
    </xf>
    <xf numFmtId="0" fontId="10" fillId="6" borderId="4" applyAlignment="1" pivotButton="0" quotePrefix="0" xfId="0">
      <alignment horizontal="left" vertical="center" wrapText="1" indent="1"/>
    </xf>
    <xf numFmtId="0" fontId="12" fillId="4" borderId="2" applyAlignment="1" pivotButton="0" quotePrefix="0" xfId="0">
      <alignment horizontal="left" vertical="center" wrapText="1" indent="1"/>
    </xf>
    <xf numFmtId="0" fontId="12" fillId="0" borderId="2" applyAlignment="1" pivotButton="0" quotePrefix="0" xfId="0">
      <alignment horizontal="left" vertical="center" wrapText="1" indent="1"/>
    </xf>
    <xf numFmtId="0" fontId="13" fillId="6" borderId="4" applyAlignment="1" pivotButton="0" quotePrefix="0" xfId="0">
      <alignment horizontal="left" vertical="center" wrapText="1" indent="1"/>
    </xf>
    <xf numFmtId="0" fontId="7" fillId="9" borderId="3" applyAlignment="1" pivotButton="0" quotePrefix="0" xfId="0">
      <alignment horizontal="center" vertical="center"/>
    </xf>
    <xf numFmtId="0" fontId="16" fillId="7" borderId="5" applyAlignment="1" pivotButton="0" quotePrefix="0" xfId="0">
      <alignment horizontal="center" vertical="center"/>
    </xf>
    <xf numFmtId="0" fontId="16" fillId="8" borderId="5" applyAlignment="1" pivotButton="0" quotePrefix="0" xfId="0">
      <alignment horizontal="center" vertical="center"/>
    </xf>
    <xf numFmtId="9" fontId="16" fillId="8" borderId="5" applyAlignment="1" pivotButton="0" quotePrefix="0" xfId="0">
      <alignment horizontal="center" vertical="center"/>
    </xf>
    <xf numFmtId="0" fontId="15" fillId="3" borderId="5" applyAlignment="1" pivotButton="0" quotePrefix="0" xfId="0">
      <alignment horizontal="center" vertical="center" wrapText="1"/>
    </xf>
    <xf numFmtId="0" fontId="2" fillId="11" borderId="5" applyAlignment="1" pivotButton="0" quotePrefix="0" xfId="0">
      <alignment vertical="top" wrapText="1" indent="1"/>
    </xf>
    <xf numFmtId="0" fontId="2" fillId="10" borderId="5" applyAlignment="1" pivotButton="0" quotePrefix="0" xfId="0">
      <alignment vertical="top" wrapText="1" indent="1"/>
    </xf>
    <xf numFmtId="0" fontId="2" fillId="4" borderId="5" applyAlignment="1" pivotButton="0" quotePrefix="0" xfId="0">
      <alignment vertical="top" wrapText="1" indent="1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11</row>
      <rowOff>0</rowOff>
    </from>
    <ext cx="1238250" cy="314325"/>
    <pic>
      <nvPicPr>
        <cNvPr id="2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12"/>
  <sheetViews>
    <sheetView workbookViewId="0">
      <selection activeCell="E24" sqref="E24"/>
    </sheetView>
  </sheetViews>
  <sheetFormatPr baseColWidth="8" defaultRowHeight="14.5"/>
  <cols>
    <col width="3" customWidth="1" min="1" max="1"/>
    <col width="25" customWidth="1" min="2" max="2"/>
    <col width="40" customWidth="1" min="3" max="3"/>
    <col width="3" customWidth="1" min="4" max="4"/>
  </cols>
  <sheetData>
    <row r="1" ht="15" customHeight="1">
      <c r="B1" s="1" t="n"/>
      <c r="C1" s="1" t="n"/>
    </row>
    <row r="2" ht="15" customHeight="1"/>
    <row r="3" ht="40" customHeight="1">
      <c r="B3" s="16" t="inlineStr">
        <is>
          <t>[DOCUMENT TITLE]</t>
        </is>
      </c>
    </row>
    <row r="4" ht="25" customHeight="1">
      <c r="B4" s="15" t="inlineStr">
        <is>
          <t>Discovery Questionnaire</t>
        </is>
      </c>
    </row>
    <row r="5" ht="30" customHeight="1">
      <c r="B5" t="inlineStr">
        <is>
          <t>Presales Document</t>
        </is>
      </c>
    </row>
    <row r="6" ht="18" customHeight="1">
      <c r="B6" s="2" t="inlineStr">
        <is>
          <t>Generated:</t>
        </is>
      </c>
      <c r="C6" s="3" t="inlineStr">
        <is>
          <t>November 16, 2025</t>
        </is>
      </c>
    </row>
    <row r="7" ht="18" customHeight="1">
      <c r="B7" s="2" t="inlineStr">
        <is>
          <t>Solution:</t>
        </is>
      </c>
      <c r="C7" s="3" t="inlineStr">
        <is>
          <t>November 22, 2025</t>
        </is>
      </c>
    </row>
    <row r="8" ht="18" customHeight="1">
      <c r="B8" s="2" t="inlineStr">
        <is>
          <t>Customer:</t>
        </is>
      </c>
      <c r="C8" s="3" t="inlineStr">
        <is>
          <t>Omniverse Enterprise</t>
        </is>
      </c>
    </row>
    <row r="9" ht="18" customHeight="1">
      <c r="B9" s="2" t="inlineStr">
        <is>
          <t>Version:</t>
        </is>
      </c>
      <c r="C9" s="3" t="inlineStr">
        <is>
          <t>[Customer Name]</t>
        </is>
      </c>
    </row>
    <row r="10" ht="18" customHeight="1">
      <c r="B10" s="2" t="inlineStr">
        <is>
          <t>Status:</t>
        </is>
      </c>
      <c r="C10" s="4" t="inlineStr">
        <is>
          <t>Draft</t>
        </is>
      </c>
    </row>
    <row r="11" ht="40" customHeight="1"/>
    <row r="12" ht="30" customHeight="1">
      <c r="C12" s="5" t="inlineStr">
        <is>
          <t>eoframework.org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25" customWidth="1" min="3" max="3"/>
    <col width="50" customWidth="1" min="4" max="4"/>
    <col width="40" customWidth="1" min="5" max="5"/>
    <col width="40" customWidth="1" min="6" max="6"/>
    <col width="30" customWidth="1" min="7" max="7"/>
  </cols>
  <sheetData>
    <row r="1" ht="26" customHeight="1">
      <c r="A1" s="35" t="inlineStr">
        <is>
          <t>Total Questions</t>
        </is>
      </c>
      <c r="B1" s="35" t="inlineStr">
        <is>
          <t>Answered</t>
        </is>
      </c>
      <c r="C1" s="35" t="inlineStr">
        <is>
          <t>Remaining</t>
        </is>
      </c>
      <c r="D1" s="35" t="inlineStr">
        <is>
          <t>% Complete</t>
        </is>
      </c>
    </row>
    <row r="2" ht="26" customHeight="1">
      <c r="A2" s="36" t="n">
        <v>69</v>
      </c>
      <c r="B2" s="36">
        <f>SUMPRODUCT(--(LEN(F5:F73)&gt;0))</f>
        <v/>
      </c>
      <c r="C2" s="36">
        <f>A2-B2</f>
        <v/>
      </c>
      <c r="D2" s="37">
        <f>B2/A2</f>
        <v/>
      </c>
    </row>
    <row r="4" ht="32" customHeight="1">
      <c r="A4" s="38" t="inlineStr">
        <is>
          <t>Question ID</t>
        </is>
      </c>
      <c r="B4" s="38" t="inlineStr">
        <is>
          <t>Category</t>
        </is>
      </c>
      <c r="C4" s="38" t="inlineStr">
        <is>
          <t>Sub-Category</t>
        </is>
      </c>
      <c r="D4" s="38" t="inlineStr">
        <is>
          <t>Question</t>
        </is>
      </c>
      <c r="E4" s="38" t="inlineStr">
        <is>
          <t>Guidance</t>
        </is>
      </c>
      <c r="F4" s="38" t="inlineStr">
        <is>
          <t>Customer Response</t>
        </is>
      </c>
      <c r="G4" s="38" t="inlineStr">
        <is>
          <t>Notes</t>
        </is>
      </c>
    </row>
    <row r="5">
      <c r="A5" s="39">
        <f>IF('Business Requirements'!A2="","",'Business Requirements'!A2)</f>
        <v/>
      </c>
      <c r="B5" s="39">
        <f>IF('Business Requirements'!B2="","",'Business Requirements'!B2)</f>
        <v/>
      </c>
      <c r="C5" s="39">
        <f>IF('Business Requirements'!C2="","",'Business Requirements'!C2)</f>
        <v/>
      </c>
      <c r="D5" s="39">
        <f>IF('Business Requirements'!D2="","",'Business Requirements'!D2)</f>
        <v/>
      </c>
      <c r="E5" s="39">
        <f>IF('Business Requirements'!E2="","",'Business Requirements'!E2)</f>
        <v/>
      </c>
      <c r="F5" s="40">
        <f>IF('Business Requirements'!F2="","",'Business Requirements'!F2)</f>
        <v/>
      </c>
      <c r="G5" s="39">
        <f>IF('Business Requirements'!G2="","",'Business Requirements'!G2)</f>
        <v/>
      </c>
    </row>
    <row r="6">
      <c r="A6" s="41">
        <f>IF('Business Requirements'!A3="","",'Business Requirements'!A3)</f>
        <v/>
      </c>
      <c r="B6" s="41">
        <f>IF('Business Requirements'!B3="","",'Business Requirements'!B3)</f>
        <v/>
      </c>
      <c r="C6" s="41">
        <f>IF('Business Requirements'!C3="","",'Business Requirements'!C3)</f>
        <v/>
      </c>
      <c r="D6" s="41">
        <f>IF('Business Requirements'!D3="","",'Business Requirements'!D3)</f>
        <v/>
      </c>
      <c r="E6" s="41">
        <f>IF('Business Requirements'!E3="","",'Business Requirements'!E3)</f>
        <v/>
      </c>
      <c r="F6" s="40">
        <f>IF('Business Requirements'!F3="","",'Business Requirements'!F3)</f>
        <v/>
      </c>
      <c r="G6" s="41">
        <f>IF('Business Requirements'!G3="","",'Business Requirements'!G3)</f>
        <v/>
      </c>
    </row>
    <row r="7">
      <c r="A7" s="39">
        <f>IF('Business Requirements'!A4="","",'Business Requirements'!A4)</f>
        <v/>
      </c>
      <c r="B7" s="39">
        <f>IF('Business Requirements'!B4="","",'Business Requirements'!B4)</f>
        <v/>
      </c>
      <c r="C7" s="39">
        <f>IF('Business Requirements'!C4="","",'Business Requirements'!C4)</f>
        <v/>
      </c>
      <c r="D7" s="39">
        <f>IF('Business Requirements'!D4="","",'Business Requirements'!D4)</f>
        <v/>
      </c>
      <c r="E7" s="39">
        <f>IF('Business Requirements'!E4="","",'Business Requirements'!E4)</f>
        <v/>
      </c>
      <c r="F7" s="40">
        <f>IF('Business Requirements'!F4="","",'Business Requirements'!F4)</f>
        <v/>
      </c>
      <c r="G7" s="39">
        <f>IF('Business Requirements'!G4="","",'Business Requirements'!G4)</f>
        <v/>
      </c>
    </row>
    <row r="8">
      <c r="A8" s="41">
        <f>IF('Business Requirements'!A5="","",'Business Requirements'!A5)</f>
        <v/>
      </c>
      <c r="B8" s="41">
        <f>IF('Business Requirements'!B5="","",'Business Requirements'!B5)</f>
        <v/>
      </c>
      <c r="C8" s="41">
        <f>IF('Business Requirements'!C5="","",'Business Requirements'!C5)</f>
        <v/>
      </c>
      <c r="D8" s="41">
        <f>IF('Business Requirements'!D5="","",'Business Requirements'!D5)</f>
        <v/>
      </c>
      <c r="E8" s="41">
        <f>IF('Business Requirements'!E5="","",'Business Requirements'!E5)</f>
        <v/>
      </c>
      <c r="F8" s="40">
        <f>IF('Business Requirements'!F5="","",'Business Requirements'!F5)</f>
        <v/>
      </c>
      <c r="G8" s="41">
        <f>IF('Business Requirements'!G5="","",'Business Requirements'!G5)</f>
        <v/>
      </c>
    </row>
    <row r="9">
      <c r="A9" s="39">
        <f>IF('Business Requirements'!A6="","",'Business Requirements'!A6)</f>
        <v/>
      </c>
      <c r="B9" s="39">
        <f>IF('Business Requirements'!B6="","",'Business Requirements'!B6)</f>
        <v/>
      </c>
      <c r="C9" s="39">
        <f>IF('Business Requirements'!C6="","",'Business Requirements'!C6)</f>
        <v/>
      </c>
      <c r="D9" s="39">
        <f>IF('Business Requirements'!D6="","",'Business Requirements'!D6)</f>
        <v/>
      </c>
      <c r="E9" s="39">
        <f>IF('Business Requirements'!E6="","",'Business Requirements'!E6)</f>
        <v/>
      </c>
      <c r="F9" s="40">
        <f>IF('Business Requirements'!F6="","",'Business Requirements'!F6)</f>
        <v/>
      </c>
      <c r="G9" s="39">
        <f>IF('Business Requirements'!G6="","",'Business Requirements'!G6)</f>
        <v/>
      </c>
    </row>
    <row r="10">
      <c r="A10" s="41">
        <f>IF('Business Requirements'!A7="","",'Business Requirements'!A7)</f>
        <v/>
      </c>
      <c r="B10" s="41">
        <f>IF('Business Requirements'!B7="","",'Business Requirements'!B7)</f>
        <v/>
      </c>
      <c r="C10" s="41">
        <f>IF('Business Requirements'!C7="","",'Business Requirements'!C7)</f>
        <v/>
      </c>
      <c r="D10" s="41">
        <f>IF('Business Requirements'!D7="","",'Business Requirements'!D7)</f>
        <v/>
      </c>
      <c r="E10" s="41">
        <f>IF('Business Requirements'!E7="","",'Business Requirements'!E7)</f>
        <v/>
      </c>
      <c r="F10" s="40">
        <f>IF('Business Requirements'!F7="","",'Business Requirements'!F7)</f>
        <v/>
      </c>
      <c r="G10" s="41">
        <f>IF('Business Requirements'!G7="","",'Business Requirements'!G7)</f>
        <v/>
      </c>
    </row>
    <row r="11">
      <c r="A11" s="39">
        <f>IF('Business Requirements'!A8="","",'Business Requirements'!A8)</f>
        <v/>
      </c>
      <c r="B11" s="39">
        <f>IF('Business Requirements'!B8="","",'Business Requirements'!B8)</f>
        <v/>
      </c>
      <c r="C11" s="39">
        <f>IF('Business Requirements'!C8="","",'Business Requirements'!C8)</f>
        <v/>
      </c>
      <c r="D11" s="39">
        <f>IF('Business Requirements'!D8="","",'Business Requirements'!D8)</f>
        <v/>
      </c>
      <c r="E11" s="39">
        <f>IF('Business Requirements'!E8="","",'Business Requirements'!E8)</f>
        <v/>
      </c>
      <c r="F11" s="40">
        <f>IF('Business Requirements'!F8="","",'Business Requirements'!F8)</f>
        <v/>
      </c>
      <c r="G11" s="39">
        <f>IF('Business Requirements'!G8="","",'Business Requirements'!G8)</f>
        <v/>
      </c>
    </row>
    <row r="12">
      <c r="A12" s="41">
        <f>IF('Business Requirements'!A9="","",'Business Requirements'!A9)</f>
        <v/>
      </c>
      <c r="B12" s="41">
        <f>IF('Business Requirements'!B9="","",'Business Requirements'!B9)</f>
        <v/>
      </c>
      <c r="C12" s="41">
        <f>IF('Business Requirements'!C9="","",'Business Requirements'!C9)</f>
        <v/>
      </c>
      <c r="D12" s="41">
        <f>IF('Business Requirements'!D9="","",'Business Requirements'!D9)</f>
        <v/>
      </c>
      <c r="E12" s="41">
        <f>IF('Business Requirements'!E9="","",'Business Requirements'!E9)</f>
        <v/>
      </c>
      <c r="F12" s="40">
        <f>IF('Business Requirements'!F9="","",'Business Requirements'!F9)</f>
        <v/>
      </c>
      <c r="G12" s="41">
        <f>IF('Business Requirements'!G9="","",'Business Requirements'!G9)</f>
        <v/>
      </c>
    </row>
    <row r="13">
      <c r="A13" s="39">
        <f>IF('Business Requirements'!A10="","",'Business Requirements'!A10)</f>
        <v/>
      </c>
      <c r="B13" s="39">
        <f>IF('Business Requirements'!B10="","",'Business Requirements'!B10)</f>
        <v/>
      </c>
      <c r="C13" s="39">
        <f>IF('Business Requirements'!C10="","",'Business Requirements'!C10)</f>
        <v/>
      </c>
      <c r="D13" s="39">
        <f>IF('Business Requirements'!D10="","",'Business Requirements'!D10)</f>
        <v/>
      </c>
      <c r="E13" s="39">
        <f>IF('Business Requirements'!E10="","",'Business Requirements'!E10)</f>
        <v/>
      </c>
      <c r="F13" s="40">
        <f>IF('Business Requirements'!F10="","",'Business Requirements'!F10)</f>
        <v/>
      </c>
      <c r="G13" s="39">
        <f>IF('Business Requirements'!G10="","",'Business Requirements'!G10)</f>
        <v/>
      </c>
    </row>
    <row r="14">
      <c r="A14" s="41">
        <f>IF('Business Requirements'!A11="","",'Business Requirements'!A11)</f>
        <v/>
      </c>
      <c r="B14" s="41">
        <f>IF('Business Requirements'!B11="","",'Business Requirements'!B11)</f>
        <v/>
      </c>
      <c r="C14" s="41">
        <f>IF('Business Requirements'!C11="","",'Business Requirements'!C11)</f>
        <v/>
      </c>
      <c r="D14" s="41">
        <f>IF('Business Requirements'!D11="","",'Business Requirements'!D11)</f>
        <v/>
      </c>
      <c r="E14" s="41">
        <f>IF('Business Requirements'!E11="","",'Business Requirements'!E11)</f>
        <v/>
      </c>
      <c r="F14" s="40">
        <f>IF('Business Requirements'!F11="","",'Business Requirements'!F11)</f>
        <v/>
      </c>
      <c r="G14" s="41">
        <f>IF('Business Requirements'!G11="","",'Business Requirements'!G11)</f>
        <v/>
      </c>
    </row>
    <row r="15">
      <c r="A15" s="39">
        <f>IF('Business Requirements'!A12="","",'Business Requirements'!A12)</f>
        <v/>
      </c>
      <c r="B15" s="39">
        <f>IF('Business Requirements'!B12="","",'Business Requirements'!B12)</f>
        <v/>
      </c>
      <c r="C15" s="39">
        <f>IF('Business Requirements'!C12="","",'Business Requirements'!C12)</f>
        <v/>
      </c>
      <c r="D15" s="39">
        <f>IF('Business Requirements'!D12="","",'Business Requirements'!D12)</f>
        <v/>
      </c>
      <c r="E15" s="39">
        <f>IF('Business Requirements'!E12="","",'Business Requirements'!E12)</f>
        <v/>
      </c>
      <c r="F15" s="40">
        <f>IF('Business Requirements'!F12="","",'Business Requirements'!F12)</f>
        <v/>
      </c>
      <c r="G15" s="39">
        <f>IF('Business Requirements'!G12="","",'Business Requirements'!G12)</f>
        <v/>
      </c>
    </row>
    <row r="16">
      <c r="A16" s="41">
        <f>IF('Business Requirements'!A13="","",'Business Requirements'!A13)</f>
        <v/>
      </c>
      <c r="B16" s="41">
        <f>IF('Business Requirements'!B13="","",'Business Requirements'!B13)</f>
        <v/>
      </c>
      <c r="C16" s="41">
        <f>IF('Business Requirements'!C13="","",'Business Requirements'!C13)</f>
        <v/>
      </c>
      <c r="D16" s="41">
        <f>IF('Business Requirements'!D13="","",'Business Requirements'!D13)</f>
        <v/>
      </c>
      <c r="E16" s="41">
        <f>IF('Business Requirements'!E13="","",'Business Requirements'!E13)</f>
        <v/>
      </c>
      <c r="F16" s="40">
        <f>IF('Business Requirements'!F13="","",'Business Requirements'!F13)</f>
        <v/>
      </c>
      <c r="G16" s="41">
        <f>IF('Business Requirements'!G13="","",'Business Requirements'!G13)</f>
        <v/>
      </c>
    </row>
    <row r="17">
      <c r="A17" s="39">
        <f>IF('Technical Requirements'!A2="","",'Technical Requirements'!A2)</f>
        <v/>
      </c>
      <c r="B17" s="39">
        <f>IF('Technical Requirements'!B2="","",'Technical Requirements'!B2)</f>
        <v/>
      </c>
      <c r="C17" s="39">
        <f>IF('Technical Requirements'!C2="","",'Technical Requirements'!C2)</f>
        <v/>
      </c>
      <c r="D17" s="39">
        <f>IF('Technical Requirements'!D2="","",'Technical Requirements'!D2)</f>
        <v/>
      </c>
      <c r="E17" s="39">
        <f>IF('Technical Requirements'!E2="","",'Technical Requirements'!E2)</f>
        <v/>
      </c>
      <c r="F17" s="40">
        <f>IF('Technical Requirements'!F2="","",'Technical Requirements'!F2)</f>
        <v/>
      </c>
      <c r="G17" s="39">
        <f>IF('Technical Requirements'!G2="","",'Technical Requirements'!G2)</f>
        <v/>
      </c>
    </row>
    <row r="18">
      <c r="A18" s="41">
        <f>IF('Technical Requirements'!A3="","",'Technical Requirements'!A3)</f>
        <v/>
      </c>
      <c r="B18" s="41">
        <f>IF('Technical Requirements'!B3="","",'Technical Requirements'!B3)</f>
        <v/>
      </c>
      <c r="C18" s="41">
        <f>IF('Technical Requirements'!C3="","",'Technical Requirements'!C3)</f>
        <v/>
      </c>
      <c r="D18" s="41">
        <f>IF('Technical Requirements'!D3="","",'Technical Requirements'!D3)</f>
        <v/>
      </c>
      <c r="E18" s="41">
        <f>IF('Technical Requirements'!E3="","",'Technical Requirements'!E3)</f>
        <v/>
      </c>
      <c r="F18" s="40">
        <f>IF('Technical Requirements'!F3="","",'Technical Requirements'!F3)</f>
        <v/>
      </c>
      <c r="G18" s="41">
        <f>IF('Technical Requirements'!G3="","",'Technical Requirements'!G3)</f>
        <v/>
      </c>
    </row>
    <row r="19">
      <c r="A19" s="39">
        <f>IF('Technical Requirements'!A4="","",'Technical Requirements'!A4)</f>
        <v/>
      </c>
      <c r="B19" s="39">
        <f>IF('Technical Requirements'!B4="","",'Technical Requirements'!B4)</f>
        <v/>
      </c>
      <c r="C19" s="39">
        <f>IF('Technical Requirements'!C4="","",'Technical Requirements'!C4)</f>
        <v/>
      </c>
      <c r="D19" s="39">
        <f>IF('Technical Requirements'!D4="","",'Technical Requirements'!D4)</f>
        <v/>
      </c>
      <c r="E19" s="39">
        <f>IF('Technical Requirements'!E4="","",'Technical Requirements'!E4)</f>
        <v/>
      </c>
      <c r="F19" s="40">
        <f>IF('Technical Requirements'!F4="","",'Technical Requirements'!F4)</f>
        <v/>
      </c>
      <c r="G19" s="39">
        <f>IF('Technical Requirements'!G4="","",'Technical Requirements'!G4)</f>
        <v/>
      </c>
    </row>
    <row r="20">
      <c r="A20" s="41">
        <f>IF('Technical Requirements'!A5="","",'Technical Requirements'!A5)</f>
        <v/>
      </c>
      <c r="B20" s="41">
        <f>IF('Technical Requirements'!B5="","",'Technical Requirements'!B5)</f>
        <v/>
      </c>
      <c r="C20" s="41">
        <f>IF('Technical Requirements'!C5="","",'Technical Requirements'!C5)</f>
        <v/>
      </c>
      <c r="D20" s="41">
        <f>IF('Technical Requirements'!D5="","",'Technical Requirements'!D5)</f>
        <v/>
      </c>
      <c r="E20" s="41">
        <f>IF('Technical Requirements'!E5="","",'Technical Requirements'!E5)</f>
        <v/>
      </c>
      <c r="F20" s="40">
        <f>IF('Technical Requirements'!F5="","",'Technical Requirements'!F5)</f>
        <v/>
      </c>
      <c r="G20" s="41">
        <f>IF('Technical Requirements'!G5="","",'Technical Requirements'!G5)</f>
        <v/>
      </c>
    </row>
    <row r="21">
      <c r="A21" s="39">
        <f>IF('Technical Requirements'!A6="","",'Technical Requirements'!A6)</f>
        <v/>
      </c>
      <c r="B21" s="39">
        <f>IF('Technical Requirements'!B6="","",'Technical Requirements'!B6)</f>
        <v/>
      </c>
      <c r="C21" s="39">
        <f>IF('Technical Requirements'!C6="","",'Technical Requirements'!C6)</f>
        <v/>
      </c>
      <c r="D21" s="39">
        <f>IF('Technical Requirements'!D6="","",'Technical Requirements'!D6)</f>
        <v/>
      </c>
      <c r="E21" s="39">
        <f>IF('Technical Requirements'!E6="","",'Technical Requirements'!E6)</f>
        <v/>
      </c>
      <c r="F21" s="40">
        <f>IF('Technical Requirements'!F6="","",'Technical Requirements'!F6)</f>
        <v/>
      </c>
      <c r="G21" s="39">
        <f>IF('Technical Requirements'!G6="","",'Technical Requirements'!G6)</f>
        <v/>
      </c>
    </row>
    <row r="22">
      <c r="A22" s="41">
        <f>IF('Technical Requirements'!A7="","",'Technical Requirements'!A7)</f>
        <v/>
      </c>
      <c r="B22" s="41">
        <f>IF('Technical Requirements'!B7="","",'Technical Requirements'!B7)</f>
        <v/>
      </c>
      <c r="C22" s="41">
        <f>IF('Technical Requirements'!C7="","",'Technical Requirements'!C7)</f>
        <v/>
      </c>
      <c r="D22" s="41">
        <f>IF('Technical Requirements'!D7="","",'Technical Requirements'!D7)</f>
        <v/>
      </c>
      <c r="E22" s="41">
        <f>IF('Technical Requirements'!E7="","",'Technical Requirements'!E7)</f>
        <v/>
      </c>
      <c r="F22" s="40">
        <f>IF('Technical Requirements'!F7="","",'Technical Requirements'!F7)</f>
        <v/>
      </c>
      <c r="G22" s="41">
        <f>IF('Technical Requirements'!G7="","",'Technical Requirements'!G7)</f>
        <v/>
      </c>
    </row>
    <row r="23">
      <c r="A23" s="39">
        <f>IF('Technical Requirements'!A8="","",'Technical Requirements'!A8)</f>
        <v/>
      </c>
      <c r="B23" s="39">
        <f>IF('Technical Requirements'!B8="","",'Technical Requirements'!B8)</f>
        <v/>
      </c>
      <c r="C23" s="39">
        <f>IF('Technical Requirements'!C8="","",'Technical Requirements'!C8)</f>
        <v/>
      </c>
      <c r="D23" s="39">
        <f>IF('Technical Requirements'!D8="","",'Technical Requirements'!D8)</f>
        <v/>
      </c>
      <c r="E23" s="39">
        <f>IF('Technical Requirements'!E8="","",'Technical Requirements'!E8)</f>
        <v/>
      </c>
      <c r="F23" s="40">
        <f>IF('Technical Requirements'!F8="","",'Technical Requirements'!F8)</f>
        <v/>
      </c>
      <c r="G23" s="39">
        <f>IF('Technical Requirements'!G8="","",'Technical Requirements'!G8)</f>
        <v/>
      </c>
    </row>
    <row r="24">
      <c r="A24" s="41">
        <f>IF('Technical Requirements'!A9="","",'Technical Requirements'!A9)</f>
        <v/>
      </c>
      <c r="B24" s="41">
        <f>IF('Technical Requirements'!B9="","",'Technical Requirements'!B9)</f>
        <v/>
      </c>
      <c r="C24" s="41">
        <f>IF('Technical Requirements'!C9="","",'Technical Requirements'!C9)</f>
        <v/>
      </c>
      <c r="D24" s="41">
        <f>IF('Technical Requirements'!D9="","",'Technical Requirements'!D9)</f>
        <v/>
      </c>
      <c r="E24" s="41">
        <f>IF('Technical Requirements'!E9="","",'Technical Requirements'!E9)</f>
        <v/>
      </c>
      <c r="F24" s="40">
        <f>IF('Technical Requirements'!F9="","",'Technical Requirements'!F9)</f>
        <v/>
      </c>
      <c r="G24" s="41">
        <f>IF('Technical Requirements'!G9="","",'Technical Requirements'!G9)</f>
        <v/>
      </c>
    </row>
    <row r="25">
      <c r="A25" s="39">
        <f>IF('Technical Requirements'!A10="","",'Technical Requirements'!A10)</f>
        <v/>
      </c>
      <c r="B25" s="39">
        <f>IF('Technical Requirements'!B10="","",'Technical Requirements'!B10)</f>
        <v/>
      </c>
      <c r="C25" s="39">
        <f>IF('Technical Requirements'!C10="","",'Technical Requirements'!C10)</f>
        <v/>
      </c>
      <c r="D25" s="39">
        <f>IF('Technical Requirements'!D10="","",'Technical Requirements'!D10)</f>
        <v/>
      </c>
      <c r="E25" s="39">
        <f>IF('Technical Requirements'!E10="","",'Technical Requirements'!E10)</f>
        <v/>
      </c>
      <c r="F25" s="40">
        <f>IF('Technical Requirements'!F10="","",'Technical Requirements'!F10)</f>
        <v/>
      </c>
      <c r="G25" s="39">
        <f>IF('Technical Requirements'!G10="","",'Technical Requirements'!G10)</f>
        <v/>
      </c>
    </row>
    <row r="26">
      <c r="A26" s="41">
        <f>IF('Technical Requirements'!A11="","",'Technical Requirements'!A11)</f>
        <v/>
      </c>
      <c r="B26" s="41">
        <f>IF('Technical Requirements'!B11="","",'Technical Requirements'!B11)</f>
        <v/>
      </c>
      <c r="C26" s="41">
        <f>IF('Technical Requirements'!C11="","",'Technical Requirements'!C11)</f>
        <v/>
      </c>
      <c r="D26" s="41">
        <f>IF('Technical Requirements'!D11="","",'Technical Requirements'!D11)</f>
        <v/>
      </c>
      <c r="E26" s="41">
        <f>IF('Technical Requirements'!E11="","",'Technical Requirements'!E11)</f>
        <v/>
      </c>
      <c r="F26" s="40">
        <f>IF('Technical Requirements'!F11="","",'Technical Requirements'!F11)</f>
        <v/>
      </c>
      <c r="G26" s="41">
        <f>IF('Technical Requirements'!G11="","",'Technical Requirements'!G11)</f>
        <v/>
      </c>
    </row>
    <row r="27">
      <c r="A27" s="39">
        <f>IF('Technical Requirements'!A12="","",'Technical Requirements'!A12)</f>
        <v/>
      </c>
      <c r="B27" s="39">
        <f>IF('Technical Requirements'!B12="","",'Technical Requirements'!B12)</f>
        <v/>
      </c>
      <c r="C27" s="39">
        <f>IF('Technical Requirements'!C12="","",'Technical Requirements'!C12)</f>
        <v/>
      </c>
      <c r="D27" s="39">
        <f>IF('Technical Requirements'!D12="","",'Technical Requirements'!D12)</f>
        <v/>
      </c>
      <c r="E27" s="39">
        <f>IF('Technical Requirements'!E12="","",'Technical Requirements'!E12)</f>
        <v/>
      </c>
      <c r="F27" s="40">
        <f>IF('Technical Requirements'!F12="","",'Technical Requirements'!F12)</f>
        <v/>
      </c>
      <c r="G27" s="39">
        <f>IF('Technical Requirements'!G12="","",'Technical Requirements'!G12)</f>
        <v/>
      </c>
    </row>
    <row r="28">
      <c r="A28" s="41">
        <f>IF('Technical Requirements'!A13="","",'Technical Requirements'!A13)</f>
        <v/>
      </c>
      <c r="B28" s="41">
        <f>IF('Technical Requirements'!B13="","",'Technical Requirements'!B13)</f>
        <v/>
      </c>
      <c r="C28" s="41">
        <f>IF('Technical Requirements'!C13="","",'Technical Requirements'!C13)</f>
        <v/>
      </c>
      <c r="D28" s="41">
        <f>IF('Technical Requirements'!D13="","",'Technical Requirements'!D13)</f>
        <v/>
      </c>
      <c r="E28" s="41">
        <f>IF('Technical Requirements'!E13="","",'Technical Requirements'!E13)</f>
        <v/>
      </c>
      <c r="F28" s="40">
        <f>IF('Technical Requirements'!F13="","",'Technical Requirements'!F13)</f>
        <v/>
      </c>
      <c r="G28" s="41">
        <f>IF('Technical Requirements'!G13="","",'Technical Requirements'!G13)</f>
        <v/>
      </c>
    </row>
    <row r="29">
      <c r="A29" s="39">
        <f>IF('Technical Requirements'!A14="","",'Technical Requirements'!A14)</f>
        <v/>
      </c>
      <c r="B29" s="39">
        <f>IF('Technical Requirements'!B14="","",'Technical Requirements'!B14)</f>
        <v/>
      </c>
      <c r="C29" s="39">
        <f>IF('Technical Requirements'!C14="","",'Technical Requirements'!C14)</f>
        <v/>
      </c>
      <c r="D29" s="39">
        <f>IF('Technical Requirements'!D14="","",'Technical Requirements'!D14)</f>
        <v/>
      </c>
      <c r="E29" s="39">
        <f>IF('Technical Requirements'!E14="","",'Technical Requirements'!E14)</f>
        <v/>
      </c>
      <c r="F29" s="40">
        <f>IF('Technical Requirements'!F14="","",'Technical Requirements'!F14)</f>
        <v/>
      </c>
      <c r="G29" s="39">
        <f>IF('Technical Requirements'!G14="","",'Technical Requirements'!G14)</f>
        <v/>
      </c>
    </row>
    <row r="30">
      <c r="A30" s="41">
        <f>IF('Technical Requirements'!A15="","",'Technical Requirements'!A15)</f>
        <v/>
      </c>
      <c r="B30" s="41">
        <f>IF('Technical Requirements'!B15="","",'Technical Requirements'!B15)</f>
        <v/>
      </c>
      <c r="C30" s="41">
        <f>IF('Technical Requirements'!C15="","",'Technical Requirements'!C15)</f>
        <v/>
      </c>
      <c r="D30" s="41">
        <f>IF('Technical Requirements'!D15="","",'Technical Requirements'!D15)</f>
        <v/>
      </c>
      <c r="E30" s="41">
        <f>IF('Technical Requirements'!E15="","",'Technical Requirements'!E15)</f>
        <v/>
      </c>
      <c r="F30" s="40">
        <f>IF('Technical Requirements'!F15="","",'Technical Requirements'!F15)</f>
        <v/>
      </c>
      <c r="G30" s="41">
        <f>IF('Technical Requirements'!G15="","",'Technical Requirements'!G15)</f>
        <v/>
      </c>
    </row>
    <row r="31">
      <c r="A31" s="39">
        <f>IF('Technical Requirements'!A16="","",'Technical Requirements'!A16)</f>
        <v/>
      </c>
      <c r="B31" s="39">
        <f>IF('Technical Requirements'!B16="","",'Technical Requirements'!B16)</f>
        <v/>
      </c>
      <c r="C31" s="39">
        <f>IF('Technical Requirements'!C16="","",'Technical Requirements'!C16)</f>
        <v/>
      </c>
      <c r="D31" s="39">
        <f>IF('Technical Requirements'!D16="","",'Technical Requirements'!D16)</f>
        <v/>
      </c>
      <c r="E31" s="39">
        <f>IF('Technical Requirements'!E16="","",'Technical Requirements'!E16)</f>
        <v/>
      </c>
      <c r="F31" s="40">
        <f>IF('Technical Requirements'!F16="","",'Technical Requirements'!F16)</f>
        <v/>
      </c>
      <c r="G31" s="39">
        <f>IF('Technical Requirements'!G16="","",'Technical Requirements'!G16)</f>
        <v/>
      </c>
    </row>
    <row r="32">
      <c r="A32" s="41">
        <f>IF('Technical Requirements'!A17="","",'Technical Requirements'!A17)</f>
        <v/>
      </c>
      <c r="B32" s="41">
        <f>IF('Technical Requirements'!B17="","",'Technical Requirements'!B17)</f>
        <v/>
      </c>
      <c r="C32" s="41">
        <f>IF('Technical Requirements'!C17="","",'Technical Requirements'!C17)</f>
        <v/>
      </c>
      <c r="D32" s="41">
        <f>IF('Technical Requirements'!D17="","",'Technical Requirements'!D17)</f>
        <v/>
      </c>
      <c r="E32" s="41">
        <f>IF('Technical Requirements'!E17="","",'Technical Requirements'!E17)</f>
        <v/>
      </c>
      <c r="F32" s="40">
        <f>IF('Technical Requirements'!F17="","",'Technical Requirements'!F17)</f>
        <v/>
      </c>
      <c r="G32" s="41">
        <f>IF('Technical Requirements'!G17="","",'Technical Requirements'!G17)</f>
        <v/>
      </c>
    </row>
    <row r="33">
      <c r="A33" s="39">
        <f>IF('Technical Requirements'!A18="","",'Technical Requirements'!A18)</f>
        <v/>
      </c>
      <c r="B33" s="39">
        <f>IF('Technical Requirements'!B18="","",'Technical Requirements'!B18)</f>
        <v/>
      </c>
      <c r="C33" s="39">
        <f>IF('Technical Requirements'!C18="","",'Technical Requirements'!C18)</f>
        <v/>
      </c>
      <c r="D33" s="39">
        <f>IF('Technical Requirements'!D18="","",'Technical Requirements'!D18)</f>
        <v/>
      </c>
      <c r="E33" s="39">
        <f>IF('Technical Requirements'!E18="","",'Technical Requirements'!E18)</f>
        <v/>
      </c>
      <c r="F33" s="40">
        <f>IF('Technical Requirements'!F18="","",'Technical Requirements'!F18)</f>
        <v/>
      </c>
      <c r="G33" s="39">
        <f>IF('Technical Requirements'!G18="","",'Technical Requirements'!G18)</f>
        <v/>
      </c>
    </row>
    <row r="34">
      <c r="A34" s="41">
        <f>IF('Technical Requirements'!A19="","",'Technical Requirements'!A19)</f>
        <v/>
      </c>
      <c r="B34" s="41">
        <f>IF('Technical Requirements'!B19="","",'Technical Requirements'!B19)</f>
        <v/>
      </c>
      <c r="C34" s="41">
        <f>IF('Technical Requirements'!C19="","",'Technical Requirements'!C19)</f>
        <v/>
      </c>
      <c r="D34" s="41">
        <f>IF('Technical Requirements'!D19="","",'Technical Requirements'!D19)</f>
        <v/>
      </c>
      <c r="E34" s="41">
        <f>IF('Technical Requirements'!E19="","",'Technical Requirements'!E19)</f>
        <v/>
      </c>
      <c r="F34" s="40">
        <f>IF('Technical Requirements'!F19="","",'Technical Requirements'!F19)</f>
        <v/>
      </c>
      <c r="G34" s="41">
        <f>IF('Technical Requirements'!G19="","",'Technical Requirements'!G19)</f>
        <v/>
      </c>
    </row>
    <row r="35">
      <c r="A35" s="39">
        <f>IF('Technical Requirements'!A20="","",'Technical Requirements'!A20)</f>
        <v/>
      </c>
      <c r="B35" s="39">
        <f>IF('Technical Requirements'!B20="","",'Technical Requirements'!B20)</f>
        <v/>
      </c>
      <c r="C35" s="39">
        <f>IF('Technical Requirements'!C20="","",'Technical Requirements'!C20)</f>
        <v/>
      </c>
      <c r="D35" s="39">
        <f>IF('Technical Requirements'!D20="","",'Technical Requirements'!D20)</f>
        <v/>
      </c>
      <c r="E35" s="39">
        <f>IF('Technical Requirements'!E20="","",'Technical Requirements'!E20)</f>
        <v/>
      </c>
      <c r="F35" s="40">
        <f>IF('Technical Requirements'!F20="","",'Technical Requirements'!F20)</f>
        <v/>
      </c>
      <c r="G35" s="39">
        <f>IF('Technical Requirements'!G20="","",'Technical Requirements'!G20)</f>
        <v/>
      </c>
    </row>
    <row r="36">
      <c r="A36" s="41">
        <f>IF('Technical Requirements'!A21="","",'Technical Requirements'!A21)</f>
        <v/>
      </c>
      <c r="B36" s="41">
        <f>IF('Technical Requirements'!B21="","",'Technical Requirements'!B21)</f>
        <v/>
      </c>
      <c r="C36" s="41">
        <f>IF('Technical Requirements'!C21="","",'Technical Requirements'!C21)</f>
        <v/>
      </c>
      <c r="D36" s="41">
        <f>IF('Technical Requirements'!D21="","",'Technical Requirements'!D21)</f>
        <v/>
      </c>
      <c r="E36" s="41">
        <f>IF('Technical Requirements'!E21="","",'Technical Requirements'!E21)</f>
        <v/>
      </c>
      <c r="F36" s="40">
        <f>IF('Technical Requirements'!F21="","",'Technical Requirements'!F21)</f>
        <v/>
      </c>
      <c r="G36" s="41">
        <f>IF('Technical Requirements'!G21="","",'Technical Requirements'!G21)</f>
        <v/>
      </c>
    </row>
    <row r="37">
      <c r="A37" s="39">
        <f>IF('Security &amp; Compliance'!A2="","",'Security &amp; Compliance'!A2)</f>
        <v/>
      </c>
      <c r="B37" s="39">
        <f>IF('Security &amp; Compliance'!B2="","",'Security &amp; Compliance'!B2)</f>
        <v/>
      </c>
      <c r="C37" s="39">
        <f>IF('Security &amp; Compliance'!C2="","",'Security &amp; Compliance'!C2)</f>
        <v/>
      </c>
      <c r="D37" s="39">
        <f>IF('Security &amp; Compliance'!D2="","",'Security &amp; Compliance'!D2)</f>
        <v/>
      </c>
      <c r="E37" s="39">
        <f>IF('Security &amp; Compliance'!E2="","",'Security &amp; Compliance'!E2)</f>
        <v/>
      </c>
      <c r="F37" s="40">
        <f>IF('Security &amp; Compliance'!F2="","",'Security &amp; Compliance'!F2)</f>
        <v/>
      </c>
      <c r="G37" s="39">
        <f>IF('Security &amp; Compliance'!G2="","",'Security &amp; Compliance'!G2)</f>
        <v/>
      </c>
    </row>
    <row r="38">
      <c r="A38" s="41">
        <f>IF('Security &amp; Compliance'!A3="","",'Security &amp; Compliance'!A3)</f>
        <v/>
      </c>
      <c r="B38" s="41">
        <f>IF('Security &amp; Compliance'!B3="","",'Security &amp; Compliance'!B3)</f>
        <v/>
      </c>
      <c r="C38" s="41">
        <f>IF('Security &amp; Compliance'!C3="","",'Security &amp; Compliance'!C3)</f>
        <v/>
      </c>
      <c r="D38" s="41">
        <f>IF('Security &amp; Compliance'!D3="","",'Security &amp; Compliance'!D3)</f>
        <v/>
      </c>
      <c r="E38" s="41">
        <f>IF('Security &amp; Compliance'!E3="","",'Security &amp; Compliance'!E3)</f>
        <v/>
      </c>
      <c r="F38" s="40">
        <f>IF('Security &amp; Compliance'!F3="","",'Security &amp; Compliance'!F3)</f>
        <v/>
      </c>
      <c r="G38" s="41">
        <f>IF('Security &amp; Compliance'!G3="","",'Security &amp; Compliance'!G3)</f>
        <v/>
      </c>
    </row>
    <row r="39">
      <c r="A39" s="39">
        <f>IF('Security &amp; Compliance'!A4="","",'Security &amp; Compliance'!A4)</f>
        <v/>
      </c>
      <c r="B39" s="39">
        <f>IF('Security &amp; Compliance'!B4="","",'Security &amp; Compliance'!B4)</f>
        <v/>
      </c>
      <c r="C39" s="39">
        <f>IF('Security &amp; Compliance'!C4="","",'Security &amp; Compliance'!C4)</f>
        <v/>
      </c>
      <c r="D39" s="39">
        <f>IF('Security &amp; Compliance'!D4="","",'Security &amp; Compliance'!D4)</f>
        <v/>
      </c>
      <c r="E39" s="39">
        <f>IF('Security &amp; Compliance'!E4="","",'Security &amp; Compliance'!E4)</f>
        <v/>
      </c>
      <c r="F39" s="40">
        <f>IF('Security &amp; Compliance'!F4="","",'Security &amp; Compliance'!F4)</f>
        <v/>
      </c>
      <c r="G39" s="39">
        <f>IF('Security &amp; Compliance'!G4="","",'Security &amp; Compliance'!G4)</f>
        <v/>
      </c>
    </row>
    <row r="40">
      <c r="A40" s="41">
        <f>IF('Security &amp; Compliance'!A5="","",'Security &amp; Compliance'!A5)</f>
        <v/>
      </c>
      <c r="B40" s="41">
        <f>IF('Security &amp; Compliance'!B5="","",'Security &amp; Compliance'!B5)</f>
        <v/>
      </c>
      <c r="C40" s="41">
        <f>IF('Security &amp; Compliance'!C5="","",'Security &amp; Compliance'!C5)</f>
        <v/>
      </c>
      <c r="D40" s="41">
        <f>IF('Security &amp; Compliance'!D5="","",'Security &amp; Compliance'!D5)</f>
        <v/>
      </c>
      <c r="E40" s="41">
        <f>IF('Security &amp; Compliance'!E5="","",'Security &amp; Compliance'!E5)</f>
        <v/>
      </c>
      <c r="F40" s="40">
        <f>IF('Security &amp; Compliance'!F5="","",'Security &amp; Compliance'!F5)</f>
        <v/>
      </c>
      <c r="G40" s="41">
        <f>IF('Security &amp; Compliance'!G5="","",'Security &amp; Compliance'!G5)</f>
        <v/>
      </c>
    </row>
    <row r="41">
      <c r="A41" s="39">
        <f>IF('Security &amp; Compliance'!A6="","",'Security &amp; Compliance'!A6)</f>
        <v/>
      </c>
      <c r="B41" s="39">
        <f>IF('Security &amp; Compliance'!B6="","",'Security &amp; Compliance'!B6)</f>
        <v/>
      </c>
      <c r="C41" s="39">
        <f>IF('Security &amp; Compliance'!C6="","",'Security &amp; Compliance'!C6)</f>
        <v/>
      </c>
      <c r="D41" s="39">
        <f>IF('Security &amp; Compliance'!D6="","",'Security &amp; Compliance'!D6)</f>
        <v/>
      </c>
      <c r="E41" s="39">
        <f>IF('Security &amp; Compliance'!E6="","",'Security &amp; Compliance'!E6)</f>
        <v/>
      </c>
      <c r="F41" s="40">
        <f>IF('Security &amp; Compliance'!F6="","",'Security &amp; Compliance'!F6)</f>
        <v/>
      </c>
      <c r="G41" s="39">
        <f>IF('Security &amp; Compliance'!G6="","",'Security &amp; Compliance'!G6)</f>
        <v/>
      </c>
    </row>
    <row r="42">
      <c r="A42" s="41">
        <f>IF('Security &amp; Compliance'!A7="","",'Security &amp; Compliance'!A7)</f>
        <v/>
      </c>
      <c r="B42" s="41">
        <f>IF('Security &amp; Compliance'!B7="","",'Security &amp; Compliance'!B7)</f>
        <v/>
      </c>
      <c r="C42" s="41">
        <f>IF('Security &amp; Compliance'!C7="","",'Security &amp; Compliance'!C7)</f>
        <v/>
      </c>
      <c r="D42" s="41">
        <f>IF('Security &amp; Compliance'!D7="","",'Security &amp; Compliance'!D7)</f>
        <v/>
      </c>
      <c r="E42" s="41">
        <f>IF('Security &amp; Compliance'!E7="","",'Security &amp; Compliance'!E7)</f>
        <v/>
      </c>
      <c r="F42" s="40">
        <f>IF('Security &amp; Compliance'!F7="","",'Security &amp; Compliance'!F7)</f>
        <v/>
      </c>
      <c r="G42" s="41">
        <f>IF('Security &amp; Compliance'!G7="","",'Security &amp; Compliance'!G7)</f>
        <v/>
      </c>
    </row>
    <row r="43">
      <c r="A43" s="39">
        <f>IF('Security &amp; Compliance'!A8="","",'Security &amp; Compliance'!A8)</f>
        <v/>
      </c>
      <c r="B43" s="39">
        <f>IF('Security &amp; Compliance'!B8="","",'Security &amp; Compliance'!B8)</f>
        <v/>
      </c>
      <c r="C43" s="39">
        <f>IF('Security &amp; Compliance'!C8="","",'Security &amp; Compliance'!C8)</f>
        <v/>
      </c>
      <c r="D43" s="39">
        <f>IF('Security &amp; Compliance'!D8="","",'Security &amp; Compliance'!D8)</f>
        <v/>
      </c>
      <c r="E43" s="39">
        <f>IF('Security &amp; Compliance'!E8="","",'Security &amp; Compliance'!E8)</f>
        <v/>
      </c>
      <c r="F43" s="40">
        <f>IF('Security &amp; Compliance'!F8="","",'Security &amp; Compliance'!F8)</f>
        <v/>
      </c>
      <c r="G43" s="39">
        <f>IF('Security &amp; Compliance'!G8="","",'Security &amp; Compliance'!G8)</f>
        <v/>
      </c>
    </row>
    <row r="44">
      <c r="A44" s="41">
        <f>IF('Security &amp; Compliance'!A9="","",'Security &amp; Compliance'!A9)</f>
        <v/>
      </c>
      <c r="B44" s="41">
        <f>IF('Security &amp; Compliance'!B9="","",'Security &amp; Compliance'!B9)</f>
        <v/>
      </c>
      <c r="C44" s="41">
        <f>IF('Security &amp; Compliance'!C9="","",'Security &amp; Compliance'!C9)</f>
        <v/>
      </c>
      <c r="D44" s="41">
        <f>IF('Security &amp; Compliance'!D9="","",'Security &amp; Compliance'!D9)</f>
        <v/>
      </c>
      <c r="E44" s="41">
        <f>IF('Security &amp; Compliance'!E9="","",'Security &amp; Compliance'!E9)</f>
        <v/>
      </c>
      <c r="F44" s="40">
        <f>IF('Security &amp; Compliance'!F9="","",'Security &amp; Compliance'!F9)</f>
        <v/>
      </c>
      <c r="G44" s="41">
        <f>IF('Security &amp; Compliance'!G9="","",'Security &amp; Compliance'!G9)</f>
        <v/>
      </c>
    </row>
    <row r="45">
      <c r="A45" s="39">
        <f>IF('Security &amp; Compliance'!A10="","",'Security &amp; Compliance'!A10)</f>
        <v/>
      </c>
      <c r="B45" s="39">
        <f>IF('Security &amp; Compliance'!B10="","",'Security &amp; Compliance'!B10)</f>
        <v/>
      </c>
      <c r="C45" s="39">
        <f>IF('Security &amp; Compliance'!C10="","",'Security &amp; Compliance'!C10)</f>
        <v/>
      </c>
      <c r="D45" s="39">
        <f>IF('Security &amp; Compliance'!D10="","",'Security &amp; Compliance'!D10)</f>
        <v/>
      </c>
      <c r="E45" s="39">
        <f>IF('Security &amp; Compliance'!E10="","",'Security &amp; Compliance'!E10)</f>
        <v/>
      </c>
      <c r="F45" s="40">
        <f>IF('Security &amp; Compliance'!F10="","",'Security &amp; Compliance'!F10)</f>
        <v/>
      </c>
      <c r="G45" s="39">
        <f>IF('Security &amp; Compliance'!G10="","",'Security &amp; Compliance'!G10)</f>
        <v/>
      </c>
    </row>
    <row r="46">
      <c r="A46" s="41">
        <f>IF('Operations &amp; Support'!A2="","",'Operations &amp; Support'!A2)</f>
        <v/>
      </c>
      <c r="B46" s="41">
        <f>IF('Operations &amp; Support'!B2="","",'Operations &amp; Support'!B2)</f>
        <v/>
      </c>
      <c r="C46" s="41">
        <f>IF('Operations &amp; Support'!C2="","",'Operations &amp; Support'!C2)</f>
        <v/>
      </c>
      <c r="D46" s="41">
        <f>IF('Operations &amp; Support'!D2="","",'Operations &amp; Support'!D2)</f>
        <v/>
      </c>
      <c r="E46" s="41">
        <f>IF('Operations &amp; Support'!E2="","",'Operations &amp; Support'!E2)</f>
        <v/>
      </c>
      <c r="F46" s="40">
        <f>IF('Operations &amp; Support'!F2="","",'Operations &amp; Support'!F2)</f>
        <v/>
      </c>
      <c r="G46" s="41">
        <f>IF('Operations &amp; Support'!G2="","",'Operations &amp; Support'!G2)</f>
        <v/>
      </c>
    </row>
    <row r="47">
      <c r="A47" s="39">
        <f>IF('Operations &amp; Support'!A3="","",'Operations &amp; Support'!A3)</f>
        <v/>
      </c>
      <c r="B47" s="39">
        <f>IF('Operations &amp; Support'!B3="","",'Operations &amp; Support'!B3)</f>
        <v/>
      </c>
      <c r="C47" s="39">
        <f>IF('Operations &amp; Support'!C3="","",'Operations &amp; Support'!C3)</f>
        <v/>
      </c>
      <c r="D47" s="39">
        <f>IF('Operations &amp; Support'!D3="","",'Operations &amp; Support'!D3)</f>
        <v/>
      </c>
      <c r="E47" s="39">
        <f>IF('Operations &amp; Support'!E3="","",'Operations &amp; Support'!E3)</f>
        <v/>
      </c>
      <c r="F47" s="40">
        <f>IF('Operations &amp; Support'!F3="","",'Operations &amp; Support'!F3)</f>
        <v/>
      </c>
      <c r="G47" s="39">
        <f>IF('Operations &amp; Support'!G3="","",'Operations &amp; Support'!G3)</f>
        <v/>
      </c>
    </row>
    <row r="48">
      <c r="A48" s="41">
        <f>IF('Operations &amp; Support'!A4="","",'Operations &amp; Support'!A4)</f>
        <v/>
      </c>
      <c r="B48" s="41">
        <f>IF('Operations &amp; Support'!B4="","",'Operations &amp; Support'!B4)</f>
        <v/>
      </c>
      <c r="C48" s="41">
        <f>IF('Operations &amp; Support'!C4="","",'Operations &amp; Support'!C4)</f>
        <v/>
      </c>
      <c r="D48" s="41">
        <f>IF('Operations &amp; Support'!D4="","",'Operations &amp; Support'!D4)</f>
        <v/>
      </c>
      <c r="E48" s="41">
        <f>IF('Operations &amp; Support'!E4="","",'Operations &amp; Support'!E4)</f>
        <v/>
      </c>
      <c r="F48" s="40">
        <f>IF('Operations &amp; Support'!F4="","",'Operations &amp; Support'!F4)</f>
        <v/>
      </c>
      <c r="G48" s="41">
        <f>IF('Operations &amp; Support'!G4="","",'Operations &amp; Support'!G4)</f>
        <v/>
      </c>
    </row>
    <row r="49">
      <c r="A49" s="39">
        <f>IF('Operations &amp; Support'!A5="","",'Operations &amp; Support'!A5)</f>
        <v/>
      </c>
      <c r="B49" s="39">
        <f>IF('Operations &amp; Support'!B5="","",'Operations &amp; Support'!B5)</f>
        <v/>
      </c>
      <c r="C49" s="39">
        <f>IF('Operations &amp; Support'!C5="","",'Operations &amp; Support'!C5)</f>
        <v/>
      </c>
      <c r="D49" s="39">
        <f>IF('Operations &amp; Support'!D5="","",'Operations &amp; Support'!D5)</f>
        <v/>
      </c>
      <c r="E49" s="39">
        <f>IF('Operations &amp; Support'!E5="","",'Operations &amp; Support'!E5)</f>
        <v/>
      </c>
      <c r="F49" s="40">
        <f>IF('Operations &amp; Support'!F5="","",'Operations &amp; Support'!F5)</f>
        <v/>
      </c>
      <c r="G49" s="39">
        <f>IF('Operations &amp; Support'!G5="","",'Operations &amp; Support'!G5)</f>
        <v/>
      </c>
    </row>
    <row r="50">
      <c r="A50" s="41">
        <f>IF('Operations &amp; Support'!A6="","",'Operations &amp; Support'!A6)</f>
        <v/>
      </c>
      <c r="B50" s="41">
        <f>IF('Operations &amp; Support'!B6="","",'Operations &amp; Support'!B6)</f>
        <v/>
      </c>
      <c r="C50" s="41">
        <f>IF('Operations &amp; Support'!C6="","",'Operations &amp; Support'!C6)</f>
        <v/>
      </c>
      <c r="D50" s="41">
        <f>IF('Operations &amp; Support'!D6="","",'Operations &amp; Support'!D6)</f>
        <v/>
      </c>
      <c r="E50" s="41">
        <f>IF('Operations &amp; Support'!E6="","",'Operations &amp; Support'!E6)</f>
        <v/>
      </c>
      <c r="F50" s="40">
        <f>IF('Operations &amp; Support'!F6="","",'Operations &amp; Support'!F6)</f>
        <v/>
      </c>
      <c r="G50" s="41">
        <f>IF('Operations &amp; Support'!G6="","",'Operations &amp; Support'!G6)</f>
        <v/>
      </c>
    </row>
    <row r="51">
      <c r="A51" s="39">
        <f>IF('Operations &amp; Support'!A7="","",'Operations &amp; Support'!A7)</f>
        <v/>
      </c>
      <c r="B51" s="39">
        <f>IF('Operations &amp; Support'!B7="","",'Operations &amp; Support'!B7)</f>
        <v/>
      </c>
      <c r="C51" s="39">
        <f>IF('Operations &amp; Support'!C7="","",'Operations &amp; Support'!C7)</f>
        <v/>
      </c>
      <c r="D51" s="39">
        <f>IF('Operations &amp; Support'!D7="","",'Operations &amp; Support'!D7)</f>
        <v/>
      </c>
      <c r="E51" s="39">
        <f>IF('Operations &amp; Support'!E7="","",'Operations &amp; Support'!E7)</f>
        <v/>
      </c>
      <c r="F51" s="40">
        <f>IF('Operations &amp; Support'!F7="","",'Operations &amp; Support'!F7)</f>
        <v/>
      </c>
      <c r="G51" s="39">
        <f>IF('Operations &amp; Support'!G7="","",'Operations &amp; Support'!G7)</f>
        <v/>
      </c>
    </row>
    <row r="52">
      <c r="A52" s="41">
        <f>IF('Operations &amp; Support'!A8="","",'Operations &amp; Support'!A8)</f>
        <v/>
      </c>
      <c r="B52" s="41">
        <f>IF('Operations &amp; Support'!B8="","",'Operations &amp; Support'!B8)</f>
        <v/>
      </c>
      <c r="C52" s="41">
        <f>IF('Operations &amp; Support'!C8="","",'Operations &amp; Support'!C8)</f>
        <v/>
      </c>
      <c r="D52" s="41">
        <f>IF('Operations &amp; Support'!D8="","",'Operations &amp; Support'!D8)</f>
        <v/>
      </c>
      <c r="E52" s="41">
        <f>IF('Operations &amp; Support'!E8="","",'Operations &amp; Support'!E8)</f>
        <v/>
      </c>
      <c r="F52" s="40">
        <f>IF('Operations &amp; Support'!F8="","",'Operations &amp; Support'!F8)</f>
        <v/>
      </c>
      <c r="G52" s="41">
        <f>IF('Operations &amp; Support'!G8="","",'Operations &amp; Support'!G8)</f>
        <v/>
      </c>
    </row>
    <row r="53">
      <c r="A53" s="39">
        <f>IF('Operations &amp; Support'!A9="","",'Operations &amp; Support'!A9)</f>
        <v/>
      </c>
      <c r="B53" s="39">
        <f>IF('Operations &amp; Support'!B9="","",'Operations &amp; Support'!B9)</f>
        <v/>
      </c>
      <c r="C53" s="39">
        <f>IF('Operations &amp; Support'!C9="","",'Operations &amp; Support'!C9)</f>
        <v/>
      </c>
      <c r="D53" s="39">
        <f>IF('Operations &amp; Support'!D9="","",'Operations &amp; Support'!D9)</f>
        <v/>
      </c>
      <c r="E53" s="39">
        <f>IF('Operations &amp; Support'!E9="","",'Operations &amp; Support'!E9)</f>
        <v/>
      </c>
      <c r="F53" s="40">
        <f>IF('Operations &amp; Support'!F9="","",'Operations &amp; Support'!F9)</f>
        <v/>
      </c>
      <c r="G53" s="39">
        <f>IF('Operations &amp; Support'!G9="","",'Operations &amp; Support'!G9)</f>
        <v/>
      </c>
    </row>
    <row r="54">
      <c r="A54" s="41">
        <f>IF('Operations &amp; Support'!A10="","",'Operations &amp; Support'!A10)</f>
        <v/>
      </c>
      <c r="B54" s="41">
        <f>IF('Operations &amp; Support'!B10="","",'Operations &amp; Support'!B10)</f>
        <v/>
      </c>
      <c r="C54" s="41">
        <f>IF('Operations &amp; Support'!C10="","",'Operations &amp; Support'!C10)</f>
        <v/>
      </c>
      <c r="D54" s="41">
        <f>IF('Operations &amp; Support'!D10="","",'Operations &amp; Support'!D10)</f>
        <v/>
      </c>
      <c r="E54" s="41">
        <f>IF('Operations &amp; Support'!E10="","",'Operations &amp; Support'!E10)</f>
        <v/>
      </c>
      <c r="F54" s="40">
        <f>IF('Operations &amp; Support'!F10="","",'Operations &amp; Support'!F10)</f>
        <v/>
      </c>
      <c r="G54" s="41">
        <f>IF('Operations &amp; Support'!G10="","",'Operations &amp; Support'!G10)</f>
        <v/>
      </c>
    </row>
    <row r="55">
      <c r="A55" s="39">
        <f>IF('Operations &amp; Support'!A11="","",'Operations &amp; Support'!A11)</f>
        <v/>
      </c>
      <c r="B55" s="39">
        <f>IF('Operations &amp; Support'!B11="","",'Operations &amp; Support'!B11)</f>
        <v/>
      </c>
      <c r="C55" s="39">
        <f>IF('Operations &amp; Support'!C11="","",'Operations &amp; Support'!C11)</f>
        <v/>
      </c>
      <c r="D55" s="39">
        <f>IF('Operations &amp; Support'!D11="","",'Operations &amp; Support'!D11)</f>
        <v/>
      </c>
      <c r="E55" s="39">
        <f>IF('Operations &amp; Support'!E11="","",'Operations &amp; Support'!E11)</f>
        <v/>
      </c>
      <c r="F55" s="40">
        <f>IF('Operations &amp; Support'!F11="","",'Operations &amp; Support'!F11)</f>
        <v/>
      </c>
      <c r="G55" s="39">
        <f>IF('Operations &amp; Support'!G11="","",'Operations &amp; Support'!G11)</f>
        <v/>
      </c>
    </row>
    <row r="56">
      <c r="A56" s="41">
        <f>IF('Implementation Planning'!A2="","",'Implementation Planning'!A2)</f>
        <v/>
      </c>
      <c r="B56" s="41">
        <f>IF('Implementation Planning'!B2="","",'Implementation Planning'!B2)</f>
        <v/>
      </c>
      <c r="C56" s="41">
        <f>IF('Implementation Planning'!C2="","",'Implementation Planning'!C2)</f>
        <v/>
      </c>
      <c r="D56" s="41">
        <f>IF('Implementation Planning'!D2="","",'Implementation Planning'!D2)</f>
        <v/>
      </c>
      <c r="E56" s="41">
        <f>IF('Implementation Planning'!E2="","",'Implementation Planning'!E2)</f>
        <v/>
      </c>
      <c r="F56" s="40">
        <f>IF('Implementation Planning'!F2="","",'Implementation Planning'!F2)</f>
        <v/>
      </c>
      <c r="G56" s="41">
        <f>IF('Implementation Planning'!G2="","",'Implementation Planning'!G2)</f>
        <v/>
      </c>
    </row>
    <row r="57">
      <c r="A57" s="39">
        <f>IF('Implementation Planning'!A3="","",'Implementation Planning'!A3)</f>
        <v/>
      </c>
      <c r="B57" s="39">
        <f>IF('Implementation Planning'!B3="","",'Implementation Planning'!B3)</f>
        <v/>
      </c>
      <c r="C57" s="39">
        <f>IF('Implementation Planning'!C3="","",'Implementation Planning'!C3)</f>
        <v/>
      </c>
      <c r="D57" s="39">
        <f>IF('Implementation Planning'!D3="","",'Implementation Planning'!D3)</f>
        <v/>
      </c>
      <c r="E57" s="39">
        <f>IF('Implementation Planning'!E3="","",'Implementation Planning'!E3)</f>
        <v/>
      </c>
      <c r="F57" s="40">
        <f>IF('Implementation Planning'!F3="","",'Implementation Planning'!F3)</f>
        <v/>
      </c>
      <c r="G57" s="39">
        <f>IF('Implementation Planning'!G3="","",'Implementation Planning'!G3)</f>
        <v/>
      </c>
    </row>
    <row r="58">
      <c r="A58" s="41">
        <f>IF('Implementation Planning'!A4="","",'Implementation Planning'!A4)</f>
        <v/>
      </c>
      <c r="B58" s="41">
        <f>IF('Implementation Planning'!B4="","",'Implementation Planning'!B4)</f>
        <v/>
      </c>
      <c r="C58" s="41">
        <f>IF('Implementation Planning'!C4="","",'Implementation Planning'!C4)</f>
        <v/>
      </c>
      <c r="D58" s="41">
        <f>IF('Implementation Planning'!D4="","",'Implementation Planning'!D4)</f>
        <v/>
      </c>
      <c r="E58" s="41">
        <f>IF('Implementation Planning'!E4="","",'Implementation Planning'!E4)</f>
        <v/>
      </c>
      <c r="F58" s="40">
        <f>IF('Implementation Planning'!F4="","",'Implementation Planning'!F4)</f>
        <v/>
      </c>
      <c r="G58" s="41">
        <f>IF('Implementation Planning'!G4="","",'Implementation Planning'!G4)</f>
        <v/>
      </c>
    </row>
    <row r="59">
      <c r="A59" s="39">
        <f>IF('Implementation Planning'!A5="","",'Implementation Planning'!A5)</f>
        <v/>
      </c>
      <c r="B59" s="39">
        <f>IF('Implementation Planning'!B5="","",'Implementation Planning'!B5)</f>
        <v/>
      </c>
      <c r="C59" s="39">
        <f>IF('Implementation Planning'!C5="","",'Implementation Planning'!C5)</f>
        <v/>
      </c>
      <c r="D59" s="39">
        <f>IF('Implementation Planning'!D5="","",'Implementation Planning'!D5)</f>
        <v/>
      </c>
      <c r="E59" s="39">
        <f>IF('Implementation Planning'!E5="","",'Implementation Planning'!E5)</f>
        <v/>
      </c>
      <c r="F59" s="40">
        <f>IF('Implementation Planning'!F5="","",'Implementation Planning'!F5)</f>
        <v/>
      </c>
      <c r="G59" s="39">
        <f>IF('Implementation Planning'!G5="","",'Implementation Planning'!G5)</f>
        <v/>
      </c>
    </row>
    <row r="60">
      <c r="A60" s="41">
        <f>IF('Implementation Planning'!A6="","",'Implementation Planning'!A6)</f>
        <v/>
      </c>
      <c r="B60" s="41">
        <f>IF('Implementation Planning'!B6="","",'Implementation Planning'!B6)</f>
        <v/>
      </c>
      <c r="C60" s="41">
        <f>IF('Implementation Planning'!C6="","",'Implementation Planning'!C6)</f>
        <v/>
      </c>
      <c r="D60" s="41">
        <f>IF('Implementation Planning'!D6="","",'Implementation Planning'!D6)</f>
        <v/>
      </c>
      <c r="E60" s="41">
        <f>IF('Implementation Planning'!E6="","",'Implementation Planning'!E6)</f>
        <v/>
      </c>
      <c r="F60" s="40">
        <f>IF('Implementation Planning'!F6="","",'Implementation Planning'!F6)</f>
        <v/>
      </c>
      <c r="G60" s="41">
        <f>IF('Implementation Planning'!G6="","",'Implementation Planning'!G6)</f>
        <v/>
      </c>
    </row>
    <row r="61">
      <c r="A61" s="39">
        <f>IF('Implementation Planning'!A7="","",'Implementation Planning'!A7)</f>
        <v/>
      </c>
      <c r="B61" s="39">
        <f>IF('Implementation Planning'!B7="","",'Implementation Planning'!B7)</f>
        <v/>
      </c>
      <c r="C61" s="39">
        <f>IF('Implementation Planning'!C7="","",'Implementation Planning'!C7)</f>
        <v/>
      </c>
      <c r="D61" s="39">
        <f>IF('Implementation Planning'!D7="","",'Implementation Planning'!D7)</f>
        <v/>
      </c>
      <c r="E61" s="39">
        <f>IF('Implementation Planning'!E7="","",'Implementation Planning'!E7)</f>
        <v/>
      </c>
      <c r="F61" s="40">
        <f>IF('Implementation Planning'!F7="","",'Implementation Planning'!F7)</f>
        <v/>
      </c>
      <c r="G61" s="39">
        <f>IF('Implementation Planning'!G7="","",'Implementation Planning'!G7)</f>
        <v/>
      </c>
    </row>
    <row r="62">
      <c r="A62" s="41">
        <f>IF('Implementation Planning'!A8="","",'Implementation Planning'!A8)</f>
        <v/>
      </c>
      <c r="B62" s="41">
        <f>IF('Implementation Planning'!B8="","",'Implementation Planning'!B8)</f>
        <v/>
      </c>
      <c r="C62" s="41">
        <f>IF('Implementation Planning'!C8="","",'Implementation Planning'!C8)</f>
        <v/>
      </c>
      <c r="D62" s="41">
        <f>IF('Implementation Planning'!D8="","",'Implementation Planning'!D8)</f>
        <v/>
      </c>
      <c r="E62" s="41">
        <f>IF('Implementation Planning'!E8="","",'Implementation Planning'!E8)</f>
        <v/>
      </c>
      <c r="F62" s="40">
        <f>IF('Implementation Planning'!F8="","",'Implementation Planning'!F8)</f>
        <v/>
      </c>
      <c r="G62" s="41">
        <f>IF('Implementation Planning'!G8="","",'Implementation Planning'!G8)</f>
        <v/>
      </c>
    </row>
    <row r="63">
      <c r="A63" s="39">
        <f>IF('Implementation Planning'!A9="","",'Implementation Planning'!A9)</f>
        <v/>
      </c>
      <c r="B63" s="39">
        <f>IF('Implementation Planning'!B9="","",'Implementation Planning'!B9)</f>
        <v/>
      </c>
      <c r="C63" s="39">
        <f>IF('Implementation Planning'!C9="","",'Implementation Planning'!C9)</f>
        <v/>
      </c>
      <c r="D63" s="39">
        <f>IF('Implementation Planning'!D9="","",'Implementation Planning'!D9)</f>
        <v/>
      </c>
      <c r="E63" s="39">
        <f>IF('Implementation Planning'!E9="","",'Implementation Planning'!E9)</f>
        <v/>
      </c>
      <c r="F63" s="40">
        <f>IF('Implementation Planning'!F9="","",'Implementation Planning'!F9)</f>
        <v/>
      </c>
      <c r="G63" s="39">
        <f>IF('Implementation Planning'!G9="","",'Implementation Planning'!G9)</f>
        <v/>
      </c>
    </row>
    <row r="64">
      <c r="A64" s="41">
        <f>IF('Implementation Planning'!A10="","",'Implementation Planning'!A10)</f>
        <v/>
      </c>
      <c r="B64" s="41">
        <f>IF('Implementation Planning'!B10="","",'Implementation Planning'!B10)</f>
        <v/>
      </c>
      <c r="C64" s="41">
        <f>IF('Implementation Planning'!C10="","",'Implementation Planning'!C10)</f>
        <v/>
      </c>
      <c r="D64" s="41">
        <f>IF('Implementation Planning'!D10="","",'Implementation Planning'!D10)</f>
        <v/>
      </c>
      <c r="E64" s="41">
        <f>IF('Implementation Planning'!E10="","",'Implementation Planning'!E10)</f>
        <v/>
      </c>
      <c r="F64" s="40">
        <f>IF('Implementation Planning'!F10="","",'Implementation Planning'!F10)</f>
        <v/>
      </c>
      <c r="G64" s="41">
        <f>IF('Implementation Planning'!G10="","",'Implementation Planning'!G10)</f>
        <v/>
      </c>
    </row>
    <row r="65">
      <c r="A65" s="39">
        <f>IF('Implementation Planning'!A11="","",'Implementation Planning'!A11)</f>
        <v/>
      </c>
      <c r="B65" s="39">
        <f>IF('Implementation Planning'!B11="","",'Implementation Planning'!B11)</f>
        <v/>
      </c>
      <c r="C65" s="39">
        <f>IF('Implementation Planning'!C11="","",'Implementation Planning'!C11)</f>
        <v/>
      </c>
      <c r="D65" s="39">
        <f>IF('Implementation Planning'!D11="","",'Implementation Planning'!D11)</f>
        <v/>
      </c>
      <c r="E65" s="39">
        <f>IF('Implementation Planning'!E11="","",'Implementation Planning'!E11)</f>
        <v/>
      </c>
      <c r="F65" s="40">
        <f>IF('Implementation Planning'!F11="","",'Implementation Planning'!F11)</f>
        <v/>
      </c>
      <c r="G65" s="39">
        <f>IF('Implementation Planning'!G11="","",'Implementation Planning'!G11)</f>
        <v/>
      </c>
    </row>
    <row r="66">
      <c r="A66" s="41">
        <f>IF('Risk &amp; Constraints'!A2="","",'Risk &amp; Constraints'!A2)</f>
        <v/>
      </c>
      <c r="B66" s="41">
        <f>IF('Risk &amp; Constraints'!B2="","",'Risk &amp; Constraints'!B2)</f>
        <v/>
      </c>
      <c r="C66" s="41">
        <f>IF('Risk &amp; Constraints'!C2="","",'Risk &amp; Constraints'!C2)</f>
        <v/>
      </c>
      <c r="D66" s="41">
        <f>IF('Risk &amp; Constraints'!D2="","",'Risk &amp; Constraints'!D2)</f>
        <v/>
      </c>
      <c r="E66" s="41">
        <f>IF('Risk &amp; Constraints'!E2="","",'Risk &amp; Constraints'!E2)</f>
        <v/>
      </c>
      <c r="F66" s="40">
        <f>IF('Risk &amp; Constraints'!F2="","",'Risk &amp; Constraints'!F2)</f>
        <v/>
      </c>
      <c r="G66" s="41">
        <f>IF('Risk &amp; Constraints'!G2="","",'Risk &amp; Constraints'!G2)</f>
        <v/>
      </c>
    </row>
    <row r="67">
      <c r="A67" s="39">
        <f>IF('Risk &amp; Constraints'!A3="","",'Risk &amp; Constraints'!A3)</f>
        <v/>
      </c>
      <c r="B67" s="39">
        <f>IF('Risk &amp; Constraints'!B3="","",'Risk &amp; Constraints'!B3)</f>
        <v/>
      </c>
      <c r="C67" s="39">
        <f>IF('Risk &amp; Constraints'!C3="","",'Risk &amp; Constraints'!C3)</f>
        <v/>
      </c>
      <c r="D67" s="39">
        <f>IF('Risk &amp; Constraints'!D3="","",'Risk &amp; Constraints'!D3)</f>
        <v/>
      </c>
      <c r="E67" s="39">
        <f>IF('Risk &amp; Constraints'!E3="","",'Risk &amp; Constraints'!E3)</f>
        <v/>
      </c>
      <c r="F67" s="40">
        <f>IF('Risk &amp; Constraints'!F3="","",'Risk &amp; Constraints'!F3)</f>
        <v/>
      </c>
      <c r="G67" s="39">
        <f>IF('Risk &amp; Constraints'!G3="","",'Risk &amp; Constraints'!G3)</f>
        <v/>
      </c>
    </row>
    <row r="68">
      <c r="A68" s="41">
        <f>IF('Risk &amp; Constraints'!A4="","",'Risk &amp; Constraints'!A4)</f>
        <v/>
      </c>
      <c r="B68" s="41">
        <f>IF('Risk &amp; Constraints'!B4="","",'Risk &amp; Constraints'!B4)</f>
        <v/>
      </c>
      <c r="C68" s="41">
        <f>IF('Risk &amp; Constraints'!C4="","",'Risk &amp; Constraints'!C4)</f>
        <v/>
      </c>
      <c r="D68" s="41">
        <f>IF('Risk &amp; Constraints'!D4="","",'Risk &amp; Constraints'!D4)</f>
        <v/>
      </c>
      <c r="E68" s="41">
        <f>IF('Risk &amp; Constraints'!E4="","",'Risk &amp; Constraints'!E4)</f>
        <v/>
      </c>
      <c r="F68" s="40">
        <f>IF('Risk &amp; Constraints'!F4="","",'Risk &amp; Constraints'!F4)</f>
        <v/>
      </c>
      <c r="G68" s="41">
        <f>IF('Risk &amp; Constraints'!G4="","",'Risk &amp; Constraints'!G4)</f>
        <v/>
      </c>
    </row>
    <row r="69">
      <c r="A69" s="39">
        <f>IF('Risk &amp; Constraints'!A5="","",'Risk &amp; Constraints'!A5)</f>
        <v/>
      </c>
      <c r="B69" s="39">
        <f>IF('Risk &amp; Constraints'!B5="","",'Risk &amp; Constraints'!B5)</f>
        <v/>
      </c>
      <c r="C69" s="39">
        <f>IF('Risk &amp; Constraints'!C5="","",'Risk &amp; Constraints'!C5)</f>
        <v/>
      </c>
      <c r="D69" s="39">
        <f>IF('Risk &amp; Constraints'!D5="","",'Risk &amp; Constraints'!D5)</f>
        <v/>
      </c>
      <c r="E69" s="39">
        <f>IF('Risk &amp; Constraints'!E5="","",'Risk &amp; Constraints'!E5)</f>
        <v/>
      </c>
      <c r="F69" s="40">
        <f>IF('Risk &amp; Constraints'!F5="","",'Risk &amp; Constraints'!F5)</f>
        <v/>
      </c>
      <c r="G69" s="39">
        <f>IF('Risk &amp; Constraints'!G5="","",'Risk &amp; Constraints'!G5)</f>
        <v/>
      </c>
    </row>
    <row r="70">
      <c r="A70" s="41">
        <f>IF('Risk &amp; Constraints'!A6="","",'Risk &amp; Constraints'!A6)</f>
        <v/>
      </c>
      <c r="B70" s="41">
        <f>IF('Risk &amp; Constraints'!B6="","",'Risk &amp; Constraints'!B6)</f>
        <v/>
      </c>
      <c r="C70" s="41">
        <f>IF('Risk &amp; Constraints'!C6="","",'Risk &amp; Constraints'!C6)</f>
        <v/>
      </c>
      <c r="D70" s="41">
        <f>IF('Risk &amp; Constraints'!D6="","",'Risk &amp; Constraints'!D6)</f>
        <v/>
      </c>
      <c r="E70" s="41">
        <f>IF('Risk &amp; Constraints'!E6="","",'Risk &amp; Constraints'!E6)</f>
        <v/>
      </c>
      <c r="F70" s="40">
        <f>IF('Risk &amp; Constraints'!F6="","",'Risk &amp; Constraints'!F6)</f>
        <v/>
      </c>
      <c r="G70" s="41">
        <f>IF('Risk &amp; Constraints'!G6="","",'Risk &amp; Constraints'!G6)</f>
        <v/>
      </c>
    </row>
    <row r="71">
      <c r="A71" s="39">
        <f>IF('Risk &amp; Constraints'!A7="","",'Risk &amp; Constraints'!A7)</f>
        <v/>
      </c>
      <c r="B71" s="39">
        <f>IF('Risk &amp; Constraints'!B7="","",'Risk &amp; Constraints'!B7)</f>
        <v/>
      </c>
      <c r="C71" s="39">
        <f>IF('Risk &amp; Constraints'!C7="","",'Risk &amp; Constraints'!C7)</f>
        <v/>
      </c>
      <c r="D71" s="39">
        <f>IF('Risk &amp; Constraints'!D7="","",'Risk &amp; Constraints'!D7)</f>
        <v/>
      </c>
      <c r="E71" s="39">
        <f>IF('Risk &amp; Constraints'!E7="","",'Risk &amp; Constraints'!E7)</f>
        <v/>
      </c>
      <c r="F71" s="40">
        <f>IF('Risk &amp; Constraints'!F7="","",'Risk &amp; Constraints'!F7)</f>
        <v/>
      </c>
      <c r="G71" s="39">
        <f>IF('Risk &amp; Constraints'!G7="","",'Risk &amp; Constraints'!G7)</f>
        <v/>
      </c>
    </row>
    <row r="72">
      <c r="A72" s="41">
        <f>IF('Risk &amp; Constraints'!A8="","",'Risk &amp; Constraints'!A8)</f>
        <v/>
      </c>
      <c r="B72" s="41">
        <f>IF('Risk &amp; Constraints'!B8="","",'Risk &amp; Constraints'!B8)</f>
        <v/>
      </c>
      <c r="C72" s="41">
        <f>IF('Risk &amp; Constraints'!C8="","",'Risk &amp; Constraints'!C8)</f>
        <v/>
      </c>
      <c r="D72" s="41">
        <f>IF('Risk &amp; Constraints'!D8="","",'Risk &amp; Constraints'!D8)</f>
        <v/>
      </c>
      <c r="E72" s="41">
        <f>IF('Risk &amp; Constraints'!E8="","",'Risk &amp; Constraints'!E8)</f>
        <v/>
      </c>
      <c r="F72" s="40">
        <f>IF('Risk &amp; Constraints'!F8="","",'Risk &amp; Constraints'!F8)</f>
        <v/>
      </c>
      <c r="G72" s="41">
        <f>IF('Risk &amp; Constraints'!G8="","",'Risk &amp; Constraints'!G8)</f>
        <v/>
      </c>
    </row>
    <row r="73">
      <c r="A73" s="39">
        <f>IF('Risk &amp; Constraints'!A9="","",'Risk &amp; Constraints'!A9)</f>
        <v/>
      </c>
      <c r="B73" s="39">
        <f>IF('Risk &amp; Constraints'!B9="","",'Risk &amp; Constraints'!B9)</f>
        <v/>
      </c>
      <c r="C73" s="39">
        <f>IF('Risk &amp; Constraints'!C9="","",'Risk &amp; Constraints'!C9)</f>
        <v/>
      </c>
      <c r="D73" s="39">
        <f>IF('Risk &amp; Constraints'!D9="","",'Risk &amp; Constraints'!D9)</f>
        <v/>
      </c>
      <c r="E73" s="39">
        <f>IF('Risk &amp; Constraints'!E9="","",'Risk &amp; Constraints'!E9)</f>
        <v/>
      </c>
      <c r="F73" s="40">
        <f>IF('Risk &amp; Constraints'!F9="","",'Risk &amp; Constraints'!F9)</f>
        <v/>
      </c>
      <c r="G73" s="39">
        <f>IF('Risk &amp; Constraints'!G9="","",'Risk &amp; Constraints'!G9)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25" customWidth="1" min="3" max="3"/>
    <col width="50" customWidth="1" min="4" max="4"/>
    <col width="40" customWidth="1" min="5" max="5"/>
    <col width="40" customWidth="1" min="6" max="6"/>
    <col width="30" customWidth="1" min="7" max="7"/>
  </cols>
  <sheetData>
    <row r="1" ht="32" customHeight="1">
      <c r="A1" s="38" t="inlineStr">
        <is>
          <t>Question ID</t>
        </is>
      </c>
      <c r="B1" s="38" t="inlineStr">
        <is>
          <t>Category</t>
        </is>
      </c>
      <c r="C1" s="38" t="inlineStr">
        <is>
          <t>Sub-Category</t>
        </is>
      </c>
      <c r="D1" s="38" t="inlineStr">
        <is>
          <t>Question</t>
        </is>
      </c>
      <c r="E1" s="38" t="inlineStr">
        <is>
          <t>Guidance</t>
        </is>
      </c>
      <c r="F1" s="38" t="inlineStr">
        <is>
          <t>Customer Response</t>
        </is>
      </c>
      <c r="G1" s="38" t="inlineStr">
        <is>
          <t>Notes</t>
        </is>
      </c>
    </row>
    <row r="2">
      <c r="A2" s="41" t="inlineStr">
        <is>
          <t>BUS-001</t>
        </is>
      </c>
      <c r="B2" s="41" t="inlineStr">
        <is>
          <t>Business Requirements</t>
        </is>
      </c>
      <c r="C2" s="41" t="inlineStr">
        <is>
          <t>Project Information</t>
        </is>
      </c>
      <c r="D2" s="41" t="inlineStr">
        <is>
          <t>What is the name of your Omniverse collaboration project?</t>
        </is>
      </c>
      <c r="E2" s="41" t="inlineStr">
        <is>
          <t>Provide internal project reference name</t>
        </is>
      </c>
      <c r="F2" s="40" t="n"/>
      <c r="G2" s="41" t="inlineStr">
        <is>
          <t>Internal project reference for tracking</t>
        </is>
      </c>
    </row>
    <row r="3">
      <c r="A3" s="39" t="inlineStr">
        <is>
          <t>BUS-002</t>
        </is>
      </c>
      <c r="B3" s="39" t="inlineStr">
        <is>
          <t>Business Requirements</t>
        </is>
      </c>
      <c r="C3" s="39" t="inlineStr">
        <is>
          <t>Project Information</t>
        </is>
      </c>
      <c r="D3" s="39" t="inlineStr">
        <is>
          <t>Who is the primary stakeholder for this Omniverse project?</t>
        </is>
      </c>
      <c r="E3" s="39" t="inlineStr">
        <is>
          <t>Name, role, and decision-making authority</t>
        </is>
      </c>
      <c r="F3" s="40" t="n"/>
      <c r="G3" s="39" t="inlineStr">
        <is>
          <t>Main point of contact and decision authority</t>
        </is>
      </c>
    </row>
    <row r="4">
      <c r="A4" s="41" t="inlineStr">
        <is>
          <t>BUS-003</t>
        </is>
      </c>
      <c r="B4" s="41" t="inlineStr">
        <is>
          <t>Business Requirements</t>
        </is>
      </c>
      <c r="C4" s="41" t="inlineStr">
        <is>
          <t>Business Drivers</t>
        </is>
      </c>
      <c r="D4" s="41" t="inlineStr">
        <is>
          <t>What 3D design and collaboration challenges are you trying to solve?</t>
        </is>
      </c>
      <c r="E4" s="41" t="inlineStr">
        <is>
          <t>Common challenges: Design tool silos, File conversion errors, Slow rendering times, Remote collaboration limitations, Version control issues, Review bottlenecks</t>
        </is>
      </c>
      <c r="F4" s="40" t="n"/>
      <c r="G4" s="41" t="inlineStr">
        <is>
          <t>Primary business driver for Omniverse investment</t>
        </is>
      </c>
    </row>
    <row r="5">
      <c r="A5" s="39" t="inlineStr">
        <is>
          <t>BUS-004</t>
        </is>
      </c>
      <c r="B5" s="39" t="inlineStr">
        <is>
          <t>Business Requirements</t>
        </is>
      </c>
      <c r="C5" s="39" t="inlineStr">
        <is>
          <t>Current State</t>
        </is>
      </c>
      <c r="D5" s="39" t="inlineStr">
        <is>
          <t>What is your current 3D design and collaboration workflow?</t>
        </is>
      </c>
      <c r="E5" s="39" t="inlineStr">
        <is>
          <t>Describe design tools, file sharing methods, rendering processes, and pain points</t>
        </is>
      </c>
      <c r="F5" s="40" t="n"/>
      <c r="G5" s="39" t="inlineStr">
        <is>
          <t>Current state baseline assessment</t>
        </is>
      </c>
    </row>
    <row r="6">
      <c r="A6" s="41" t="inlineStr">
        <is>
          <t>BUS-005</t>
        </is>
      </c>
      <c r="B6" s="41" t="inlineStr">
        <is>
          <t>Business Requirements</t>
        </is>
      </c>
      <c r="C6" s="41" t="inlineStr">
        <is>
          <t>Design Team</t>
        </is>
      </c>
      <c r="D6" s="41" t="inlineStr">
        <is>
          <t>How many designers engineers and artists will use Omniverse?</t>
        </is>
      </c>
      <c r="E6" s="41" t="inlineStr">
        <is>
          <t>Typical ranges: 10-25, 25-50, 50-100, 100+</t>
        </is>
      </c>
      <c r="F6" s="40" t="n"/>
      <c r="G6" s="41" t="inlineStr">
        <is>
          <t>User base sizing for capacity planning</t>
        </is>
      </c>
    </row>
    <row r="7">
      <c r="A7" s="39" t="inlineStr">
        <is>
          <t>BUS-006</t>
        </is>
      </c>
      <c r="B7" s="39" t="inlineStr">
        <is>
          <t>Business Requirements</t>
        </is>
      </c>
      <c r="C7" s="39" t="inlineStr">
        <is>
          <t>Use Cases</t>
        </is>
      </c>
      <c r="D7" s="39" t="inlineStr">
        <is>
          <t>What will you use Omniverse for?</t>
        </is>
      </c>
      <c r="E7" s="39" t="inlineStr">
        <is>
          <t>Common use cases: Product design collaboration, Architectural visualization, Manufacturing digital twins, Film and media production, Marketing visualization, Training simulation</t>
        </is>
      </c>
      <c r="F7" s="40" t="n"/>
      <c r="G7" s="39" t="inlineStr">
        <is>
          <t>Primary use case classification</t>
        </is>
      </c>
    </row>
    <row r="8">
      <c r="A8" s="41" t="inlineStr">
        <is>
          <t>BUS-007</t>
        </is>
      </c>
      <c r="B8" s="41" t="inlineStr">
        <is>
          <t>Business Requirements</t>
        </is>
      </c>
      <c r="C8" s="41" t="inlineStr">
        <is>
          <t>Objectives</t>
        </is>
      </c>
      <c r="D8" s="41" t="inlineStr">
        <is>
          <t>What are your primary goals for implementing Omniverse?</t>
        </is>
      </c>
      <c r="E8" s="41" t="inlineStr">
        <is>
          <t>Common goals: Enable real-time collaboration, Reduce rendering time, Eliminate file conversions, Support remote teams, Create photorealistic visualizations, Build digital twins</t>
        </is>
      </c>
      <c r="F8" s="40" t="n"/>
      <c r="G8" s="41" t="inlineStr">
        <is>
          <t>Business objectives and expected outcomes</t>
        </is>
      </c>
    </row>
    <row r="9">
      <c r="A9" s="39" t="inlineStr">
        <is>
          <t>BUS-008</t>
        </is>
      </c>
      <c r="B9" s="39" t="inlineStr">
        <is>
          <t>Business Requirements</t>
        </is>
      </c>
      <c r="C9" s="39" t="inlineStr">
        <is>
          <t>Success Criteria</t>
        </is>
      </c>
      <c r="D9" s="39" t="inlineStr">
        <is>
          <t>How will you measure Omniverse success?</t>
        </is>
      </c>
      <c r="E9" s="39" t="inlineStr">
        <is>
          <t>Define KPIs: design iteration speed, rendering time reduction, collaboration efficiency, file conversion elimination, project delivery time</t>
        </is>
      </c>
      <c r="F9" s="40" t="n"/>
      <c r="G9" s="39" t="inlineStr">
        <is>
          <t>Success metrics for project evaluation</t>
        </is>
      </c>
    </row>
    <row r="10">
      <c r="A10" s="41" t="inlineStr">
        <is>
          <t>BUS-009</t>
        </is>
      </c>
      <c r="B10" s="41" t="inlineStr">
        <is>
          <t>Business Requirements</t>
        </is>
      </c>
      <c r="C10" s="41" t="inlineStr">
        <is>
          <t>Timeline</t>
        </is>
      </c>
      <c r="D10" s="41" t="inlineStr">
        <is>
          <t>What is your expected timeline for Omniverse deployment?</t>
        </is>
      </c>
      <c r="E10" s="41" t="inlineStr">
        <is>
          <t>Typical ranges: 0-3 months, 3-6 months, 6-12 months, 12+ months</t>
        </is>
      </c>
      <c r="F10" s="40" t="n"/>
      <c r="G10" s="41" t="inlineStr">
        <is>
          <t>Project timeline expectations and constraints</t>
        </is>
      </c>
    </row>
    <row r="11">
      <c r="A11" s="39" t="inlineStr">
        <is>
          <t>BUS-010</t>
        </is>
      </c>
      <c r="B11" s="39" t="inlineStr">
        <is>
          <t>Business Requirements</t>
        </is>
      </c>
      <c r="C11" s="39" t="inlineStr">
        <is>
          <t>Budget</t>
        </is>
      </c>
      <c r="D11" s="39" t="inlineStr">
        <is>
          <t>What is your approved budget range for Omniverse infrastructure?</t>
        </is>
      </c>
      <c r="E11" s="39" t="inlineStr">
        <is>
          <t>Common ranges: $250K-500K, $500K-1M, $1M-2M, $2M+. Include workstations, server, software, support</t>
        </is>
      </c>
      <c r="F11" s="40" t="n"/>
      <c r="G11" s="39" t="inlineStr">
        <is>
          <t>Budget constraints for solution sizing</t>
        </is>
      </c>
    </row>
    <row r="12">
      <c r="A12" s="41" t="inlineStr">
        <is>
          <t>BUS-011</t>
        </is>
      </c>
      <c r="B12" s="41" t="inlineStr">
        <is>
          <t>Business Requirements</t>
        </is>
      </c>
      <c r="C12" s="41" t="inlineStr">
        <is>
          <t>Business Impact</t>
        </is>
      </c>
      <c r="D12" s="41" t="inlineStr">
        <is>
          <t>What business problems will Omniverse solve?</t>
        </is>
      </c>
      <c r="E12" s="41" t="inlineStr">
        <is>
          <t>Consider: faster time-to-market, better client presentations, cost reduction, competitive differentiation, innovation enablement</t>
        </is>
      </c>
      <c r="F12" s="40" t="n"/>
      <c r="G12" s="41" t="inlineStr">
        <is>
          <t>Business case and ROI drivers</t>
        </is>
      </c>
    </row>
    <row r="13">
      <c r="A13" s="39" t="inlineStr">
        <is>
          <t>BUS-012</t>
        </is>
      </c>
      <c r="B13" s="39" t="inlineStr">
        <is>
          <t>Business Requirements</t>
        </is>
      </c>
      <c r="C13" s="39" t="inlineStr">
        <is>
          <t>Growth Projections</t>
        </is>
      </c>
      <c r="D13" s="39" t="inlineStr">
        <is>
          <t>How do you expect design team and project complexity to grow over 3 years?</t>
        </is>
      </c>
      <c r="E13" s="39" t="inlineStr">
        <is>
          <t>Provide current team size and projected annual growth rate</t>
        </is>
      </c>
      <c r="F13" s="40" t="n"/>
      <c r="G13" s="39" t="inlineStr">
        <is>
          <t>Scalability requirements and capacity planning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25" customWidth="1" min="3" max="3"/>
    <col width="50" customWidth="1" min="4" max="4"/>
    <col width="40" customWidth="1" min="5" max="5"/>
    <col width="40" customWidth="1" min="6" max="6"/>
    <col width="30" customWidth="1" min="7" max="7"/>
  </cols>
  <sheetData>
    <row r="1" ht="32" customHeight="1">
      <c r="A1" s="38" t="inlineStr">
        <is>
          <t>Question ID</t>
        </is>
      </c>
      <c r="B1" s="38" t="inlineStr">
        <is>
          <t>Category</t>
        </is>
      </c>
      <c r="C1" s="38" t="inlineStr">
        <is>
          <t>Sub-Category</t>
        </is>
      </c>
      <c r="D1" s="38" t="inlineStr">
        <is>
          <t>Question</t>
        </is>
      </c>
      <c r="E1" s="38" t="inlineStr">
        <is>
          <t>Guidance</t>
        </is>
      </c>
      <c r="F1" s="38" t="inlineStr">
        <is>
          <t>Customer Response</t>
        </is>
      </c>
      <c r="G1" s="38" t="inlineStr">
        <is>
          <t>Notes</t>
        </is>
      </c>
    </row>
    <row r="2">
      <c r="A2" s="41" t="inlineStr">
        <is>
          <t>TECH-001</t>
        </is>
      </c>
      <c r="B2" s="41" t="inlineStr">
        <is>
          <t>Technical Requirements</t>
        </is>
      </c>
      <c r="C2" s="41" t="inlineStr">
        <is>
          <t>Design Tools</t>
        </is>
      </c>
      <c r="D2" s="41" t="inlineStr">
        <is>
          <t>What 3D design tools does your team use?</t>
        </is>
      </c>
      <c r="E2" s="41" t="inlineStr">
        <is>
          <t>Common tools: Revit, SolidWorks, CATIA, Rhino, Blender, Maya, 3ds Max, SketchUp, Unreal Engine, Unity</t>
        </is>
      </c>
      <c r="F2" s="40" t="n"/>
      <c r="G2" s="41" t="inlineStr">
        <is>
          <t>Design tool landscape for connector requirements</t>
        </is>
      </c>
    </row>
    <row r="3">
      <c r="A3" s="39" t="inlineStr">
        <is>
          <t>TECH-002</t>
        </is>
      </c>
      <c r="B3" s="39" t="inlineStr">
        <is>
          <t>Technical Requirements</t>
        </is>
      </c>
      <c r="C3" s="39" t="inlineStr">
        <is>
          <t>Primary CAD Tools</t>
        </is>
      </c>
      <c r="D3" s="39" t="inlineStr">
        <is>
          <t>What are your primary CAD/BIM applications?</t>
        </is>
      </c>
      <c r="E3" s="39" t="inlineStr">
        <is>
          <t>Primary applications: Revit (architecture), SolidWorks (mechanical), CATIA (automotive), Inventor, Creo, NX, Rhino (industrial design)</t>
        </is>
      </c>
      <c r="F3" s="40" t="n"/>
      <c r="G3" s="39" t="inlineStr">
        <is>
          <t>Core design tools needing Omniverse connectors</t>
        </is>
      </c>
    </row>
    <row r="4">
      <c r="A4" s="41" t="inlineStr">
        <is>
          <t>TECH-003</t>
        </is>
      </c>
      <c r="B4" s="41" t="inlineStr">
        <is>
          <t>Technical Requirements</t>
        </is>
      </c>
      <c r="C4" s="41" t="inlineStr">
        <is>
          <t>Content Creation Tools</t>
        </is>
      </c>
      <c r="D4" s="41" t="inlineStr">
        <is>
          <t>What content creation tools do you use?</t>
        </is>
      </c>
      <c r="E4" s="41" t="inlineStr">
        <is>
          <t>Creative tools: Maya, Blender, 3ds Max, Cinema 4D, Houdini, Substance Painter</t>
        </is>
      </c>
      <c r="F4" s="40" t="n"/>
      <c r="G4" s="41" t="inlineStr">
        <is>
          <t>Digital content creation workflow</t>
        </is>
      </c>
    </row>
    <row r="5">
      <c r="A5" s="39" t="inlineStr">
        <is>
          <t>TECH-004</t>
        </is>
      </c>
      <c r="B5" s="39" t="inlineStr">
        <is>
          <t>Technical Requirements</t>
        </is>
      </c>
      <c r="C5" s="39" t="inlineStr">
        <is>
          <t>Rendering Tools</t>
        </is>
      </c>
      <c r="D5" s="39" t="inlineStr">
        <is>
          <t>What rendering engines do you currently use?</t>
        </is>
      </c>
      <c r="E5" s="39" t="inlineStr">
        <is>
          <t>Renderers: V-Ray, Arnold, Redshift, Octane, KeyShot, CPU-based rendering, Real-time engines (Unreal Unity)</t>
        </is>
      </c>
      <c r="F5" s="40" t="n"/>
      <c r="G5" s="39" t="inlineStr">
        <is>
          <t>Current rendering workflow and pain points</t>
        </is>
      </c>
    </row>
    <row r="6">
      <c r="A6" s="41" t="inlineStr">
        <is>
          <t>TECH-005</t>
        </is>
      </c>
      <c r="B6" s="41" t="inlineStr">
        <is>
          <t>Technical Requirements</t>
        </is>
      </c>
      <c r="C6" s="41" t="inlineStr">
        <is>
          <t>Project Complexity</t>
        </is>
      </c>
      <c r="D6" s="41" t="inlineStr">
        <is>
          <t>What is the typical complexity of your 3D scenes?</t>
        </is>
      </c>
      <c r="E6" s="41" t="inlineStr">
        <is>
          <t>Complexity levels: Simple products (&lt;1M polygons), Medium assemblies (1-10M polygons), Complex buildings (10-100M polygons), Massive environments (&gt;100M)</t>
        </is>
      </c>
      <c r="F6" s="40" t="n"/>
      <c r="G6" s="41" t="inlineStr">
        <is>
          <t>Scene complexity affects GPU and storage needs</t>
        </is>
      </c>
    </row>
    <row r="7">
      <c r="A7" s="39" t="inlineStr">
        <is>
          <t>TECH-006</t>
        </is>
      </c>
      <c r="B7" s="39" t="inlineStr">
        <is>
          <t>Technical Requirements</t>
        </is>
      </c>
      <c r="C7" s="39" t="inlineStr">
        <is>
          <t>File Sizes</t>
        </is>
      </c>
      <c r="D7" s="39" t="inlineStr">
        <is>
          <t>What are typical file sizes for your 3D projects?</t>
        </is>
      </c>
      <c r="E7" s="39" t="inlineStr">
        <is>
          <t>File sizes: &lt;1 GB, 1-10 GB, 10-100 GB, &gt;100 GB per project</t>
        </is>
      </c>
      <c r="F7" s="40" t="n"/>
      <c r="G7" s="39" t="inlineStr">
        <is>
          <t>Storage capacity requirements</t>
        </is>
      </c>
    </row>
    <row r="8">
      <c r="A8" s="41" t="inlineStr">
        <is>
          <t>TECH-007</t>
        </is>
      </c>
      <c r="B8" s="41" t="inlineStr">
        <is>
          <t>Technical Requirements</t>
        </is>
      </c>
      <c r="C8" s="41" t="inlineStr">
        <is>
          <t>Total Storage</t>
        </is>
      </c>
      <c r="D8" s="41" t="inlineStr">
        <is>
          <t>How much 3D asset storage do you currently use?</t>
        </is>
      </c>
      <c r="E8" s="41" t="inlineStr">
        <is>
          <t>Storage: &lt;1 TB, 1-10 TB, 10-50 TB, 50-100 TB, &gt;100 TB</t>
        </is>
      </c>
      <c r="F8" s="40" t="n"/>
      <c r="G8" s="41" t="inlineStr">
        <is>
          <t>Total storage capacity for USD scenes and assets</t>
        </is>
      </c>
    </row>
    <row r="9">
      <c r="A9" s="39" t="inlineStr">
        <is>
          <t>TECH-008</t>
        </is>
      </c>
      <c r="B9" s="39" t="inlineStr">
        <is>
          <t>Technical Requirements</t>
        </is>
      </c>
      <c r="C9" s="39" t="inlineStr">
        <is>
          <t>Collaboration Model</t>
        </is>
      </c>
      <c r="D9" s="39" t="inlineStr">
        <is>
          <t>How do your teams collaborate on 3D projects?</t>
        </is>
      </c>
      <c r="E9" s="39" t="inlineStr">
        <is>
          <t>Collaboration: Same office/location, Distributed offices, Remote workforce, Global teams, Mix of on-site and remote</t>
        </is>
      </c>
      <c r="F9" s="40" t="n"/>
      <c r="G9" s="39" t="inlineStr">
        <is>
          <t>Collaboration architecture and network requirements</t>
        </is>
      </c>
    </row>
    <row r="10">
      <c r="A10" s="41" t="inlineStr">
        <is>
          <t>TECH-009</t>
        </is>
      </c>
      <c r="B10" s="41" t="inlineStr">
        <is>
          <t>Technical Requirements</t>
        </is>
      </c>
      <c r="C10" s="41" t="inlineStr">
        <is>
          <t>Concurrent Users</t>
        </is>
      </c>
      <c r="D10" s="41" t="inlineStr">
        <is>
          <t>How many users need to work on the same scene simultaneously?</t>
        </is>
      </c>
      <c r="E10" s="41" t="inlineStr">
        <is>
          <t>Concurrent users: 2-5, 5-10, 10-25, 25-50, 50+</t>
        </is>
      </c>
      <c r="F10" s="40" t="n"/>
      <c r="G10" s="41" t="inlineStr">
        <is>
          <t>Real-time collaboration requirements</t>
        </is>
      </c>
    </row>
    <row r="11">
      <c r="A11" s="39" t="inlineStr">
        <is>
          <t>TECH-010</t>
        </is>
      </c>
      <c r="B11" s="39" t="inlineStr">
        <is>
          <t>Technical Requirements</t>
        </is>
      </c>
      <c r="C11" s="39" t="inlineStr">
        <is>
          <t>Rendering Requirements</t>
        </is>
      </c>
      <c r="D11" s="39" t="inlineStr">
        <is>
          <t>What rendering capabilities do you need?</t>
        </is>
      </c>
      <c r="E11" s="39" t="inlineStr">
        <is>
          <t>Requirements: Interactive viewport rendering, Batch rendering (overnight), Film-quality output, Real-time ray tracing, VR/AR visualization</t>
        </is>
      </c>
      <c r="F11" s="40" t="n"/>
      <c r="G11" s="39" t="inlineStr">
        <is>
          <t>Rendering performance and quality requirements</t>
        </is>
      </c>
    </row>
    <row r="12">
      <c r="A12" s="41" t="inlineStr">
        <is>
          <t>TECH-011</t>
        </is>
      </c>
      <c r="B12" s="41" t="inlineStr">
        <is>
          <t>Technical Requirements</t>
        </is>
      </c>
      <c r="C12" s="41" t="inlineStr">
        <is>
          <t>Rendering Volume</t>
        </is>
      </c>
      <c r="D12" s="41" t="inlineStr">
        <is>
          <t>How many renders do you produce weekly?</t>
        </is>
      </c>
      <c r="E12" s="41" t="inlineStr">
        <is>
          <t>Volume: &lt;10 renders, 10-50, 50-200, 200-1000, 1000+</t>
        </is>
      </c>
      <c r="F12" s="40" t="n"/>
      <c r="G12" s="41" t="inlineStr">
        <is>
          <t>Rendering capacity and Omniverse Farm sizing</t>
        </is>
      </c>
    </row>
    <row r="13">
      <c r="A13" s="39" t="inlineStr">
        <is>
          <t>TECH-012</t>
        </is>
      </c>
      <c r="B13" s="39" t="inlineStr">
        <is>
          <t>Technical Requirements</t>
        </is>
      </c>
      <c r="C13" s="39" t="inlineStr">
        <is>
          <t>Existing Hardware</t>
        </is>
      </c>
      <c r="D13" s="39" t="inlineStr">
        <is>
          <t>What GPU workstations does your team currently use?</t>
        </is>
      </c>
      <c r="E13" s="39" t="inlineStr">
        <is>
          <t>Current hardware: RTX 3080/3090, RTX 4080/4090, RTX A4000/A5000/A6000, Quadro series, No GPUs, Mixed configurations</t>
        </is>
      </c>
      <c r="F13" s="40" t="n"/>
      <c r="G13" s="39" t="inlineStr">
        <is>
          <t>Hardware refresh vs upgrade assessment</t>
        </is>
      </c>
    </row>
    <row r="14">
      <c r="A14" s="41" t="inlineStr">
        <is>
          <t>TECH-013</t>
        </is>
      </c>
      <c r="B14" s="41" t="inlineStr">
        <is>
          <t>Technical Requirements</t>
        </is>
      </c>
      <c r="C14" s="41" t="inlineStr">
        <is>
          <t>Workstation Needs</t>
        </is>
      </c>
      <c r="D14" s="41" t="inlineStr">
        <is>
          <t>Do you need new RTX workstations or can you upgrade existing systems?</t>
        </is>
      </c>
      <c r="E14" s="41" t="inlineStr">
        <is>
          <t>Options: All new workstations needed, Some upgrades possible, Most hardware adequate, GPU upgrades only</t>
        </is>
      </c>
      <c r="F14" s="40" t="n"/>
      <c r="G14" s="41" t="inlineStr">
        <is>
          <t>Hardware investment scope</t>
        </is>
      </c>
    </row>
    <row r="15">
      <c r="A15" s="39" t="inlineStr">
        <is>
          <t>TECH-014</t>
        </is>
      </c>
      <c r="B15" s="39" t="inlineStr">
        <is>
          <t>Technical Requirements</t>
        </is>
      </c>
      <c r="C15" s="39" t="inlineStr">
        <is>
          <t>Network Infrastructure</t>
        </is>
      </c>
      <c r="D15" s="39" t="inlineStr">
        <is>
          <t>What network infrastructure do you have?</t>
        </is>
      </c>
      <c r="E15" s="39" t="inlineStr">
        <is>
          <t>Network: Gigabit Ethernet (1 GbE), 10 GbE, 25 GbE, 100 GbE, Wi-Fi only, Need upgrades</t>
        </is>
      </c>
      <c r="F15" s="40" t="n"/>
      <c r="G15" s="39" t="inlineStr">
        <is>
          <t>Network capacity for large file transfers</t>
        </is>
      </c>
    </row>
    <row r="16">
      <c r="A16" s="41" t="inlineStr">
        <is>
          <t>TECH-015</t>
        </is>
      </c>
      <c r="B16" s="41" t="inlineStr">
        <is>
          <t>Technical Requirements</t>
        </is>
      </c>
      <c r="C16" s="41" t="inlineStr">
        <is>
          <t>File Server</t>
        </is>
      </c>
      <c r="D16" s="41" t="inlineStr">
        <is>
          <t>What file storage systems do you currently use?</t>
        </is>
      </c>
      <c r="E16" s="41" t="inlineStr">
        <is>
          <t>Storage: Windows file server, NAS (Synology QNAP), SAN, Cloud storage (Dropbox Box), FTP server, Local drives only</t>
        </is>
      </c>
      <c r="F16" s="40" t="n"/>
      <c r="G16" s="41" t="inlineStr">
        <is>
          <t>Integration with existing storage infrastructure</t>
        </is>
      </c>
    </row>
    <row r="17">
      <c r="A17" s="39" t="inlineStr">
        <is>
          <t>TECH-016</t>
        </is>
      </c>
      <c r="B17" s="39" t="inlineStr">
        <is>
          <t>Technical Requirements</t>
        </is>
      </c>
      <c r="C17" s="39" t="inlineStr">
        <is>
          <t>Digital Twins</t>
        </is>
      </c>
      <c r="D17" s="39" t="inlineStr">
        <is>
          <t>Will you build digital twins or factory simulations?</t>
        </is>
      </c>
      <c r="E17" s="39" t="inlineStr">
        <is>
          <t>Digital twins: Yes - manufacturing, Yes - buildings/facilities, Yes - products, No digital twins needed</t>
        </is>
      </c>
      <c r="F17" s="40" t="n"/>
      <c r="G17" s="39" t="inlineStr">
        <is>
          <t>Digital twin use cases and physics simulation</t>
        </is>
      </c>
    </row>
    <row r="18">
      <c r="A18" s="41" t="inlineStr">
        <is>
          <t>TECH-017</t>
        </is>
      </c>
      <c r="B18" s="41" t="inlineStr">
        <is>
          <t>Technical Requirements</t>
        </is>
      </c>
      <c r="C18" s="41" t="inlineStr">
        <is>
          <t>VR/AR Requirements</t>
        </is>
      </c>
      <c r="D18" s="41" t="inlineStr">
        <is>
          <t>Do you need VR or AR capabilities?</t>
        </is>
      </c>
      <c r="E18" s="41" t="inlineStr">
        <is>
          <t>VR/AR: VR walkthroughs needed, AR product visualization, Both VR and AR, Not required</t>
        </is>
      </c>
      <c r="F18" s="40" t="n"/>
      <c r="G18" s="41" t="inlineStr">
        <is>
          <t>Immersive visualization requirements</t>
        </is>
      </c>
    </row>
    <row r="19">
      <c r="A19" s="39" t="inlineStr">
        <is>
          <t>TECH-018</t>
        </is>
      </c>
      <c r="B19" s="39" t="inlineStr">
        <is>
          <t>Technical Requirements</t>
        </is>
      </c>
      <c r="C19" s="39" t="inlineStr">
        <is>
          <t>Integration</t>
        </is>
      </c>
      <c r="D19" s="39" t="inlineStr">
        <is>
          <t>What systems need to integrate with Omniverse?</t>
        </is>
      </c>
      <c r="E19" s="39" t="inlineStr">
        <is>
          <t>Integrations: PLM systems (Windchill Teamcenter), DAM systems, Rendering farms, Cloud storage, Version control (Git Perforce)</t>
        </is>
      </c>
      <c r="F19" s="40" t="n"/>
      <c r="G19" s="39" t="inlineStr">
        <is>
          <t>Enterprise system integration requirements</t>
        </is>
      </c>
    </row>
    <row r="20">
      <c r="A20" s="41" t="inlineStr">
        <is>
          <t>TECH-019</t>
        </is>
      </c>
      <c r="B20" s="41" t="inlineStr">
        <is>
          <t>Technical Requirements</t>
        </is>
      </c>
      <c r="C20" s="41" t="inlineStr">
        <is>
          <t>Cloud Streaming</t>
        </is>
      </c>
      <c r="D20" s="41" t="inlineStr">
        <is>
          <t>Do you need cloud streaming for remote access?</t>
        </is>
      </c>
      <c r="E20" s="41" t="inlineStr">
        <is>
          <t>Cloud streaming: Yes - remote workers, Yes - client access, Yes - mobile access, No - on-prem only</t>
        </is>
      </c>
      <c r="F20" s="40" t="n"/>
      <c r="G20" s="41" t="inlineStr">
        <is>
          <t>Remote access and NVIDIA Omniverse Streaming</t>
        </is>
      </c>
    </row>
    <row r="21">
      <c r="A21" s="39" t="inlineStr">
        <is>
          <t>TECH-020</t>
        </is>
      </c>
      <c r="B21" s="39" t="inlineStr">
        <is>
          <t>Technical Requirements</t>
        </is>
      </c>
      <c r="C21" s="39" t="inlineStr">
        <is>
          <t>Physics Simulation</t>
        </is>
      </c>
      <c r="D21" s="39" t="inlineStr">
        <is>
          <t>Do you need physics simulation capabilities?</t>
        </is>
      </c>
      <c r="E21" s="39" t="inlineStr">
        <is>
          <t>Physics: Rigid body dynamics, Fluid simulation, Cloth/soft body, Destruction/FEM, No physics needed</t>
        </is>
      </c>
      <c r="F21" s="40" t="n"/>
      <c r="G21" s="39" t="inlineStr">
        <is>
          <t>PhysX and simulation requirements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25" customWidth="1" min="3" max="3"/>
    <col width="50" customWidth="1" min="4" max="4"/>
    <col width="40" customWidth="1" min="5" max="5"/>
    <col width="40" customWidth="1" min="6" max="6"/>
    <col width="30" customWidth="1" min="7" max="7"/>
  </cols>
  <sheetData>
    <row r="1" ht="32" customHeight="1">
      <c r="A1" s="38" t="inlineStr">
        <is>
          <t>Question ID</t>
        </is>
      </c>
      <c r="B1" s="38" t="inlineStr">
        <is>
          <t>Category</t>
        </is>
      </c>
      <c r="C1" s="38" t="inlineStr">
        <is>
          <t>Sub-Category</t>
        </is>
      </c>
      <c r="D1" s="38" t="inlineStr">
        <is>
          <t>Question</t>
        </is>
      </c>
      <c r="E1" s="38" t="inlineStr">
        <is>
          <t>Guidance</t>
        </is>
      </c>
      <c r="F1" s="38" t="inlineStr">
        <is>
          <t>Customer Response</t>
        </is>
      </c>
      <c r="G1" s="38" t="inlineStr">
        <is>
          <t>Notes</t>
        </is>
      </c>
    </row>
    <row r="2">
      <c r="A2" s="41" t="inlineStr">
        <is>
          <t>SEC-001</t>
        </is>
      </c>
      <c r="B2" s="41" t="inlineStr">
        <is>
          <t>Security &amp; Compliance</t>
        </is>
      </c>
      <c r="C2" s="41" t="inlineStr">
        <is>
          <t>Data Classification</t>
        </is>
      </c>
      <c r="D2" s="41" t="inlineStr">
        <is>
          <t>What is the highest data classification level for 3D designs?</t>
        </is>
      </c>
      <c r="E2" s="41" t="inlineStr">
        <is>
          <t>Levels: Public, Internal, Confidential, Proprietary/Trade Secret, Export Controlled</t>
        </is>
      </c>
      <c r="F2" s="40" t="n"/>
      <c r="G2" s="41" t="inlineStr">
        <is>
          <t>Determines security controls and access restrictions</t>
        </is>
      </c>
    </row>
    <row r="3">
      <c r="A3" s="39" t="inlineStr">
        <is>
          <t>SEC-002</t>
        </is>
      </c>
      <c r="B3" s="39" t="inlineStr">
        <is>
          <t>Security &amp; Compliance</t>
        </is>
      </c>
      <c r="C3" s="39" t="inlineStr">
        <is>
          <t>Intellectual Property</t>
        </is>
      </c>
      <c r="D3" s="39" t="inlineStr">
        <is>
          <t>How sensitive is your 3D design intellectual property?</t>
        </is>
      </c>
      <c r="E3" s="39" t="inlineStr">
        <is>
          <t>IP sensitivity: Public/marketing content, Internal use only, Competitive advantage, Trade secrets, Patent-pending designs</t>
        </is>
      </c>
      <c r="F3" s="40" t="n"/>
      <c r="G3" s="39" t="inlineStr">
        <is>
          <t>IP protection and security requirements</t>
        </is>
      </c>
    </row>
    <row r="4">
      <c r="A4" s="41" t="inlineStr">
        <is>
          <t>SEC-003</t>
        </is>
      </c>
      <c r="B4" s="41" t="inlineStr">
        <is>
          <t>Security &amp; Compliance</t>
        </is>
      </c>
      <c r="C4" s="41" t="inlineStr">
        <is>
          <t>Compliance Standards</t>
        </is>
      </c>
      <c r="D4" s="41" t="inlineStr">
        <is>
          <t>What compliance standards apply to your design data?</t>
        </is>
      </c>
      <c r="E4" s="41" t="inlineStr">
        <is>
          <t>Common standards: ISO 27001, SOC 2, ITAR (export control), EAR, Industry-specific (automotive aerospace), None</t>
        </is>
      </c>
      <c r="F4" s="40" t="n"/>
      <c r="G4" s="41" t="inlineStr">
        <is>
          <t>Compliance controls and audit requirements</t>
        </is>
      </c>
    </row>
    <row r="5">
      <c r="A5" s="39" t="inlineStr">
        <is>
          <t>SEC-004</t>
        </is>
      </c>
      <c r="B5" s="39" t="inlineStr">
        <is>
          <t>Security &amp; Compliance</t>
        </is>
      </c>
      <c r="C5" s="39" t="inlineStr">
        <is>
          <t>Access Control</t>
        </is>
      </c>
      <c r="D5" s="39" t="inlineStr">
        <is>
          <t>What authentication and authorization requirements apply?</t>
        </is>
      </c>
      <c r="E5" s="39" t="inlineStr">
        <is>
          <t>Options: Active Directory integration, LDAP, SSO (SAML/OIDC), MFA required, Role-based access (RBAC), No specific requirements</t>
        </is>
      </c>
      <c r="F5" s="40" t="n"/>
      <c r="G5" s="39" t="inlineStr">
        <is>
          <t>Identity and access management requirements</t>
        </is>
      </c>
    </row>
    <row r="6">
      <c r="A6" s="41" t="inlineStr">
        <is>
          <t>SEC-005</t>
        </is>
      </c>
      <c r="B6" s="41" t="inlineStr">
        <is>
          <t>Security &amp; Compliance</t>
        </is>
      </c>
      <c r="C6" s="41" t="inlineStr">
        <is>
          <t>Network Security</t>
        </is>
      </c>
      <c r="D6" s="41" t="inlineStr">
        <is>
          <t>What network security controls are required?</t>
        </is>
      </c>
      <c r="E6" s="41" t="inlineStr">
        <is>
          <t>Requirements: VPN access only, Network segmentation, Firewall rules, Air-gapped environment, Internet access allowed, Client access restrictions</t>
        </is>
      </c>
      <c r="F6" s="40" t="n"/>
      <c r="G6" s="41" t="inlineStr">
        <is>
          <t>Network security architecture</t>
        </is>
      </c>
    </row>
    <row r="7">
      <c r="A7" s="39" t="inlineStr">
        <is>
          <t>SEC-006</t>
        </is>
      </c>
      <c r="B7" s="39" t="inlineStr">
        <is>
          <t>Security &amp; Compliance</t>
        </is>
      </c>
      <c r="C7" s="39" t="inlineStr">
        <is>
          <t>Data Encryption</t>
        </is>
      </c>
      <c r="D7" s="39" t="inlineStr">
        <is>
          <t>What encryption requirements apply to design data?</t>
        </is>
      </c>
      <c r="E7" s="39" t="inlineStr">
        <is>
          <t>Requirements: Encryption at rest (storage), Encryption in transit (TLS), End-to-end encryption, No specific requirements</t>
        </is>
      </c>
      <c r="F7" s="40" t="n"/>
      <c r="G7" s="39" t="inlineStr">
        <is>
          <t>Data protection and encryption standards</t>
        </is>
      </c>
    </row>
    <row r="8">
      <c r="A8" s="41" t="inlineStr">
        <is>
          <t>SEC-007</t>
        </is>
      </c>
      <c r="B8" s="41" t="inlineStr">
        <is>
          <t>Security &amp; Compliance</t>
        </is>
      </c>
      <c r="C8" s="41" t="inlineStr">
        <is>
          <t>Audit Logging</t>
        </is>
      </c>
      <c r="D8" s="41" t="inlineStr">
        <is>
          <t>What audit and logging requirements do you have?</t>
        </is>
      </c>
      <c r="E8" s="41" t="inlineStr">
        <is>
          <t>Requirements: User access logs, File access tracking, Design change history, Export/download tracking, No specific requirements</t>
        </is>
      </c>
      <c r="F8" s="40" t="n"/>
      <c r="G8" s="41" t="inlineStr">
        <is>
          <t>Audit trail and compliance reporting needs</t>
        </is>
      </c>
    </row>
    <row r="9">
      <c r="A9" s="39" t="inlineStr">
        <is>
          <t>SEC-008</t>
        </is>
      </c>
      <c r="B9" s="39" t="inlineStr">
        <is>
          <t>Security &amp; Compliance</t>
        </is>
      </c>
      <c r="C9" s="39" t="inlineStr">
        <is>
          <t>Client Access</t>
        </is>
      </c>
      <c r="D9" s="39" t="inlineStr">
        <is>
          <t>Do external clients or partners need access to designs?</t>
        </is>
      </c>
      <c r="E9" s="39" t="inlineStr">
        <is>
          <t>External access: Yes - clients (view-only), Yes - partners (edit access), Yes - contractors (temporary), No external access</t>
        </is>
      </c>
      <c r="F9" s="40" t="n"/>
      <c r="G9" s="39" t="inlineStr">
        <is>
          <t>External collaboration and security boundaries</t>
        </is>
      </c>
    </row>
    <row r="10">
      <c r="A10" s="41" t="inlineStr">
        <is>
          <t>SEC-009</t>
        </is>
      </c>
      <c r="B10" s="41" t="inlineStr">
        <is>
          <t>Security &amp; Compliance</t>
        </is>
      </c>
      <c r="C10" s="41" t="inlineStr">
        <is>
          <t>Data Retention</t>
        </is>
      </c>
      <c r="D10" s="41" t="inlineStr">
        <is>
          <t>What are your data retention requirements for 3D assets?</t>
        </is>
      </c>
      <c r="E10" s="41" t="inlineStr">
        <is>
          <t>Retention: 1-3 years, 3-5 years, 5-10 years, Indefinite, Project-dependent</t>
        </is>
      </c>
      <c r="F10" s="40" t="n"/>
      <c r="G10" s="41" t="inlineStr">
        <is>
          <t>Data lifecycle management and storage planning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25" customWidth="1" min="3" max="3"/>
    <col width="50" customWidth="1" min="4" max="4"/>
    <col width="40" customWidth="1" min="5" max="5"/>
    <col width="40" customWidth="1" min="6" max="6"/>
    <col width="30" customWidth="1" min="7" max="7"/>
  </cols>
  <sheetData>
    <row r="1" ht="32" customHeight="1">
      <c r="A1" s="38" t="inlineStr">
        <is>
          <t>Question ID</t>
        </is>
      </c>
      <c r="B1" s="38" t="inlineStr">
        <is>
          <t>Category</t>
        </is>
      </c>
      <c r="C1" s="38" t="inlineStr">
        <is>
          <t>Sub-Category</t>
        </is>
      </c>
      <c r="D1" s="38" t="inlineStr">
        <is>
          <t>Question</t>
        </is>
      </c>
      <c r="E1" s="38" t="inlineStr">
        <is>
          <t>Guidance</t>
        </is>
      </c>
      <c r="F1" s="38" t="inlineStr">
        <is>
          <t>Customer Response</t>
        </is>
      </c>
      <c r="G1" s="38" t="inlineStr">
        <is>
          <t>Notes</t>
        </is>
      </c>
    </row>
    <row r="2">
      <c r="A2" s="41" t="inlineStr">
        <is>
          <t>OPS-001</t>
        </is>
      </c>
      <c r="B2" s="41" t="inlineStr">
        <is>
          <t>Operations &amp; Support</t>
        </is>
      </c>
      <c r="C2" s="41" t="inlineStr">
        <is>
          <t>Availability</t>
        </is>
      </c>
      <c r="D2" s="41" t="inlineStr">
        <is>
          <t>What uptime requirements do you have for Omniverse?</t>
        </is>
      </c>
      <c r="E2" s="41" t="inlineStr">
        <is>
          <t>Common targets: Business hours (99%), Extended hours (99.5%), Always-on (99.9%), Best effort</t>
        </is>
      </c>
      <c r="F2" s="40" t="n"/>
      <c r="G2" s="41" t="inlineStr">
        <is>
          <t>SLA requirements drive architecture design</t>
        </is>
      </c>
    </row>
    <row r="3">
      <c r="A3" s="39" t="inlineStr">
        <is>
          <t>OPS-002</t>
        </is>
      </c>
      <c r="B3" s="39" t="inlineStr">
        <is>
          <t>Operations &amp; Support</t>
        </is>
      </c>
      <c r="C3" s="39" t="inlineStr">
        <is>
          <t>Deployment Location</t>
        </is>
      </c>
      <c r="D3" s="39" t="inlineStr">
        <is>
          <t>Where will Omniverse infrastructure be deployed?</t>
        </is>
      </c>
      <c r="E3" s="39" t="inlineStr">
        <is>
          <t>Options: On-premises datacenter, Office server room, Colocation facility, Cloud (AWS Azure GCP), Hybrid on-prem + cloud</t>
        </is>
      </c>
      <c r="F3" s="40" t="n"/>
      <c r="G3" s="39" t="inlineStr">
        <is>
          <t>Deployment location and facilities requirements</t>
        </is>
      </c>
    </row>
    <row r="4">
      <c r="A4" s="41" t="inlineStr">
        <is>
          <t>OPS-003</t>
        </is>
      </c>
      <c r="B4" s="41" t="inlineStr">
        <is>
          <t>Operations &amp; Support</t>
        </is>
      </c>
      <c r="C4" s="41" t="inlineStr">
        <is>
          <t>Workstation Location</t>
        </is>
      </c>
      <c r="D4" s="41" t="inlineStr">
        <is>
          <t>Where are user workstations located?</t>
        </is>
      </c>
      <c r="E4" s="41" t="inlineStr">
        <is>
          <t>Locations: Single office, Multiple offices, Remote/home offices, Global locations, Mix of on-site and remote</t>
        </is>
      </c>
      <c r="F4" s="40" t="n"/>
      <c r="G4" s="41" t="inlineStr">
        <is>
          <t>Workstation deployment and support logistics</t>
        </is>
      </c>
    </row>
    <row r="5">
      <c r="A5" s="39" t="inlineStr">
        <is>
          <t>OPS-004</t>
        </is>
      </c>
      <c r="B5" s="39" t="inlineStr">
        <is>
          <t>Operations &amp; Support</t>
        </is>
      </c>
      <c r="C5" s="39" t="inlineStr">
        <is>
          <t>Support Model</t>
        </is>
      </c>
      <c r="D5" s="39" t="inlineStr">
        <is>
          <t>Who will support Omniverse users and infrastructure?</t>
        </is>
      </c>
      <c r="E5" s="39" t="inlineStr">
        <is>
          <t>Support: In-house IT team, Design team self-support, Dedicated 3D infrastructure team, Outsourced/MSP, Vendor support only</t>
        </is>
      </c>
      <c r="F5" s="40" t="n"/>
      <c r="G5" s="39" t="inlineStr">
        <is>
          <t>Operational responsibility and support structure</t>
        </is>
      </c>
    </row>
    <row r="6">
      <c r="A6" s="41" t="inlineStr">
        <is>
          <t>OPS-005</t>
        </is>
      </c>
      <c r="B6" s="41" t="inlineStr">
        <is>
          <t>Operations &amp; Support</t>
        </is>
      </c>
      <c r="C6" s="41" t="inlineStr">
        <is>
          <t>IT Experience</t>
        </is>
      </c>
      <c r="D6" s="41" t="inlineStr">
        <is>
          <t>What is your team's experience with 3D infrastructure?</t>
        </is>
      </c>
      <c r="E6" s="41" t="inlineStr">
        <is>
          <t>Experience levels: No experience, Basic (managed file servers), Intermediate (managed GPU workstations), Advanced (rendering farms), Expert</t>
        </is>
      </c>
      <c r="F6" s="40" t="n"/>
      <c r="G6" s="41" t="inlineStr">
        <is>
          <t>Training needs and support requirements</t>
        </is>
      </c>
    </row>
    <row r="7">
      <c r="A7" s="39" t="inlineStr">
        <is>
          <t>OPS-006</t>
        </is>
      </c>
      <c r="B7" s="39" t="inlineStr">
        <is>
          <t>Operations &amp; Support</t>
        </is>
      </c>
      <c r="C7" s="39" t="inlineStr">
        <is>
          <t>Support Coverage</t>
        </is>
      </c>
      <c r="D7" s="39" t="inlineStr">
        <is>
          <t>What support coverage do you require from NVIDIA/partners?</t>
        </is>
      </c>
      <c r="E7" s="39" t="inlineStr">
        <is>
          <t>Options: Business hours (8x5), Extended (12x5), Full (24x7), Standard (email support), No specific requirements</t>
        </is>
      </c>
      <c r="F7" s="40" t="n"/>
      <c r="G7" s="39" t="inlineStr">
        <is>
          <t>Support SLA and vendor contract planning</t>
        </is>
      </c>
    </row>
    <row r="8">
      <c r="A8" s="41" t="inlineStr">
        <is>
          <t>OPS-007</t>
        </is>
      </c>
      <c r="B8" s="41" t="inlineStr">
        <is>
          <t>Operations &amp; Support</t>
        </is>
      </c>
      <c r="C8" s="41" t="inlineStr">
        <is>
          <t>Backup</t>
        </is>
      </c>
      <c r="D8" s="41" t="inlineStr">
        <is>
          <t>What backup requirements do you have for 3D assets and scenes?</t>
        </is>
      </c>
      <c r="E8" s="41" t="inlineStr">
        <is>
          <t>Backup: Daily automated backup, Weekly backup, Project-based backup, Off-site replication, Disaster recovery, No formal backup</t>
        </is>
      </c>
      <c r="F8" s="40" t="n"/>
      <c r="G8" s="41" t="inlineStr">
        <is>
          <t>Backup strategy and data protection</t>
        </is>
      </c>
    </row>
    <row r="9">
      <c r="A9" s="39" t="inlineStr">
        <is>
          <t>OPS-008</t>
        </is>
      </c>
      <c r="B9" s="39" t="inlineStr">
        <is>
          <t>Operations &amp; Support</t>
        </is>
      </c>
      <c r="C9" s="39" t="inlineStr">
        <is>
          <t>Disaster Recovery</t>
        </is>
      </c>
      <c r="D9" s="39" t="inlineStr">
        <is>
          <t>What disaster recovery capabilities are required?</t>
        </is>
      </c>
      <c r="E9" s="39" t="inlineStr">
        <is>
          <t>DR: Backup only, Warm standby server, Active-active multi-site, Cloud failover, Not required</t>
        </is>
      </c>
      <c r="F9" s="40" t="n"/>
      <c r="G9" s="39" t="inlineStr">
        <is>
          <t>DR architecture and business continuity</t>
        </is>
      </c>
    </row>
    <row r="10">
      <c r="A10" s="41" t="inlineStr">
        <is>
          <t>OPS-009</t>
        </is>
      </c>
      <c r="B10" s="41" t="inlineStr">
        <is>
          <t>Operations &amp; Support</t>
        </is>
      </c>
      <c r="C10" s="41" t="inlineStr">
        <is>
          <t>Maintenance Windows</t>
        </is>
      </c>
      <c r="D10" s="41" t="inlineStr">
        <is>
          <t>What maintenance windows are acceptable for Omniverse?</t>
        </is>
      </c>
      <c r="E10" s="41" t="inlineStr">
        <is>
          <t>Options: Weekends only, After-hours weekdays, Monthly scheduled, Quarterly planned, Minimal downtime acceptable</t>
        </is>
      </c>
      <c r="F10" s="40" t="n"/>
      <c r="G10" s="41" t="inlineStr">
        <is>
          <t>Maintenance planning and user impact</t>
        </is>
      </c>
    </row>
    <row r="11">
      <c r="A11" s="39" t="inlineStr">
        <is>
          <t>OPS-010</t>
        </is>
      </c>
      <c r="B11" s="39" t="inlineStr">
        <is>
          <t>Operations &amp; Support</t>
        </is>
      </c>
      <c r="C11" s="39" t="inlineStr">
        <is>
          <t>User Support</t>
        </is>
      </c>
      <c r="D11" s="39" t="inlineStr">
        <is>
          <t>How will users get support for Omniverse issues?</t>
        </is>
      </c>
      <c r="E11" s="39" t="inlineStr">
        <is>
          <t>Support: IT helpdesk, Dedicated 3D support team, Email/ticketing system, Slack/Teams channel, Self-service documentation, Vendor support</t>
        </is>
      </c>
      <c r="F11" s="40" t="n"/>
      <c r="G11" s="39" t="inlineStr">
        <is>
          <t>User support model and escalation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25" customWidth="1" min="3" max="3"/>
    <col width="50" customWidth="1" min="4" max="4"/>
    <col width="40" customWidth="1" min="5" max="5"/>
    <col width="40" customWidth="1" min="6" max="6"/>
    <col width="30" customWidth="1" min="7" max="7"/>
  </cols>
  <sheetData>
    <row r="1" ht="32" customHeight="1">
      <c r="A1" s="38" t="inlineStr">
        <is>
          <t>Question ID</t>
        </is>
      </c>
      <c r="B1" s="38" t="inlineStr">
        <is>
          <t>Category</t>
        </is>
      </c>
      <c r="C1" s="38" t="inlineStr">
        <is>
          <t>Sub-Category</t>
        </is>
      </c>
      <c r="D1" s="38" t="inlineStr">
        <is>
          <t>Question</t>
        </is>
      </c>
      <c r="E1" s="38" t="inlineStr">
        <is>
          <t>Guidance</t>
        </is>
      </c>
      <c r="F1" s="38" t="inlineStr">
        <is>
          <t>Customer Response</t>
        </is>
      </c>
      <c r="G1" s="38" t="inlineStr">
        <is>
          <t>Notes</t>
        </is>
      </c>
    </row>
    <row r="2">
      <c r="A2" s="41" t="inlineStr">
        <is>
          <t>IMPL-001</t>
        </is>
      </c>
      <c r="B2" s="41" t="inlineStr">
        <is>
          <t>Implementation Planning</t>
        </is>
      </c>
      <c r="C2" s="41" t="inlineStr">
        <is>
          <t>Resources</t>
        </is>
      </c>
      <c r="D2" s="41" t="inlineStr">
        <is>
          <t>Who will be the technical lead for this Omniverse project?</t>
        </is>
      </c>
      <c r="E2" s="41" t="inlineStr">
        <is>
          <t>Name, role, contact information</t>
        </is>
      </c>
      <c r="F2" s="40" t="n"/>
      <c r="G2" s="41" t="inlineStr">
        <is>
          <t>Technical ownership and project management</t>
        </is>
      </c>
    </row>
    <row r="3">
      <c r="A3" s="39" t="inlineStr">
        <is>
          <t>IMPL-002</t>
        </is>
      </c>
      <c r="B3" s="39" t="inlineStr">
        <is>
          <t>Implementation Planning</t>
        </is>
      </c>
      <c r="C3" s="39" t="inlineStr">
        <is>
          <t>Team Availability</t>
        </is>
      </c>
      <c r="D3" s="39" t="inlineStr">
        <is>
          <t>What internal resources are available for Omniverse implementation?</t>
        </is>
      </c>
      <c r="E3" s="39" t="inlineStr">
        <is>
          <t>List team members, roles, and time commitment (hours per week)</t>
        </is>
      </c>
      <c r="F3" s="40" t="n"/>
      <c r="G3" s="39" t="inlineStr">
        <is>
          <t>Resource planning and project timeline feasibility</t>
        </is>
      </c>
    </row>
    <row r="4">
      <c r="A4" s="41" t="inlineStr">
        <is>
          <t>IMPL-003</t>
        </is>
      </c>
      <c r="B4" s="41" t="inlineStr">
        <is>
          <t>Implementation Planning</t>
        </is>
      </c>
      <c r="C4" s="41" t="inlineStr">
        <is>
          <t>Omniverse Experience</t>
        </is>
      </c>
      <c r="D4" s="41" t="inlineStr">
        <is>
          <t>What is your team's experience with NVIDIA Omniverse?</t>
        </is>
      </c>
      <c r="E4" s="41" t="inlineStr">
        <is>
          <t>Experience levels: No experience, Evaluated/demo'd, Pilot project, Production deployment, Expert users</t>
        </is>
      </c>
      <c r="F4" s="40" t="n"/>
      <c r="G4" s="41" t="inlineStr">
        <is>
          <t>Training needs assessment and knowledge transfer requirements</t>
        </is>
      </c>
    </row>
    <row r="5">
      <c r="A5" s="39" t="inlineStr">
        <is>
          <t>IMPL-004</t>
        </is>
      </c>
      <c r="B5" s="39" t="inlineStr">
        <is>
          <t>Implementation Planning</t>
        </is>
      </c>
      <c r="C5" s="39" t="inlineStr">
        <is>
          <t>USD Knowledge</t>
        </is>
      </c>
      <c r="D5" s="39" t="inlineStr">
        <is>
          <t>What is your team's experience with Universal Scene Description (USD)?</t>
        </is>
      </c>
      <c r="E5" s="39" t="inlineStr">
        <is>
          <t>Experience levels: No experience, Basic understanding, Production use in Pixar/Disney tools, USD pipeline development, Expert</t>
        </is>
      </c>
      <c r="F5" s="40" t="n"/>
      <c r="G5" s="39" t="inlineStr">
        <is>
          <t>USD workflow design and training requirements</t>
        </is>
      </c>
    </row>
    <row r="6">
      <c r="A6" s="41" t="inlineStr">
        <is>
          <t>IMPL-005</t>
        </is>
      </c>
      <c r="B6" s="41" t="inlineStr">
        <is>
          <t>Implementation Planning</t>
        </is>
      </c>
      <c r="C6" s="41" t="inlineStr">
        <is>
          <t>Infrastructure Readiness</t>
        </is>
      </c>
      <c r="D6" s="41" t="inlineStr">
        <is>
          <t>Is your infrastructure ready for Omniverse deployment?</t>
        </is>
      </c>
      <c r="E6" s="41" t="inlineStr">
        <is>
          <t>Options: Fully ready (network, storage, power), Partial readiness, Requires upgrades, New infrastructure needed</t>
        </is>
      </c>
      <c r="F6" s="40" t="n"/>
      <c r="G6" s="41" t="inlineStr">
        <is>
          <t>Infrastructure preparation timeline and cost</t>
        </is>
      </c>
    </row>
    <row r="7">
      <c r="A7" s="39" t="inlineStr">
        <is>
          <t>IMPL-006</t>
        </is>
      </c>
      <c r="B7" s="39" t="inlineStr">
        <is>
          <t>Implementation Planning</t>
        </is>
      </c>
      <c r="C7" s="39" t="inlineStr">
        <is>
          <t>Deployment Approach</t>
        </is>
      </c>
      <c r="D7" s="39" t="inlineStr">
        <is>
          <t>What is your preferred deployment approach?</t>
        </is>
      </c>
      <c r="E7" s="39" t="inlineStr">
        <is>
          <t>Options: Phased by department, Pilot with 5-10 users then expand, Full deployment, Single project pilot, Rolling implementation</t>
        </is>
      </c>
      <c r="F7" s="40" t="n"/>
      <c r="G7" s="39" t="inlineStr">
        <is>
          <t>Implementation strategy and risk mitigation</t>
        </is>
      </c>
    </row>
    <row r="8">
      <c r="A8" s="41" t="inlineStr">
        <is>
          <t>IMPL-007</t>
        </is>
      </c>
      <c r="B8" s="41" t="inlineStr">
        <is>
          <t>Implementation Planning</t>
        </is>
      </c>
      <c r="C8" s="41" t="inlineStr">
        <is>
          <t>Migration Strategy</t>
        </is>
      </c>
      <c r="D8" s="41" t="inlineStr">
        <is>
          <t>How will you migrate from current workflow to Omniverse?</t>
        </is>
      </c>
      <c r="E8" s="41" t="inlineStr">
        <is>
          <t>Options: Parallel operation (hybrid workflow), Gradual project migration, New projects only, Direct cutover, Specific department first</t>
        </is>
      </c>
      <c r="F8" s="40" t="n"/>
      <c r="G8" s="41" t="inlineStr">
        <is>
          <t>Migration approach and transition planning</t>
        </is>
      </c>
    </row>
    <row r="9">
      <c r="A9" s="39" t="inlineStr">
        <is>
          <t>IMPL-008</t>
        </is>
      </c>
      <c r="B9" s="39" t="inlineStr">
        <is>
          <t>Implementation Planning</t>
        </is>
      </c>
      <c r="C9" s="39" t="inlineStr">
        <is>
          <t>Training Needs</t>
        </is>
      </c>
      <c r="D9" s="39" t="inlineStr">
        <is>
          <t>What training will be needed for users and administrators?</t>
        </is>
      </c>
      <c r="E9" s="39" t="inlineStr">
        <is>
          <t>Types: Admin training (Nucleus server), User training (connector workflows), Advanced training (USD pipelines), Best practices, Certification</t>
        </is>
      </c>
      <c r="F9" s="40" t="n"/>
      <c r="G9" s="39" t="inlineStr">
        <is>
          <t>Knowledge transfer scope and timeline</t>
        </is>
      </c>
    </row>
    <row r="10">
      <c r="A10" s="41" t="inlineStr">
        <is>
          <t>IMPL-009</t>
        </is>
      </c>
      <c r="B10" s="41" t="inlineStr">
        <is>
          <t>Implementation Planning</t>
        </is>
      </c>
      <c r="C10" s="41" t="inlineStr">
        <is>
          <t>Pilot Projects</t>
        </is>
      </c>
      <c r="D10" s="41" t="inlineStr">
        <is>
          <t>Do you have specific pilot projects in mind for Omniverse?</t>
        </is>
      </c>
      <c r="E10" s="41" t="inlineStr">
        <is>
          <t>Specify: project type, timeline, team size, success criteria</t>
        </is>
      </c>
      <c r="F10" s="40" t="n"/>
      <c r="G10" s="41" t="inlineStr">
        <is>
          <t>Pilot project selection and validation approach</t>
        </is>
      </c>
    </row>
    <row r="11">
      <c r="A11" s="39" t="inlineStr">
        <is>
          <t>IMPL-010</t>
        </is>
      </c>
      <c r="B11" s="39" t="inlineStr">
        <is>
          <t>Implementation Planning</t>
        </is>
      </c>
      <c r="C11" s="39" t="inlineStr">
        <is>
          <t>NVIDIA Relationship</t>
        </is>
      </c>
      <c r="D11" s="39" t="inlineStr">
        <is>
          <t>Do you have an existing relationship with NVIDIA?</t>
        </is>
      </c>
      <c r="E11" s="39" t="inlineStr">
        <is>
          <t>Options: Direct NVIDIA relationship, Partner/reseller, Workstation vendor (Dell HP), No existing relationship, Prefer partner engagement</t>
        </is>
      </c>
      <c r="F11" s="40" t="n"/>
      <c r="G11" s="39" t="inlineStr">
        <is>
          <t>Procurement and partnership approach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25" customWidth="1" min="3" max="3"/>
    <col width="50" customWidth="1" min="4" max="4"/>
    <col width="40" customWidth="1" min="5" max="5"/>
    <col width="40" customWidth="1" min="6" max="6"/>
    <col width="30" customWidth="1" min="7" max="7"/>
  </cols>
  <sheetData>
    <row r="1" ht="32" customHeight="1">
      <c r="A1" s="38" t="inlineStr">
        <is>
          <t>Question ID</t>
        </is>
      </c>
      <c r="B1" s="38" t="inlineStr">
        <is>
          <t>Category</t>
        </is>
      </c>
      <c r="C1" s="38" t="inlineStr">
        <is>
          <t>Sub-Category</t>
        </is>
      </c>
      <c r="D1" s="38" t="inlineStr">
        <is>
          <t>Question</t>
        </is>
      </c>
      <c r="E1" s="38" t="inlineStr">
        <is>
          <t>Guidance</t>
        </is>
      </c>
      <c r="F1" s="38" t="inlineStr">
        <is>
          <t>Customer Response</t>
        </is>
      </c>
      <c r="G1" s="38" t="inlineStr">
        <is>
          <t>Notes</t>
        </is>
      </c>
    </row>
    <row r="2">
      <c r="A2" s="41" t="inlineStr">
        <is>
          <t>RISK-001</t>
        </is>
      </c>
      <c r="B2" s="41" t="inlineStr">
        <is>
          <t>Risk &amp; Constraints</t>
        </is>
      </c>
      <c r="C2" s="41" t="inlineStr">
        <is>
          <t>Implementation Risks</t>
        </is>
      </c>
      <c r="D2" s="41" t="inlineStr">
        <is>
          <t>What are your main concerns about Omniverse deployment?</t>
        </is>
      </c>
      <c r="E2" s="41" t="inlineStr">
        <is>
          <t>Consider: learning curve, workflow disruption, integration complexity, cost, team adoption, IT support burden</t>
        </is>
      </c>
      <c r="F2" s="40" t="n"/>
      <c r="G2" s="41" t="inlineStr">
        <is>
          <t>Primary implementation concerns and risk factors</t>
        </is>
      </c>
    </row>
    <row r="3">
      <c r="A3" s="39" t="inlineStr">
        <is>
          <t>RISK-002</t>
        </is>
      </c>
      <c r="B3" s="39" t="inlineStr">
        <is>
          <t>Risk &amp; Constraints</t>
        </is>
      </c>
      <c r="C3" s="39" t="inlineStr">
        <is>
          <t>Failure Factors</t>
        </is>
      </c>
      <c r="D3" s="39" t="inlineStr">
        <is>
          <t>What could cause this Omniverse project to fail?</t>
        </is>
      </c>
      <c r="E3" s="39" t="inlineStr">
        <is>
          <t>Consider: lack of executive support, user resistance, insufficient training, integration issues, performance problems, unrealistic expectations</t>
        </is>
      </c>
      <c r="F3" s="40" t="n"/>
      <c r="G3" s="39" t="inlineStr">
        <is>
          <t>Failure mode analysis and mitigation planning</t>
        </is>
      </c>
    </row>
    <row r="4">
      <c r="A4" s="41" t="inlineStr">
        <is>
          <t>RISK-003</t>
        </is>
      </c>
      <c r="B4" s="41" t="inlineStr">
        <is>
          <t>Risk &amp; Constraints</t>
        </is>
      </c>
      <c r="C4" s="41" t="inlineStr">
        <is>
          <t>Adoption Risk</t>
        </is>
      </c>
      <c r="D4" s="41" t="inlineStr">
        <is>
          <t>What are your concerns about team adoption and change management?</t>
        </is>
      </c>
      <c r="E4" s="41" t="inlineStr">
        <is>
          <t>Consider: resistance to new tools, learning curve, workflow changes, productivity dip during transition, competing priorities</t>
        </is>
      </c>
      <c r="F4" s="40" t="n"/>
      <c r="G4" s="41" t="inlineStr">
        <is>
          <t>Change management and user adoption strategy</t>
        </is>
      </c>
    </row>
    <row r="5">
      <c r="A5" s="39" t="inlineStr">
        <is>
          <t>RISK-004</t>
        </is>
      </c>
      <c r="B5" s="39" t="inlineStr">
        <is>
          <t>Risk &amp; Constraints</t>
        </is>
      </c>
      <c r="C5" s="39" t="inlineStr">
        <is>
          <t>Technical Risks</t>
        </is>
      </c>
      <c r="D5" s="39" t="inlineStr">
        <is>
          <t>What technical risks worry you most about Omniverse?</t>
        </is>
      </c>
      <c r="E5" s="39" t="inlineStr">
        <is>
          <t>Consider: connector compatibility, file format issues, performance with large scenes, network bandwidth, storage capacity, GPU compatibility</t>
        </is>
      </c>
      <c r="F5" s="40" t="n"/>
      <c r="G5" s="39" t="inlineStr">
        <is>
          <t>Technical risk factors and mitigation strategies</t>
        </is>
      </c>
    </row>
    <row r="6">
      <c r="A6" s="41" t="inlineStr">
        <is>
          <t>RISK-005</t>
        </is>
      </c>
      <c r="B6" s="41" t="inlineStr">
        <is>
          <t>Risk &amp; Constraints</t>
        </is>
      </c>
      <c r="C6" s="41" t="inlineStr">
        <is>
          <t>Integration Risks</t>
        </is>
      </c>
      <c r="D6" s="41" t="inlineStr">
        <is>
          <t>Do you have concerns about integrating Omniverse with existing tools?</t>
        </is>
      </c>
      <c r="E6" s="41" t="inlineStr">
        <is>
          <t>Consider: CAD tool versions, plugin compatibility, custom workflows, file format conversions, legacy data migration</t>
        </is>
      </c>
      <c r="F6" s="40" t="n"/>
      <c r="G6" s="41" t="inlineStr">
        <is>
          <t>Integration complexity and testing requirements</t>
        </is>
      </c>
    </row>
    <row r="7">
      <c r="A7" s="39" t="inlineStr">
        <is>
          <t>RISK-006</t>
        </is>
      </c>
      <c r="B7" s="39" t="inlineStr">
        <is>
          <t>Risk &amp; Constraints</t>
        </is>
      </c>
      <c r="C7" s="39" t="inlineStr">
        <is>
          <t>Performance Risks</t>
        </is>
      </c>
      <c r="D7" s="39" t="inlineStr">
        <is>
          <t>What are your concerns about rendering and collaboration performance?</t>
        </is>
      </c>
      <c r="E7" s="39" t="inlineStr">
        <is>
          <t>Consider: large scene performance, real-time collaboration latency, network bandwidth, GPU capacity, concurrent user limits</t>
        </is>
      </c>
      <c r="F7" s="40" t="n"/>
      <c r="G7" s="39" t="inlineStr">
        <is>
          <t>Performance expectations and testing validation</t>
        </is>
      </c>
    </row>
    <row r="8">
      <c r="A8" s="41" t="inlineStr">
        <is>
          <t>RISK-007</t>
        </is>
      </c>
      <c r="B8" s="41" t="inlineStr">
        <is>
          <t>Risk &amp; Constraints</t>
        </is>
      </c>
      <c r="C8" s="41" t="inlineStr">
        <is>
          <t>Dependencies</t>
        </is>
      </c>
      <c r="D8" s="41" t="inlineStr">
        <is>
          <t>What external dependencies exist for this project?</t>
        </is>
      </c>
      <c r="E8" s="41" t="inlineStr">
        <is>
          <t>Examples: Infrastructure upgrades, Budget approvals, Hardware procurement, Network upgrades, Vendor availability, Training schedules, Pilot project completion</t>
        </is>
      </c>
      <c r="F8" s="40" t="n"/>
      <c r="G8" s="41" t="inlineStr">
        <is>
          <t>Project dependencies and critical path items</t>
        </is>
      </c>
    </row>
    <row r="9">
      <c r="A9" s="39" t="inlineStr">
        <is>
          <t>RISK-008</t>
        </is>
      </c>
      <c r="B9" s="39" t="inlineStr">
        <is>
          <t>Risk &amp; Constraints</t>
        </is>
      </c>
      <c r="C9" s="39" t="inlineStr">
        <is>
          <t>Constraints</t>
        </is>
      </c>
      <c r="D9" s="39" t="inlineStr">
        <is>
          <t>What constraints must the solution work within?</t>
        </is>
      </c>
      <c r="E9" s="39" t="inlineStr">
        <is>
          <t>Consider: budget limits, timeline, existing hardware, network capacity, storage limits, IT policies, vendor standards, departmental boundaries</t>
        </is>
      </c>
      <c r="F9" s="40" t="n"/>
      <c r="G9" s="39" t="inlineStr">
        <is>
          <t>Solution design boundaries and constraints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2025-11-16T20:54:40Z</dcterms:created>
  <dcterms:modified xmlns:dcterms="http://purl.org/dc/terms/" xmlns:xsi="http://www.w3.org/2001/XMLSchema-instance" xsi:type="dcterms:W3CDTF">2025-11-22T23:20:48Z</dcterms:modified>
  <cp:lastModifiedBy>Kishan Siram</cp:lastModifiedBy>
</cp:coreProperties>
</file>