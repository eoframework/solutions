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Costs'!$A$2:$K$16</definedName>
    <definedName name="_xlnm._FilterDatabase" localSheetId="3" hidden="1">'Credits'!$A$2:$D$6</definedName>
    <definedName name="_xlnm._FilterDatabase" localSheetId="4" hidden="1">'3-Year Summary'!$A$2:$G$6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Omniverse Enterprise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User Workstations</t>
        </is>
      </c>
      <c r="B3" s="38" t="inlineStr">
        <is>
          <t>RTX Workstations</t>
        </is>
      </c>
      <c r="C3" s="39" t="inlineStr">
        <is>
          <t>25 Dell Precision 7960</t>
        </is>
      </c>
      <c r="D3" s="39" t="inlineStr">
        <is>
          <t>50 Dell Precision 7960</t>
        </is>
      </c>
      <c r="E3" s="39" t="inlineStr">
        <is>
          <t>100 Dell Precision 7960</t>
        </is>
      </c>
      <c r="F3" s="38" t="inlineStr">
        <is>
          <t>RTX A6000 48GB or RTX 6000 Ada</t>
        </is>
      </c>
    </row>
    <row r="4" ht="26" customHeight="1">
      <c r="A4" s="40" t="inlineStr">
        <is>
          <t>GPU Configuration</t>
        </is>
      </c>
      <c r="B4" s="41" t="inlineStr">
        <is>
          <t>GPU per Workstation</t>
        </is>
      </c>
      <c r="C4" s="42" t="inlineStr">
        <is>
          <t>1x RTX A6000 48GB</t>
        </is>
      </c>
      <c r="D4" s="42" t="inlineStr">
        <is>
          <t>1x RTX A6000 48GB</t>
        </is>
      </c>
      <c r="E4" s="42" t="inlineStr">
        <is>
          <t>1-2x RTX A6000 48GB</t>
        </is>
      </c>
      <c r="F4" s="41" t="inlineStr">
        <is>
          <t>48GB VRAM for complex scenes</t>
        </is>
      </c>
    </row>
    <row r="5" ht="26" customHeight="1">
      <c r="A5" s="37" t="inlineStr">
        <is>
          <t>Nucleus Servers</t>
        </is>
      </c>
      <c r="B5" s="38" t="inlineStr">
        <is>
          <t>Collaboration Servers</t>
        </is>
      </c>
      <c r="C5" s="39" t="inlineStr">
        <is>
          <t>1 primary + 1 replica</t>
        </is>
      </c>
      <c r="D5" s="39" t="inlineStr">
        <is>
          <t>2 primary + 2 replica</t>
        </is>
      </c>
      <c r="E5" s="39" t="inlineStr">
        <is>
          <t>4 primary + 4 replica (HA)</t>
        </is>
      </c>
      <c r="F5" s="38" t="inlineStr">
        <is>
          <t>USD scene version control</t>
        </is>
      </c>
    </row>
    <row r="6" ht="26" customHeight="1">
      <c r="A6" s="40" t="inlineStr">
        <is>
          <t>Storage Capacity</t>
        </is>
      </c>
      <c r="B6" s="41" t="inlineStr">
        <is>
          <t>USD Scene Storage</t>
        </is>
      </c>
      <c r="C6" s="42" t="inlineStr">
        <is>
          <t>50 TB</t>
        </is>
      </c>
      <c r="D6" s="42" t="inlineStr">
        <is>
          <t>100 TB</t>
        </is>
      </c>
      <c r="E6" s="42" t="inlineStr">
        <is>
          <t>200 TB</t>
        </is>
      </c>
      <c r="F6" s="41" t="inlineStr">
        <is>
          <t>Projects models textures caches</t>
        </is>
      </c>
    </row>
    <row r="7" ht="26" customHeight="1">
      <c r="A7" s="37" t="inlineStr">
        <is>
          <t>Storage Performance</t>
        </is>
      </c>
      <c r="B7" s="38" t="inlineStr">
        <is>
          <t>Throughput</t>
        </is>
      </c>
      <c r="C7" s="39" t="inlineStr">
        <is>
          <t>2-3 GB/s</t>
        </is>
      </c>
      <c r="D7" s="39" t="inlineStr">
        <is>
          <t>3-5 GB/s</t>
        </is>
      </c>
      <c r="E7" s="39" t="inlineStr">
        <is>
          <t>5-10 GB/s</t>
        </is>
      </c>
      <c r="F7" s="38" t="inlineStr">
        <is>
          <t>Large scene sync performance</t>
        </is>
      </c>
    </row>
    <row r="8" ht="26" customHeight="1">
      <c r="A8" s="40" t="inlineStr">
        <is>
          <t>Network Fabric</t>
        </is>
      </c>
      <c r="B8" s="41" t="inlineStr">
        <is>
          <t>Ethernet Speed</t>
        </is>
      </c>
      <c r="C8" s="42" t="inlineStr">
        <is>
          <t>10 GbE</t>
        </is>
      </c>
      <c r="D8" s="42" t="inlineStr">
        <is>
          <t>100 GbE</t>
        </is>
      </c>
      <c r="E8" s="42" t="inlineStr">
        <is>
          <t>100 GbE (redundant)</t>
        </is>
      </c>
      <c r="F8" s="41" t="inlineStr">
        <is>
          <t>Fast file transfers for collaboration</t>
        </is>
      </c>
    </row>
    <row r="9" ht="26" customHeight="1">
      <c r="A9" s="37" t="inlineStr">
        <is>
          <t>Rendering Capacity</t>
        </is>
      </c>
      <c r="B9" s="38" t="inlineStr">
        <is>
          <t>Omniverse Farm Nodes</t>
        </is>
      </c>
      <c r="C9" s="39" t="inlineStr">
        <is>
          <t>5 render nodes</t>
        </is>
      </c>
      <c r="D9" s="39" t="inlineStr">
        <is>
          <t>10 render nodes</t>
        </is>
      </c>
      <c r="E9" s="39" t="inlineStr">
        <is>
          <t>20 render nodes</t>
        </is>
      </c>
      <c r="F9" s="38" t="inlineStr">
        <is>
          <t>Batch rendering capacity</t>
        </is>
      </c>
    </row>
    <row r="10" ht="26" customHeight="1">
      <c r="A10" s="40" t="inlineStr">
        <is>
          <t>Concurrent Collaboration</t>
        </is>
      </c>
      <c r="B10" s="41" t="inlineStr">
        <is>
          <t>Real-Time Users</t>
        </is>
      </c>
      <c r="C10" s="42" t="inlineStr">
        <is>
          <t>10-15 concurrent</t>
        </is>
      </c>
      <c r="D10" s="42" t="inlineStr">
        <is>
          <t>25-30 concurrent</t>
        </is>
      </c>
      <c r="E10" s="42" t="inlineStr">
        <is>
          <t>50-75 concurrent</t>
        </is>
      </c>
      <c r="F10" s="41" t="inlineStr">
        <is>
          <t>Simultaneous scene editing</t>
        </is>
      </c>
    </row>
    <row r="11" ht="26" customHeight="1">
      <c r="A11" s="37" t="inlineStr">
        <is>
          <t>Software Licenses</t>
        </is>
      </c>
      <c r="B11" s="38" t="inlineStr">
        <is>
          <t>Omniverse Enterprise</t>
        </is>
      </c>
      <c r="C11" s="39" t="inlineStr">
        <is>
          <t>25 user licenses</t>
        </is>
      </c>
      <c r="D11" s="39" t="inlineStr">
        <is>
          <t>50 user licenses</t>
        </is>
      </c>
      <c r="E11" s="39" t="inlineStr">
        <is>
          <t>100 user licenses</t>
        </is>
      </c>
      <c r="F11" s="38" t="inlineStr">
        <is>
          <t>Annual subscription per user</t>
        </is>
      </c>
    </row>
    <row r="12" ht="26" customHeight="1">
      <c r="A12" s="40" t="inlineStr">
        <is>
          <t>Typical Use Case</t>
        </is>
      </c>
      <c r="B12" s="41" t="inlineStr">
        <is>
          <t>Primary Application</t>
        </is>
      </c>
      <c r="C12" s="42" t="inlineStr">
        <is>
          <t>Product design collaboration</t>
        </is>
      </c>
      <c r="D12" s="42" t="inlineStr">
        <is>
          <t>Architectural visualization + product design</t>
        </is>
      </c>
      <c r="E12" s="42" t="inlineStr">
        <is>
          <t>Large-scale manufacturing digital twins</t>
        </is>
      </c>
      <c r="F12" s="41" t="inlineStr">
        <is>
          <t>Workload guidance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Dell Precision 7960 Workstation</t>
        </is>
      </c>
      <c r="C3" s="44" t="inlineStr">
        <is>
          <t>Intel Xeon W 64GB RAM 2TB NVMe 1x RTX A6000 48GB</t>
        </is>
      </c>
      <c r="D3" s="45" t="n">
        <v>50</v>
      </c>
      <c r="E3" s="44" t="inlineStr">
        <is>
          <t>Workstations</t>
        </is>
      </c>
      <c r="F3" s="46" t="n">
        <v>15000</v>
      </c>
      <c r="G3" s="46">
        <f>$50*$15000</f>
        <v/>
      </c>
      <c r="H3" s="46">
        <f>$0</f>
        <v/>
      </c>
      <c r="I3" s="46">
        <f>$0</f>
        <v/>
      </c>
      <c r="J3" s="46">
        <f>$750000</f>
        <v/>
      </c>
      <c r="K3" s="44" t="inlineStr">
        <is>
          <t>Designer workstations</t>
        </is>
      </c>
    </row>
    <row r="4" ht="26" customHeight="1">
      <c r="A4" s="47" t="inlineStr">
        <is>
          <t>Hardware</t>
        </is>
      </c>
      <c r="B4" s="48" t="inlineStr">
        <is>
          <t>Omniverse Nucleus Server</t>
        </is>
      </c>
      <c r="C4" s="48" t="inlineStr">
        <is>
          <t>Dell PowerEdge R750 dual Xeon 256GB RAM 20TB NVMe RAID</t>
        </is>
      </c>
      <c r="D4" s="49" t="n">
        <v>2</v>
      </c>
      <c r="E4" s="48" t="inlineStr">
        <is>
          <t>Servers</t>
        </is>
      </c>
      <c r="F4" s="50" t="n">
        <v>50000</v>
      </c>
      <c r="G4" s="50">
        <f>$2*$50000</f>
        <v/>
      </c>
      <c r="H4" s="50">
        <f>$0</f>
        <v/>
      </c>
      <c r="I4" s="50">
        <f>$0</f>
        <v/>
      </c>
      <c r="J4" s="50">
        <f>$100000</f>
        <v/>
      </c>
      <c r="K4" s="48" t="inlineStr">
        <is>
          <t>Primary + replica HA</t>
        </is>
      </c>
    </row>
    <row r="5" ht="26" customHeight="1">
      <c r="A5" s="43" t="inlineStr">
        <is>
          <t>Hardware</t>
        </is>
      </c>
      <c r="B5" s="44" t="inlineStr">
        <is>
          <t>Rendering Farm Nodes</t>
        </is>
      </c>
      <c r="C5" s="44" t="inlineStr">
        <is>
          <t>Dell Precision 7960 with RTX A6000 for batch rendering</t>
        </is>
      </c>
      <c r="D5" s="45" t="n">
        <v>10</v>
      </c>
      <c r="E5" s="44" t="inlineStr">
        <is>
          <t>Nodes</t>
        </is>
      </c>
      <c r="F5" s="46" t="n">
        <v>15000</v>
      </c>
      <c r="G5" s="46">
        <f>$10*$15000</f>
        <v/>
      </c>
      <c r="H5" s="46">
        <f>$0</f>
        <v/>
      </c>
      <c r="I5" s="46">
        <f>$0</f>
        <v/>
      </c>
      <c r="J5" s="46">
        <f>$150000</f>
        <v/>
      </c>
      <c r="K5" s="44" t="inlineStr">
        <is>
          <t>Omniverse Farm rendering</t>
        </is>
      </c>
    </row>
    <row r="6" ht="26" customHeight="1">
      <c r="A6" s="47" t="inlineStr">
        <is>
          <t>Hardware</t>
        </is>
      </c>
      <c r="B6" s="48" t="inlineStr">
        <is>
          <t>Network Switch 100GbE</t>
        </is>
      </c>
      <c r="C6" s="48" t="inlineStr">
        <is>
          <t>Mellanox 100 Gbps Ethernet switch</t>
        </is>
      </c>
      <c r="D6" s="49" t="n">
        <v>2</v>
      </c>
      <c r="E6" s="48" t="inlineStr">
        <is>
          <t>Switches</t>
        </is>
      </c>
      <c r="F6" s="50" t="n">
        <v>18000</v>
      </c>
      <c r="G6" s="50">
        <f>$2*$18000</f>
        <v/>
      </c>
      <c r="H6" s="50">
        <f>$0</f>
        <v/>
      </c>
      <c r="I6" s="50">
        <f>$0</f>
        <v/>
      </c>
      <c r="J6" s="50">
        <f>$36000</f>
        <v/>
      </c>
      <c r="K6" s="48" t="inlineStr">
        <is>
          <t>High-speed file transfers</t>
        </is>
      </c>
    </row>
    <row r="7" ht="26" customHeight="1">
      <c r="A7" s="43" t="inlineStr">
        <is>
          <t>Hardware</t>
        </is>
      </c>
      <c r="B7" s="44" t="inlineStr">
        <is>
          <t>Storage Array</t>
        </is>
      </c>
      <c r="C7" s="44" t="inlineStr">
        <is>
          <t>NetApp AFF A400 100 TB NVMe all-flash</t>
        </is>
      </c>
      <c r="D7" s="45" t="n">
        <v>1</v>
      </c>
      <c r="E7" s="44" t="inlineStr">
        <is>
          <t>System</t>
        </is>
      </c>
      <c r="F7" s="46" t="n">
        <v>120000</v>
      </c>
      <c r="G7" s="46">
        <f>$1*$120000</f>
        <v/>
      </c>
      <c r="H7" s="46">
        <f>$0</f>
        <v/>
      </c>
      <c r="I7" s="46">
        <f>$0</f>
        <v/>
      </c>
      <c r="J7" s="46">
        <f>$120000</f>
        <v/>
      </c>
      <c r="K7" s="44" t="inlineStr">
        <is>
          <t>USD scene storage</t>
        </is>
      </c>
    </row>
    <row r="8" ht="26" customHeight="1">
      <c r="A8" s="47" t="inlineStr">
        <is>
          <t>Hardware</t>
        </is>
      </c>
      <c r="B8" s="48" t="inlineStr">
        <is>
          <t>UPS Power Protection</t>
        </is>
      </c>
      <c r="C8" s="48" t="inlineStr">
        <is>
          <t>Rack-mounted UPS for servers (10 kVA)</t>
        </is>
      </c>
      <c r="D8" s="49" t="n">
        <v>2</v>
      </c>
      <c r="E8" s="48" t="inlineStr">
        <is>
          <t>UPS Units</t>
        </is>
      </c>
      <c r="F8" s="50" t="n">
        <v>8000</v>
      </c>
      <c r="G8" s="50">
        <f>$2*$8000</f>
        <v/>
      </c>
      <c r="H8" s="50">
        <f>$0</f>
        <v/>
      </c>
      <c r="I8" s="50">
        <f>$0</f>
        <v/>
      </c>
      <c r="J8" s="50">
        <f>$16000</f>
        <v/>
      </c>
      <c r="K8" s="48" t="inlineStr">
        <is>
          <t>Power protection</t>
        </is>
      </c>
    </row>
    <row r="9" ht="26" customHeight="1">
      <c r="A9" s="43" t="inlineStr">
        <is>
          <t>Software Licenses</t>
        </is>
      </c>
      <c r="B9" s="44" t="inlineStr">
        <is>
          <t>Omniverse Enterprise</t>
        </is>
      </c>
      <c r="C9" s="44" t="inlineStr">
        <is>
          <t>Per-user annual subscription (50 users)</t>
        </is>
      </c>
      <c r="D9" s="45" t="n">
        <v>50</v>
      </c>
      <c r="E9" s="44" t="inlineStr">
        <is>
          <t>User Licenses/Year</t>
        </is>
      </c>
      <c r="F9" s="46" t="n">
        <v>1800</v>
      </c>
      <c r="G9" s="46">
        <f>$50*$1800</f>
        <v/>
      </c>
      <c r="H9" s="46">
        <f>$90000</f>
        <v/>
      </c>
      <c r="I9" s="46">
        <f>$90000</f>
        <v/>
      </c>
      <c r="J9" s="46">
        <f>$360000</f>
        <v/>
      </c>
      <c r="K9" s="44" t="inlineStr">
        <is>
          <t>Collaboration platform</t>
        </is>
      </c>
    </row>
    <row r="10" ht="26" customHeight="1">
      <c r="A10" s="47" t="inlineStr">
        <is>
          <t>Software Licenses</t>
        </is>
      </c>
      <c r="B10" s="48" t="inlineStr">
        <is>
          <t>Omniverse Farm</t>
        </is>
      </c>
      <c r="C10" s="48" t="inlineStr">
        <is>
          <t>Rendering node licenses (10 nodes)</t>
        </is>
      </c>
      <c r="D10" s="49" t="n">
        <v>10</v>
      </c>
      <c r="E10" s="48" t="inlineStr">
        <is>
          <t>Node Licenses/Year</t>
        </is>
      </c>
      <c r="F10" s="50" t="n">
        <v>900</v>
      </c>
      <c r="G10" s="50">
        <f>$10*$900</f>
        <v/>
      </c>
      <c r="H10" s="50">
        <f>$9000</f>
        <v/>
      </c>
      <c r="I10" s="50">
        <f>$9000</f>
        <v/>
      </c>
      <c r="J10" s="50">
        <f>$36000</f>
        <v/>
      </c>
      <c r="K10" s="48" t="inlineStr">
        <is>
          <t>Batch rendering</t>
        </is>
      </c>
    </row>
    <row r="11" ht="26" customHeight="1">
      <c r="A11" s="43" t="inlineStr">
        <is>
          <t>Software Licenses</t>
        </is>
      </c>
      <c r="B11" s="44" t="inlineStr">
        <is>
          <t>CAD Connectors</t>
        </is>
      </c>
      <c r="C11" s="44" t="inlineStr">
        <is>
          <t>Revit SolidWorks Rhino connectors included with Enterprise</t>
        </is>
      </c>
      <c r="D11" s="45" t="n">
        <v>1</v>
      </c>
      <c r="E11" s="44" t="inlineStr">
        <is>
          <t>Included</t>
        </is>
      </c>
      <c r="F11" s="46" t="n">
        <v>0</v>
      </c>
      <c r="G11" s="46">
        <f>$0</f>
        <v/>
      </c>
      <c r="H11" s="46">
        <f>$0</f>
        <v/>
      </c>
      <c r="I11" s="46">
        <f>$0</f>
        <v/>
      </c>
      <c r="J11" s="46">
        <f>$0</f>
        <v/>
      </c>
      <c r="K11" s="44" t="inlineStr">
        <is>
          <t>Included with subscription</t>
        </is>
      </c>
    </row>
    <row r="12" ht="26" customHeight="1">
      <c r="A12" s="47" t="inlineStr">
        <is>
          <t>Software Licenses</t>
        </is>
      </c>
      <c r="B12" s="48" t="inlineStr">
        <is>
          <t>Asset Libraries</t>
        </is>
      </c>
      <c r="C12" s="48" t="inlineStr">
        <is>
          <t>Pre-built materials models environments</t>
        </is>
      </c>
      <c r="D12" s="49" t="n">
        <v>1</v>
      </c>
      <c r="E12" s="48" t="inlineStr">
        <is>
          <t>Library/Year</t>
        </is>
      </c>
      <c r="F12" s="50" t="n">
        <v>5000</v>
      </c>
      <c r="G12" s="50">
        <f>$1*$5000</f>
        <v/>
      </c>
      <c r="H12" s="50">
        <f>$5000</f>
        <v/>
      </c>
      <c r="I12" s="50">
        <f>$5000</f>
        <v/>
      </c>
      <c r="J12" s="50">
        <f>$15000</f>
        <v/>
      </c>
      <c r="K12" s="48" t="inlineStr">
        <is>
          <t>Content library subscription</t>
        </is>
      </c>
    </row>
    <row r="13" ht="26" customHeight="1">
      <c r="A13" s="43" t="inlineStr">
        <is>
          <t>Support &amp; Maintenance</t>
        </is>
      </c>
      <c r="B13" s="44" t="inlineStr">
        <is>
          <t>Dell ProSupport Plus</t>
        </is>
      </c>
      <c r="C13" s="44" t="inlineStr">
        <is>
          <t>24x7 hardware support for workstations</t>
        </is>
      </c>
      <c r="D13" s="45" t="n">
        <v>60</v>
      </c>
      <c r="E13" s="44" t="inlineStr">
        <is>
          <t>Systems/Year</t>
        </is>
      </c>
      <c r="F13" s="46" t="n">
        <v>1200</v>
      </c>
      <c r="G13" s="46">
        <f>$60*$1200</f>
        <v/>
      </c>
      <c r="H13" s="46">
        <f>$72000</f>
        <v/>
      </c>
      <c r="I13" s="46">
        <f>$72000</f>
        <v/>
      </c>
      <c r="J13" s="46">
        <f>$216000</f>
        <v/>
      </c>
      <c r="K13" s="44" t="inlineStr">
        <is>
          <t>Workstation and server support</t>
        </is>
      </c>
    </row>
    <row r="14" ht="26" customHeight="1">
      <c r="A14" s="47" t="inlineStr">
        <is>
          <t>Support &amp; Maintenance</t>
        </is>
      </c>
      <c r="B14" s="48" t="inlineStr">
        <is>
          <t>NVIDIA Omniverse Support</t>
        </is>
      </c>
      <c r="C14" s="48" t="inlineStr">
        <is>
          <t>Enterprise support with dedicated TAM</t>
        </is>
      </c>
      <c r="D14" s="49" t="n">
        <v>1</v>
      </c>
      <c r="E14" s="48" t="inlineStr">
        <is>
          <t>Contract/Year</t>
        </is>
      </c>
      <c r="F14" s="50" t="n">
        <v>25000</v>
      </c>
      <c r="G14" s="50">
        <f>$1*$25000</f>
        <v/>
      </c>
      <c r="H14" s="50">
        <f>$25000</f>
        <v/>
      </c>
      <c r="I14" s="50">
        <f>$25000</f>
        <v/>
      </c>
      <c r="J14" s="50">
        <f>$75000</f>
        <v/>
      </c>
      <c r="K14" s="48" t="inlineStr">
        <is>
          <t>Platform support</t>
        </is>
      </c>
    </row>
    <row r="15" ht="26" customHeight="1">
      <c r="A15" s="43" t="inlineStr">
        <is>
          <t>Support &amp; Maintenance</t>
        </is>
      </c>
      <c r="B15" s="44" t="inlineStr">
        <is>
          <t>NetApp Support</t>
        </is>
      </c>
      <c r="C15" s="44" t="inlineStr">
        <is>
          <t>Storage hardware and software maintenance</t>
        </is>
      </c>
      <c r="D15" s="45" t="n">
        <v>1</v>
      </c>
      <c r="E15" s="44" t="inlineStr">
        <is>
          <t>System/Year</t>
        </is>
      </c>
      <c r="F15" s="46" t="n">
        <v>12000</v>
      </c>
      <c r="G15" s="46">
        <f>$1*$12000</f>
        <v/>
      </c>
      <c r="H15" s="46">
        <f>$12000</f>
        <v/>
      </c>
      <c r="I15" s="46">
        <f>$12000</f>
        <v/>
      </c>
      <c r="J15" s="46">
        <f>$36000</f>
        <v/>
      </c>
      <c r="K15" s="44" t="inlineStr">
        <is>
          <t>Storage support</t>
        </is>
      </c>
    </row>
    <row r="16" ht="26" customHeight="1">
      <c r="A16" s="51" t="inlineStr">
        <is>
          <t>TOTAL</t>
        </is>
      </c>
      <c r="B16" s="52" t="n"/>
      <c r="C16" s="52" t="n"/>
      <c r="D16" s="52" t="n"/>
      <c r="E16" s="52" t="n"/>
      <c r="F16" s="52" t="n"/>
      <c r="G16" s="53">
        <f>SUM(G3:G15)</f>
        <v/>
      </c>
      <c r="H16" s="53">
        <f>SUM(H3:H15)</f>
        <v/>
      </c>
      <c r="I16" s="53">
        <f>SUM(I3:I15)</f>
        <v/>
      </c>
      <c r="J16" s="53">
        <f>SUM(J3:J15)</f>
        <v/>
      </c>
      <c r="K16" s="52" t="n"/>
    </row>
  </sheetData>
  <autoFilter ref="A2:K1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Dell Volume Discount</t>
        </is>
      </c>
      <c r="C3" s="46" t="n">
        <v>-37500</v>
      </c>
      <c r="D3" s="44" t="inlineStr">
        <is>
          <t>5% discount on 50-workstation purchase</t>
        </is>
      </c>
    </row>
    <row r="4" ht="26" customHeight="1">
      <c r="A4" s="47" t="inlineStr">
        <is>
          <t>Software Licenses</t>
        </is>
      </c>
      <c r="B4" s="48" t="inlineStr">
        <is>
          <t>Omniverse Launch Credit</t>
        </is>
      </c>
      <c r="C4" s="50" t="n">
        <v>-9000</v>
      </c>
      <c r="D4" s="48" t="inlineStr">
        <is>
          <t>10% Year 1 discount for new enterprise deployment</t>
        </is>
      </c>
    </row>
    <row r="5" ht="26" customHeight="1">
      <c r="A5" s="43" t="inlineStr">
        <is>
          <t>Professional Services</t>
        </is>
      </c>
      <c r="B5" s="44" t="inlineStr">
        <is>
          <t>Partner Services Credit</t>
        </is>
      </c>
      <c r="C5" s="46" t="n">
        <v>0</v>
      </c>
      <c r="D5" s="44" t="inlineStr">
        <is>
          <t>No professional services credits available</t>
        </is>
      </c>
    </row>
    <row r="6" ht="26" customHeight="1">
      <c r="A6" s="47" t="inlineStr">
        <is>
          <t>Support &amp; Maintenance</t>
        </is>
      </c>
      <c r="B6" s="48" t="inlineStr">
        <is>
          <t>Support Credit</t>
        </is>
      </c>
      <c r="C6" s="50" t="n">
        <v>0</v>
      </c>
      <c r="D6" s="48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TOTAL</t>
        </is>
      </c>
      <c r="B6" s="53">
        <f>SUM(B3:B5)</f>
        <v/>
      </c>
      <c r="C6" s="53">
        <f>SUM(C3:C5)</f>
        <v/>
      </c>
      <c r="D6" s="53">
        <f>SUM(D3:D5)</f>
        <v/>
      </c>
      <c r="E6" s="53">
        <f>SUM(E3:E5)</f>
        <v/>
      </c>
      <c r="F6" s="53">
        <f>SUM(F3:F5)</f>
        <v/>
      </c>
      <c r="G6" s="53">
        <f>SUM(G3:G5)</f>
        <v/>
      </c>
    </row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2025-11-25T04:30:39Z</dcterms:modified>
  <cp:lastModifiedBy>Kishan Siram</cp:lastModifiedBy>
</cp:coreProperties>
</file>