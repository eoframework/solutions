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Workstations</t>
        </is>
      </c>
      <c r="B3" s="38" t="inlineStr">
        <is>
          <t>RTX Workstations</t>
        </is>
      </c>
      <c r="C3" s="39" t="inlineStr">
        <is>
          <t>25 Dell Precision 7960</t>
        </is>
      </c>
      <c r="D3" s="39" t="inlineStr">
        <is>
          <t>50 Dell Precision 7960</t>
        </is>
      </c>
      <c r="E3" s="39" t="inlineStr">
        <is>
          <t>100 Dell Precision 7960</t>
        </is>
      </c>
      <c r="F3" s="38" t="inlineStr">
        <is>
          <t>RTX A6000 48GB or RTX 6000 Ada</t>
        </is>
      </c>
    </row>
    <row r="4" ht="26" customHeight="1">
      <c r="A4" s="40" t="inlineStr">
        <is>
          <t>GPU Configuration</t>
        </is>
      </c>
      <c r="B4" s="41" t="inlineStr">
        <is>
          <t>GPU per Workstation</t>
        </is>
      </c>
      <c r="C4" s="42" t="inlineStr">
        <is>
          <t>1x RTX A6000 48GB</t>
        </is>
      </c>
      <c r="D4" s="42" t="inlineStr">
        <is>
          <t>1x RTX A6000 48GB</t>
        </is>
      </c>
      <c r="E4" s="42" t="inlineStr">
        <is>
          <t>1-2x RTX A6000 48GB</t>
        </is>
      </c>
      <c r="F4" s="41" t="inlineStr">
        <is>
          <t>48GB VRAM for complex scenes</t>
        </is>
      </c>
    </row>
    <row r="5" ht="26" customHeight="1">
      <c r="A5" s="37" t="inlineStr">
        <is>
          <t>Nucleus Servers</t>
        </is>
      </c>
      <c r="B5" s="38" t="inlineStr">
        <is>
          <t>Collaboration Servers</t>
        </is>
      </c>
      <c r="C5" s="39" t="inlineStr">
        <is>
          <t>1 primary + 1 replica</t>
        </is>
      </c>
      <c r="D5" s="39" t="inlineStr">
        <is>
          <t>2 primary + 2 replica</t>
        </is>
      </c>
      <c r="E5" s="39" t="inlineStr">
        <is>
          <t>4 primary + 4 replica (HA)</t>
        </is>
      </c>
      <c r="F5" s="38" t="inlineStr">
        <is>
          <t>USD scene version control</t>
        </is>
      </c>
    </row>
    <row r="6" ht="26" customHeight="1">
      <c r="A6" s="40" t="inlineStr">
        <is>
          <t>Storage Capacity</t>
        </is>
      </c>
      <c r="B6" s="41" t="inlineStr">
        <is>
          <t>USD Scene Storage</t>
        </is>
      </c>
      <c r="C6" s="42" t="inlineStr">
        <is>
          <t>50 TB</t>
        </is>
      </c>
      <c r="D6" s="42" t="inlineStr">
        <is>
          <t>100 TB</t>
        </is>
      </c>
      <c r="E6" s="42" t="inlineStr">
        <is>
          <t>200 TB</t>
        </is>
      </c>
      <c r="F6" s="41" t="inlineStr">
        <is>
          <t>Projects models textures caches</t>
        </is>
      </c>
    </row>
    <row r="7" ht="26" customHeight="1">
      <c r="A7" s="37" t="inlineStr">
        <is>
          <t>Storage Performance</t>
        </is>
      </c>
      <c r="B7" s="38" t="inlineStr">
        <is>
          <t>Throughput</t>
        </is>
      </c>
      <c r="C7" s="39" t="inlineStr">
        <is>
          <t>2-3 GB/s</t>
        </is>
      </c>
      <c r="D7" s="39" t="inlineStr">
        <is>
          <t>3-5 GB/s</t>
        </is>
      </c>
      <c r="E7" s="39" t="inlineStr">
        <is>
          <t>5-10 GB/s</t>
        </is>
      </c>
      <c r="F7" s="38" t="inlineStr">
        <is>
          <t>Large scene sync performance</t>
        </is>
      </c>
    </row>
    <row r="8" ht="26" customHeight="1">
      <c r="A8" s="40" t="inlineStr">
        <is>
          <t>Network Fabric</t>
        </is>
      </c>
      <c r="B8" s="41" t="inlineStr">
        <is>
          <t>Ethernet Speed</t>
        </is>
      </c>
      <c r="C8" s="42" t="inlineStr">
        <is>
          <t>10 GbE</t>
        </is>
      </c>
      <c r="D8" s="42" t="inlineStr">
        <is>
          <t>100 GbE</t>
        </is>
      </c>
      <c r="E8" s="42" t="inlineStr">
        <is>
          <t>100 GbE (redundant)</t>
        </is>
      </c>
      <c r="F8" s="41" t="inlineStr">
        <is>
          <t>Fast file transfers for collaboration</t>
        </is>
      </c>
    </row>
    <row r="9" ht="26" customHeight="1">
      <c r="A9" s="37" t="inlineStr">
        <is>
          <t>Rendering Capacity</t>
        </is>
      </c>
      <c r="B9" s="38" t="inlineStr">
        <is>
          <t>Omniverse Farm Nodes</t>
        </is>
      </c>
      <c r="C9" s="39" t="inlineStr">
        <is>
          <t>5 render nodes</t>
        </is>
      </c>
      <c r="D9" s="39" t="inlineStr">
        <is>
          <t>10 render nodes</t>
        </is>
      </c>
      <c r="E9" s="39" t="inlineStr">
        <is>
          <t>20 render nodes</t>
        </is>
      </c>
      <c r="F9" s="38" t="inlineStr">
        <is>
          <t>Batch rendering capacity</t>
        </is>
      </c>
    </row>
    <row r="10" ht="26" customHeight="1">
      <c r="A10" s="40" t="inlineStr">
        <is>
          <t>Concurrent Collaboration</t>
        </is>
      </c>
      <c r="B10" s="41" t="inlineStr">
        <is>
          <t>Real-Time Users</t>
        </is>
      </c>
      <c r="C10" s="42" t="inlineStr">
        <is>
          <t>10-15 concurrent</t>
        </is>
      </c>
      <c r="D10" s="42" t="inlineStr">
        <is>
          <t>25-30 concurrent</t>
        </is>
      </c>
      <c r="E10" s="42" t="inlineStr">
        <is>
          <t>50-75 concurrent</t>
        </is>
      </c>
      <c r="F10" s="41" t="inlineStr">
        <is>
          <t>Simultaneous scene editing</t>
        </is>
      </c>
    </row>
    <row r="11" ht="26" customHeight="1">
      <c r="A11" s="37" t="inlineStr">
        <is>
          <t>Software Licenses</t>
        </is>
      </c>
      <c r="B11" s="38" t="inlineStr">
        <is>
          <t>Omniverse Enterprise</t>
        </is>
      </c>
      <c r="C11" s="39" t="inlineStr">
        <is>
          <t>25 user licenses</t>
        </is>
      </c>
      <c r="D11" s="39" t="inlineStr">
        <is>
          <t>50 user licenses</t>
        </is>
      </c>
      <c r="E11" s="39" t="inlineStr">
        <is>
          <t>100 user licenses</t>
        </is>
      </c>
      <c r="F11" s="38" t="inlineStr">
        <is>
          <t>Annual subscription per user</t>
        </is>
      </c>
    </row>
    <row r="12" ht="26" customHeight="1">
      <c r="A12" s="40" t="inlineStr">
        <is>
          <t>Typical Use Case</t>
        </is>
      </c>
      <c r="B12" s="41" t="inlineStr">
        <is>
          <t>Primary Application</t>
        </is>
      </c>
      <c r="C12" s="42" t="inlineStr">
        <is>
          <t>Product design collaboration</t>
        </is>
      </c>
      <c r="D12" s="42" t="inlineStr">
        <is>
          <t>Architectural visualization + product design</t>
        </is>
      </c>
      <c r="E12" s="42" t="inlineStr">
        <is>
          <t>Large-scale manufacturing digital twins</t>
        </is>
      </c>
      <c r="F12" s="41" t="inlineStr">
        <is>
          <t>Workload guidance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Workstation</t>
        </is>
      </c>
      <c r="C3" s="44" t="inlineStr">
        <is>
          <t>Intel Xeon W 64GB RAM 2TB NVMe 1x RTX A6000 48GB</t>
        </is>
      </c>
      <c r="D3" s="45" t="n">
        <v>50</v>
      </c>
      <c r="E3" s="44" t="inlineStr">
        <is>
          <t>Workstations</t>
        </is>
      </c>
      <c r="F3" s="46" t="n">
        <v>15000</v>
      </c>
      <c r="G3" s="46">
        <f>$50*$15000</f>
        <v/>
      </c>
      <c r="H3" s="46">
        <f>$0</f>
        <v/>
      </c>
      <c r="I3" s="46">
        <f>$0</f>
        <v/>
      </c>
      <c r="J3" s="46">
        <f>$750000</f>
        <v/>
      </c>
      <c r="K3" s="44" t="inlineStr">
        <is>
          <t>Designer workstations</t>
        </is>
      </c>
    </row>
    <row r="4" ht="26" customHeight="1">
      <c r="A4" s="47" t="inlineStr">
        <is>
          <t>Hardware</t>
        </is>
      </c>
      <c r="B4" s="48" t="inlineStr">
        <is>
          <t>Omniverse Nucleus Server</t>
        </is>
      </c>
      <c r="C4" s="48" t="inlineStr">
        <is>
          <t>Dell PowerEdge R750 dual Xeon 256GB RAM 20TB NVMe RAID</t>
        </is>
      </c>
      <c r="D4" s="49" t="n">
        <v>2</v>
      </c>
      <c r="E4" s="48" t="inlineStr">
        <is>
          <t>Servers</t>
        </is>
      </c>
      <c r="F4" s="50" t="n">
        <v>50000</v>
      </c>
      <c r="G4" s="50">
        <f>$2*$50000</f>
        <v/>
      </c>
      <c r="H4" s="50">
        <f>$0</f>
        <v/>
      </c>
      <c r="I4" s="50">
        <f>$0</f>
        <v/>
      </c>
      <c r="J4" s="50">
        <f>$100000</f>
        <v/>
      </c>
      <c r="K4" s="48" t="inlineStr">
        <is>
          <t>Primary + replica HA</t>
        </is>
      </c>
    </row>
    <row r="5" ht="26" customHeight="1">
      <c r="A5" s="43" t="inlineStr">
        <is>
          <t>Hardware</t>
        </is>
      </c>
      <c r="B5" s="44" t="inlineStr">
        <is>
          <t>Rendering Farm Nodes</t>
        </is>
      </c>
      <c r="C5" s="44" t="inlineStr">
        <is>
          <t>Dell Precision 7960 with RTX A6000 for batch rendering</t>
        </is>
      </c>
      <c r="D5" s="45" t="n">
        <v>10</v>
      </c>
      <c r="E5" s="44" t="inlineStr">
        <is>
          <t>Nodes</t>
        </is>
      </c>
      <c r="F5" s="46" t="n">
        <v>15000</v>
      </c>
      <c r="G5" s="46">
        <f>$10*$15000</f>
        <v/>
      </c>
      <c r="H5" s="46">
        <f>$0</f>
        <v/>
      </c>
      <c r="I5" s="46">
        <f>$0</f>
        <v/>
      </c>
      <c r="J5" s="46">
        <f>$150000</f>
        <v/>
      </c>
      <c r="K5" s="44" t="inlineStr">
        <is>
          <t>Omniverse Farm rendering</t>
        </is>
      </c>
    </row>
    <row r="6" ht="26" customHeight="1">
      <c r="A6" s="47" t="inlineStr">
        <is>
          <t>Hardware</t>
        </is>
      </c>
      <c r="B6" s="48" t="inlineStr">
        <is>
          <t>Network Switch 100GbE</t>
        </is>
      </c>
      <c r="C6" s="48" t="inlineStr">
        <is>
          <t>Mellanox 100 Gbps Ethernet switch</t>
        </is>
      </c>
      <c r="D6" s="49" t="n">
        <v>2</v>
      </c>
      <c r="E6" s="48" t="inlineStr">
        <is>
          <t>Switches</t>
        </is>
      </c>
      <c r="F6" s="50" t="n">
        <v>18000</v>
      </c>
      <c r="G6" s="50">
        <f>$2*$18000</f>
        <v/>
      </c>
      <c r="H6" s="50">
        <f>$0</f>
        <v/>
      </c>
      <c r="I6" s="50">
        <f>$0</f>
        <v/>
      </c>
      <c r="J6" s="50">
        <f>$36000</f>
        <v/>
      </c>
      <c r="K6" s="48" t="inlineStr">
        <is>
          <t>High-speed file transfers</t>
        </is>
      </c>
    </row>
    <row r="7" ht="26" customHeight="1">
      <c r="A7" s="43" t="inlineStr">
        <is>
          <t>Hardware</t>
        </is>
      </c>
      <c r="B7" s="44" t="inlineStr">
        <is>
          <t>Storage Array</t>
        </is>
      </c>
      <c r="C7" s="44" t="inlineStr">
        <is>
          <t>NetApp AFF A400 100 TB NVMe all-flash</t>
        </is>
      </c>
      <c r="D7" s="45" t="n">
        <v>1</v>
      </c>
      <c r="E7" s="44" t="inlineStr">
        <is>
          <t>System</t>
        </is>
      </c>
      <c r="F7" s="46" t="n">
        <v>120000</v>
      </c>
      <c r="G7" s="46">
        <f>$1*$120000</f>
        <v/>
      </c>
      <c r="H7" s="46">
        <f>$0</f>
        <v/>
      </c>
      <c r="I7" s="46">
        <f>$0</f>
        <v/>
      </c>
      <c r="J7" s="46">
        <f>$120000</f>
        <v/>
      </c>
      <c r="K7" s="44" t="inlineStr">
        <is>
          <t>USD scene storage</t>
        </is>
      </c>
    </row>
    <row r="8" ht="26" customHeight="1">
      <c r="A8" s="47" t="inlineStr">
        <is>
          <t>Hardware</t>
        </is>
      </c>
      <c r="B8" s="48" t="inlineStr">
        <is>
          <t>UPS Power Protection</t>
        </is>
      </c>
      <c r="C8" s="48" t="inlineStr">
        <is>
          <t>Rack-mounted UPS for servers (10 kVA)</t>
        </is>
      </c>
      <c r="D8" s="49" t="n">
        <v>2</v>
      </c>
      <c r="E8" s="48" t="inlineStr">
        <is>
          <t>UPS Units</t>
        </is>
      </c>
      <c r="F8" s="50" t="n">
        <v>8000</v>
      </c>
      <c r="G8" s="50">
        <f>$2*$8000</f>
        <v/>
      </c>
      <c r="H8" s="50">
        <f>$0</f>
        <v/>
      </c>
      <c r="I8" s="50">
        <f>$0</f>
        <v/>
      </c>
      <c r="J8" s="50">
        <f>$16000</f>
        <v/>
      </c>
      <c r="K8" s="48" t="inlineStr">
        <is>
          <t>Power protection</t>
        </is>
      </c>
    </row>
    <row r="9" ht="26" customHeight="1">
      <c r="A9" s="43" t="inlineStr">
        <is>
          <t>Software Licenses</t>
        </is>
      </c>
      <c r="B9" s="44" t="inlineStr">
        <is>
          <t>Omniverse Enterprise</t>
        </is>
      </c>
      <c r="C9" s="44" t="inlineStr">
        <is>
          <t>Per-user annual subscription (50 users)</t>
        </is>
      </c>
      <c r="D9" s="45" t="n">
        <v>50</v>
      </c>
      <c r="E9" s="44" t="inlineStr">
        <is>
          <t>User Licenses/Year</t>
        </is>
      </c>
      <c r="F9" s="46" t="n">
        <v>1800</v>
      </c>
      <c r="G9" s="46">
        <f>$50*$1800</f>
        <v/>
      </c>
      <c r="H9" s="46">
        <f>$90000</f>
        <v/>
      </c>
      <c r="I9" s="46">
        <f>$90000</f>
        <v/>
      </c>
      <c r="J9" s="46">
        <f>$360000</f>
        <v/>
      </c>
      <c r="K9" s="44" t="inlineStr">
        <is>
          <t>Collaboration platform</t>
        </is>
      </c>
    </row>
    <row r="10" ht="26" customHeight="1">
      <c r="A10" s="47" t="inlineStr">
        <is>
          <t>Software Licenses</t>
        </is>
      </c>
      <c r="B10" s="48" t="inlineStr">
        <is>
          <t>Omniverse Farm</t>
        </is>
      </c>
      <c r="C10" s="48" t="inlineStr">
        <is>
          <t>Rendering node licenses (10 nodes)</t>
        </is>
      </c>
      <c r="D10" s="49" t="n">
        <v>10</v>
      </c>
      <c r="E10" s="48" t="inlineStr">
        <is>
          <t>Node Licenses/Year</t>
        </is>
      </c>
      <c r="F10" s="50" t="n">
        <v>900</v>
      </c>
      <c r="G10" s="50">
        <f>$10*$900</f>
        <v/>
      </c>
      <c r="H10" s="50">
        <f>$9000</f>
        <v/>
      </c>
      <c r="I10" s="50">
        <f>$9000</f>
        <v/>
      </c>
      <c r="J10" s="50">
        <f>$36000</f>
        <v/>
      </c>
      <c r="K10" s="48" t="inlineStr">
        <is>
          <t>Batch rendering</t>
        </is>
      </c>
    </row>
    <row r="11" ht="26" customHeight="1">
      <c r="A11" s="43" t="inlineStr">
        <is>
          <t>Software Licenses</t>
        </is>
      </c>
      <c r="B11" s="44" t="inlineStr">
        <is>
          <t>CAD Connectors</t>
        </is>
      </c>
      <c r="C11" s="44" t="inlineStr">
        <is>
          <t>Revit SolidWorks Rhino connectors included with Enterprise</t>
        </is>
      </c>
      <c r="D11" s="45" t="n">
        <v>1</v>
      </c>
      <c r="E11" s="44" t="inlineStr">
        <is>
          <t>Included</t>
        </is>
      </c>
      <c r="F11" s="46" t="n">
        <v>0</v>
      </c>
      <c r="G11" s="46">
        <f>$0</f>
        <v/>
      </c>
      <c r="H11" s="46">
        <f>$0</f>
        <v/>
      </c>
      <c r="I11" s="46">
        <f>$0</f>
        <v/>
      </c>
      <c r="J11" s="46">
        <f>$0</f>
        <v/>
      </c>
      <c r="K11" s="44" t="inlineStr">
        <is>
          <t>Included with subscription</t>
        </is>
      </c>
    </row>
    <row r="12" ht="26" customHeight="1">
      <c r="A12" s="47" t="inlineStr">
        <is>
          <t>Software Licenses</t>
        </is>
      </c>
      <c r="B12" s="48" t="inlineStr">
        <is>
          <t>Asset Libraries</t>
        </is>
      </c>
      <c r="C12" s="48" t="inlineStr">
        <is>
          <t>Pre-built materials models environments</t>
        </is>
      </c>
      <c r="D12" s="49" t="n">
        <v>1</v>
      </c>
      <c r="E12" s="48" t="inlineStr">
        <is>
          <t>Library/Year</t>
        </is>
      </c>
      <c r="F12" s="50" t="n">
        <v>5000</v>
      </c>
      <c r="G12" s="50">
        <f>$1*$5000</f>
        <v/>
      </c>
      <c r="H12" s="50">
        <f>$5000</f>
        <v/>
      </c>
      <c r="I12" s="50">
        <f>$5000</f>
        <v/>
      </c>
      <c r="J12" s="50">
        <f>$15000</f>
        <v/>
      </c>
      <c r="K12" s="48" t="inlineStr">
        <is>
          <t>Content library subscription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for workstations</t>
        </is>
      </c>
      <c r="D13" s="45" t="n">
        <v>60</v>
      </c>
      <c r="E13" s="44" t="inlineStr">
        <is>
          <t>Systems/Year</t>
        </is>
      </c>
      <c r="F13" s="46" t="n">
        <v>1200</v>
      </c>
      <c r="G13" s="46">
        <f>$60*$1200</f>
        <v/>
      </c>
      <c r="H13" s="46">
        <f>$72000</f>
        <v/>
      </c>
      <c r="I13" s="46">
        <f>$72000</f>
        <v/>
      </c>
      <c r="J13" s="46">
        <f>$216000</f>
        <v/>
      </c>
      <c r="K13" s="44" t="inlineStr">
        <is>
          <t>Workstation and server support</t>
        </is>
      </c>
    </row>
    <row r="14" ht="26" customHeight="1">
      <c r="A14" s="47" t="inlineStr">
        <is>
          <t>Support &amp; Maintenance</t>
        </is>
      </c>
      <c r="B14" s="48" t="inlineStr">
        <is>
          <t>NVIDIA Omniverse Support</t>
        </is>
      </c>
      <c r="C14" s="48" t="inlineStr">
        <is>
          <t>Enterprise support with dedicated TAM</t>
        </is>
      </c>
      <c r="D14" s="49" t="n">
        <v>1</v>
      </c>
      <c r="E14" s="48" t="inlineStr">
        <is>
          <t>Contract/Year</t>
        </is>
      </c>
      <c r="F14" s="50" t="n">
        <v>25000</v>
      </c>
      <c r="G14" s="50">
        <f>$1*$25000</f>
        <v/>
      </c>
      <c r="H14" s="50">
        <f>$25000</f>
        <v/>
      </c>
      <c r="I14" s="50">
        <f>$25000</f>
        <v/>
      </c>
      <c r="J14" s="50">
        <f>$75000</f>
        <v/>
      </c>
      <c r="K14" s="48" t="inlineStr">
        <is>
          <t>Platform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Storage hardware and software maintenance</t>
        </is>
      </c>
      <c r="D15" s="45" t="n">
        <v>1</v>
      </c>
      <c r="E15" s="44" t="inlineStr">
        <is>
          <t>System/Year</t>
        </is>
      </c>
      <c r="F15" s="46" t="n">
        <v>12000</v>
      </c>
      <c r="G15" s="46">
        <f>$1*$12000</f>
        <v/>
      </c>
      <c r="H15" s="46">
        <f>$12000</f>
        <v/>
      </c>
      <c r="I15" s="46">
        <f>$12000</f>
        <v/>
      </c>
      <c r="J15" s="46">
        <f>$36000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Nucleus Server Deployment</t>
        </is>
      </c>
      <c r="C16" s="48" t="inlineStr">
        <is>
          <t>Server installation configuration HA setup</t>
        </is>
      </c>
      <c r="D16" s="49" t="n">
        <v>40</v>
      </c>
      <c r="E16" s="48" t="inlineStr">
        <is>
          <t>Hours</t>
        </is>
      </c>
      <c r="F16" s="50" t="n">
        <v>225</v>
      </c>
      <c r="G16" s="50">
        <f>$40*$225</f>
        <v/>
      </c>
      <c r="H16" s="50">
        <f>$0</f>
        <v/>
      </c>
      <c r="I16" s="50">
        <f>$0</f>
        <v/>
      </c>
      <c r="J16" s="50">
        <f>$9000</f>
        <v/>
      </c>
      <c r="K16" s="48" t="inlineStr">
        <is>
          <t>Collaboration server setup</t>
        </is>
      </c>
    </row>
    <row r="17" ht="26" customHeight="1">
      <c r="A17" s="43" t="inlineStr">
        <is>
          <t>Professional Services</t>
        </is>
      </c>
      <c r="B17" s="44" t="inlineStr">
        <is>
          <t>Network Configuration</t>
        </is>
      </c>
      <c r="C17" s="44" t="inlineStr">
        <is>
          <t>100 GbE fabric storage network optimization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$40*$200</f>
        <v/>
      </c>
      <c r="H17" s="46">
        <f>$0</f>
        <v/>
      </c>
      <c r="I17" s="46">
        <f>$0</f>
        <v/>
      </c>
      <c r="J17" s="46">
        <f>$8000</f>
        <v/>
      </c>
      <c r="K17" s="44" t="inlineStr">
        <is>
          <t>Network infrastructure</t>
        </is>
      </c>
    </row>
    <row r="18" ht="26" customHeight="1">
      <c r="A18" s="47" t="inlineStr">
        <is>
          <t>Professional Services</t>
        </is>
      </c>
      <c r="B18" s="48" t="inlineStr">
        <is>
          <t>Storage Deployment</t>
        </is>
      </c>
      <c r="C18" s="48" t="inlineStr">
        <is>
          <t>NetApp installation NFS configuration</t>
        </is>
      </c>
      <c r="D18" s="49" t="n">
        <v>32</v>
      </c>
      <c r="E18" s="48" t="inlineStr">
        <is>
          <t>Hours</t>
        </is>
      </c>
      <c r="F18" s="50" t="n">
        <v>200</v>
      </c>
      <c r="G18" s="50">
        <f>$32*$200</f>
        <v/>
      </c>
      <c r="H18" s="50">
        <f>$0</f>
        <v/>
      </c>
      <c r="I18" s="50">
        <f>$0</f>
        <v/>
      </c>
      <c r="J18" s="50">
        <f>$6400</f>
        <v/>
      </c>
      <c r="K18" s="48" t="inlineStr">
        <is>
          <t>Storage setup</t>
        </is>
      </c>
    </row>
    <row r="19" ht="26" customHeight="1">
      <c r="A19" s="43" t="inlineStr">
        <is>
          <t>Professional Services</t>
        </is>
      </c>
      <c r="B19" s="44" t="inlineStr">
        <is>
          <t>Workstation Deployment</t>
        </is>
      </c>
      <c r="C19" s="44" t="inlineStr">
        <is>
          <t>RTX workstation imaging driver installation</t>
        </is>
      </c>
      <c r="D19" s="45" t="n">
        <v>80</v>
      </c>
      <c r="E19" s="44" t="inlineStr">
        <is>
          <t>Hours</t>
        </is>
      </c>
      <c r="F19" s="46" t="n">
        <v>150</v>
      </c>
      <c r="G19" s="46">
        <f>$80*$150</f>
        <v/>
      </c>
      <c r="H19" s="46">
        <f>$0</f>
        <v/>
      </c>
      <c r="I19" s="46">
        <f>$0</f>
        <v/>
      </c>
      <c r="J19" s="46">
        <f>$12000</f>
        <v/>
      </c>
      <c r="K19" s="44" t="inlineStr">
        <is>
          <t>Desktop deployment</t>
        </is>
      </c>
    </row>
    <row r="20" ht="26" customHeight="1">
      <c r="A20" s="47" t="inlineStr">
        <is>
          <t>Professional Services</t>
        </is>
      </c>
      <c r="B20" s="48" t="inlineStr">
        <is>
          <t>Connector Integration</t>
        </is>
      </c>
      <c r="C20" s="48" t="inlineStr">
        <is>
          <t>Revit SolidWorks Rhino connector setup</t>
        </is>
      </c>
      <c r="D20" s="49" t="n">
        <v>60</v>
      </c>
      <c r="E20" s="48" t="inlineStr">
        <is>
          <t>Hours</t>
        </is>
      </c>
      <c r="F20" s="50" t="n">
        <v>225</v>
      </c>
      <c r="G20" s="50">
        <f>$60*$225</f>
        <v/>
      </c>
      <c r="H20" s="50">
        <f>$0</f>
        <v/>
      </c>
      <c r="I20" s="50">
        <f>$0</f>
        <v/>
      </c>
      <c r="J20" s="50">
        <f>$13500</f>
        <v/>
      </c>
      <c r="K20" s="48" t="inlineStr">
        <is>
          <t>CAD tool integration</t>
        </is>
      </c>
    </row>
    <row r="21" ht="26" customHeight="1">
      <c r="A21" s="43" t="inlineStr">
        <is>
          <t>Professional Services</t>
        </is>
      </c>
      <c r="B21" s="44" t="inlineStr">
        <is>
          <t>Custom USD Pipeline</t>
        </is>
      </c>
      <c r="C21" s="44" t="inlineStr">
        <is>
          <t>Studio-specific workflow automation</t>
        </is>
      </c>
      <c r="D21" s="45" t="n">
        <v>80</v>
      </c>
      <c r="E21" s="44" t="inlineStr">
        <is>
          <t>Hours</t>
        </is>
      </c>
      <c r="F21" s="46" t="n">
        <v>250</v>
      </c>
      <c r="G21" s="46">
        <f>$80*$250</f>
        <v/>
      </c>
      <c r="H21" s="46">
        <f>$0</f>
        <v/>
      </c>
      <c r="I21" s="46">
        <f>$0</f>
        <v/>
      </c>
      <c r="J21" s="46">
        <f>$20000</f>
        <v/>
      </c>
      <c r="K21" s="44" t="inlineStr">
        <is>
          <t>Workflow customization</t>
        </is>
      </c>
    </row>
    <row r="22" ht="26" customHeight="1">
      <c r="A22" s="47" t="inlineStr">
        <is>
          <t>Professional Services</t>
        </is>
      </c>
      <c r="B22" s="48" t="inlineStr">
        <is>
          <t>Rendering Farm Setup</t>
        </is>
      </c>
      <c r="C22" s="48" t="inlineStr">
        <is>
          <t>Omniverse Farm configuration render queue</t>
        </is>
      </c>
      <c r="D22" s="49" t="n">
        <v>40</v>
      </c>
      <c r="E22" s="48" t="inlineStr">
        <is>
          <t>Hours</t>
        </is>
      </c>
      <c r="F22" s="50" t="n">
        <v>200</v>
      </c>
      <c r="G22" s="50">
        <f>$40*$200</f>
        <v/>
      </c>
      <c r="H22" s="50">
        <f>$0</f>
        <v/>
      </c>
      <c r="I22" s="50">
        <f>$0</f>
        <v/>
      </c>
      <c r="J22" s="50">
        <f>$8000</f>
        <v/>
      </c>
      <c r="K22" s="48" t="inlineStr">
        <is>
          <t>Batch rendering setup</t>
        </is>
      </c>
    </row>
    <row r="23" ht="26" customHeight="1">
      <c r="A23" s="43" t="inlineStr">
        <is>
          <t>Professional Services</t>
        </is>
      </c>
      <c r="B23" s="44" t="inlineStr">
        <is>
          <t>Training - Administrators</t>
        </is>
      </c>
      <c r="C23" s="44" t="inlineStr">
        <is>
          <t>Nucleus server admin USD management</t>
        </is>
      </c>
      <c r="D23" s="45" t="n">
        <v>24</v>
      </c>
      <c r="E23" s="44" t="inlineStr">
        <is>
          <t>Hours</t>
        </is>
      </c>
      <c r="F23" s="46" t="n">
        <v>200</v>
      </c>
      <c r="G23" s="46">
        <f>$24*$200</f>
        <v/>
      </c>
      <c r="H23" s="46">
        <f>$0</f>
        <v/>
      </c>
      <c r="I23" s="46">
        <f>$0</f>
        <v/>
      </c>
      <c r="J23" s="46">
        <f>$4800</f>
        <v/>
      </c>
      <c r="K23" s="44" t="inlineStr">
        <is>
          <t>Admin training</t>
        </is>
      </c>
    </row>
    <row r="24" ht="26" customHeight="1">
      <c r="A24" s="47" t="inlineStr">
        <is>
          <t>Professional Services</t>
        </is>
      </c>
      <c r="B24" s="48" t="inlineStr">
        <is>
          <t>Training - Users</t>
        </is>
      </c>
      <c r="C24" s="48" t="inlineStr">
        <is>
          <t>Designer workflow training connector usage</t>
        </is>
      </c>
      <c r="D24" s="49" t="n">
        <v>40</v>
      </c>
      <c r="E24" s="48" t="inlineStr">
        <is>
          <t>Hours</t>
        </is>
      </c>
      <c r="F24" s="50" t="n">
        <v>200</v>
      </c>
      <c r="G24" s="50">
        <f>$40*$200</f>
        <v/>
      </c>
      <c r="H24" s="50">
        <f>$0</f>
        <v/>
      </c>
      <c r="I24" s="50">
        <f>$0</f>
        <v/>
      </c>
      <c r="J24" s="50">
        <f>$8000</f>
        <v/>
      </c>
      <c r="K24" s="48" t="inlineStr">
        <is>
          <t>User enablement</t>
        </is>
      </c>
    </row>
    <row r="25" ht="26" customHeight="1">
      <c r="A25" s="43" t="inlineStr">
        <is>
          <t>Professional Services</t>
        </is>
      </c>
      <c r="B25" s="44" t="inlineStr">
        <is>
          <t>Training - Advanced</t>
        </is>
      </c>
      <c r="C25" s="44" t="inlineStr">
        <is>
          <t>USD pipeline development PhysX simulation</t>
        </is>
      </c>
      <c r="D25" s="45" t="n">
        <v>24</v>
      </c>
      <c r="E25" s="44" t="inlineStr">
        <is>
          <t>Hours</t>
        </is>
      </c>
      <c r="F25" s="46" t="n">
        <v>250</v>
      </c>
      <c r="G25" s="46">
        <f>$24*$250</f>
        <v/>
      </c>
      <c r="H25" s="46">
        <f>$0</f>
        <v/>
      </c>
      <c r="I25" s="46">
        <f>$0</f>
        <v/>
      </c>
      <c r="J25" s="46">
        <f>$6000</f>
        <v/>
      </c>
      <c r="K25" s="44" t="inlineStr">
        <is>
          <t>Advanced capabilities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deployment coordination</t>
        </is>
      </c>
      <c r="D26" s="49" t="n">
        <v>100</v>
      </c>
      <c r="E26" s="48" t="inlineStr">
        <is>
          <t>Hours</t>
        </is>
      </c>
      <c r="F26" s="50" t="n">
        <v>175</v>
      </c>
      <c r="G26" s="50">
        <f>$100*$175</f>
        <v/>
      </c>
      <c r="H26" s="50">
        <f>$0</f>
        <v/>
      </c>
      <c r="I26" s="50">
        <f>$0</f>
        <v/>
      </c>
      <c r="J26" s="50">
        <f>$17500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-37500</v>
      </c>
      <c r="D3" s="44" t="inlineStr">
        <is>
          <t>5% discount on 50-workstation purchase</t>
        </is>
      </c>
    </row>
    <row r="4" ht="26" customHeight="1">
      <c r="A4" s="47" t="inlineStr">
        <is>
          <t>Software Licenses</t>
        </is>
      </c>
      <c r="B4" s="48" t="inlineStr">
        <is>
          <t>Omniverse Launch Credit</t>
        </is>
      </c>
      <c r="C4" s="50" t="n">
        <v>-9000</v>
      </c>
      <c r="D4" s="48" t="inlineStr">
        <is>
          <t>10% Year 1 discount for new enterprise deployment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2025-11-23T00:31:26Z</dcterms:modified>
  <cp:lastModifiedBy>Kishan Siram</cp:lastModifiedBy>
</cp:coreProperties>
</file>