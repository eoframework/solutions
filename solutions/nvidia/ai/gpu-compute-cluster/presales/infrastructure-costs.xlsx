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Guidelines'!$A$2:$F$11</definedName>
    <definedName name="_xlnm._FilterDatabase" localSheetId="2" hidden="1">'Infrastructure Costs'!$A$2:$K$27</definedName>
    <definedName name="_xlnm._FilterDatabase" localSheetId="3" hidden="1">'Credits'!$A$2:$D$6</definedName>
    <definedName name="_xlnm._FilterDatabase" localSheetId="4" hidden="1">'3-Year Summary'!$A$2:$G$7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Gpu Compute Cluster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GPU Infrastructure</t>
        </is>
      </c>
      <c r="B3" s="38" t="inlineStr">
        <is>
          <t>GPU Count</t>
        </is>
      </c>
      <c r="C3" s="39" t="inlineStr">
        <is>
          <t>16 GPUs (4x per server)</t>
        </is>
      </c>
      <c r="D3" s="39" t="inlineStr">
        <is>
          <t>32 GPUs (4x per server)</t>
        </is>
      </c>
      <c r="E3" s="39" t="inlineStr">
        <is>
          <t>64 GPUs (4x per server)</t>
        </is>
      </c>
      <c r="F3" s="38" t="inlineStr">
        <is>
          <t>NVIDIA A100 40GB or 80GB</t>
        </is>
      </c>
    </row>
    <row r="4" ht="26" customHeight="1">
      <c r="A4" s="40" t="inlineStr">
        <is>
          <t>GPU Memory</t>
        </is>
      </c>
      <c r="B4" s="41" t="inlineStr">
        <is>
          <t>Total GPU Memory</t>
        </is>
      </c>
      <c r="C4" s="42" t="inlineStr">
        <is>
          <t>640 GB (40GB) or 1.28 TB (80GB)</t>
        </is>
      </c>
      <c r="D4" s="42" t="inlineStr">
        <is>
          <t>1.28 TB (40GB) or 2.56 TB (80GB)</t>
        </is>
      </c>
      <c r="E4" s="42" t="inlineStr">
        <is>
          <t>2.56 TB (40GB) or 5.12 TB (80GB)</t>
        </is>
      </c>
      <c r="F4" s="41" t="inlineStr">
        <is>
          <t>Aggregate across all GPUs</t>
        </is>
      </c>
    </row>
    <row r="5" ht="26" customHeight="1">
      <c r="A5" s="37" t="inlineStr">
        <is>
          <t>Compute Nodes</t>
        </is>
      </c>
      <c r="B5" s="38" t="inlineStr">
        <is>
          <t>Server Configuration</t>
        </is>
      </c>
      <c r="C5" s="39" t="inlineStr">
        <is>
          <t>4x GPU servers</t>
        </is>
      </c>
      <c r="D5" s="39" t="inlineStr">
        <is>
          <t>8x GPU servers</t>
        </is>
      </c>
      <c r="E5" s="39" t="inlineStr">
        <is>
          <t>16x GPU servers</t>
        </is>
      </c>
      <c r="F5" s="38" t="inlineStr">
        <is>
          <t>Dell R750xa or HPE DL380 Gen11</t>
        </is>
      </c>
    </row>
    <row r="6" ht="26" customHeight="1">
      <c r="A6" s="40" t="inlineStr">
        <is>
          <t>Network Fabric</t>
        </is>
      </c>
      <c r="B6" s="41" t="inlineStr">
        <is>
          <t>Ethernet Switches</t>
        </is>
      </c>
      <c r="C6" s="42" t="inlineStr">
        <is>
          <t>1x 100 GbE switch</t>
        </is>
      </c>
      <c r="D6" s="42" t="inlineStr">
        <is>
          <t>2x 100 GbE switches (redundant)</t>
        </is>
      </c>
      <c r="E6" s="42" t="inlineStr">
        <is>
          <t>4x 100 GbE switches (redundant)</t>
        </is>
      </c>
      <c r="F6" s="41" t="inlineStr">
        <is>
          <t>Mellanox ConnectX-6 NICs</t>
        </is>
      </c>
    </row>
    <row r="7" ht="26" customHeight="1">
      <c r="A7" s="37" t="inlineStr">
        <is>
          <t>Storage Capacity</t>
        </is>
      </c>
      <c r="B7" s="38" t="inlineStr">
        <is>
          <t>Shared Storage</t>
        </is>
      </c>
      <c r="C7" s="39" t="inlineStr">
        <is>
          <t>100 TB NFS</t>
        </is>
      </c>
      <c r="D7" s="39" t="inlineStr">
        <is>
          <t>200 TB NFS</t>
        </is>
      </c>
      <c r="E7" s="39" t="inlineStr">
        <is>
          <t>400 TB NFS</t>
        </is>
      </c>
      <c r="F7" s="38" t="inlineStr">
        <is>
          <t>NetApp or Pure Storage all-flash</t>
        </is>
      </c>
    </row>
    <row r="8" ht="26" customHeight="1">
      <c r="A8" s="40" t="inlineStr">
        <is>
          <t>Storage Throughput</t>
        </is>
      </c>
      <c r="B8" s="41" t="inlineStr">
        <is>
          <t>Read/Write Performance</t>
        </is>
      </c>
      <c r="C8" s="42" t="inlineStr">
        <is>
          <t>2-3 GB/s</t>
        </is>
      </c>
      <c r="D8" s="42" t="inlineStr">
        <is>
          <t>3-5 GB/s</t>
        </is>
      </c>
      <c r="E8" s="42" t="inlineStr">
        <is>
          <t>6-10 GB/s</t>
        </is>
      </c>
      <c r="F8" s="41" t="inlineStr">
        <is>
          <t>Parallel dataset streaming</t>
        </is>
      </c>
    </row>
    <row r="9" ht="26" customHeight="1">
      <c r="A9" s="37" t="inlineStr">
        <is>
          <t>Research Team Size</t>
        </is>
      </c>
      <c r="B9" s="38" t="inlineStr">
        <is>
          <t>Data Scientists Supported</t>
        </is>
      </c>
      <c r="C9" s="39" t="inlineStr">
        <is>
          <t>10-15 users</t>
        </is>
      </c>
      <c r="D9" s="39" t="inlineStr">
        <is>
          <t>20-30 users</t>
        </is>
      </c>
      <c r="E9" s="39" t="inlineStr">
        <is>
          <t>40-60 users</t>
        </is>
      </c>
      <c r="F9" s="38" t="inlineStr">
        <is>
          <t>Concurrent user capacity</t>
        </is>
      </c>
    </row>
    <row r="10" ht="26" customHeight="1">
      <c r="A10" s="40" t="inlineStr">
        <is>
          <t>Kubernetes</t>
        </is>
      </c>
      <c r="B10" s="41" t="inlineStr">
        <is>
          <t>Pod Capacity</t>
        </is>
      </c>
      <c r="C10" s="42" t="inlineStr">
        <is>
          <t>50-100 pods</t>
        </is>
      </c>
      <c r="D10" s="42" t="inlineStr">
        <is>
          <t>100-200 pods</t>
        </is>
      </c>
      <c r="E10" s="42" t="inlineStr">
        <is>
          <t>200-400 pods</t>
        </is>
      </c>
      <c r="F10" s="41" t="inlineStr">
        <is>
          <t>GPU-accelerated workloads</t>
        </is>
      </c>
    </row>
    <row r="11" ht="26" customHeight="1">
      <c r="A11" s="37" t="inlineStr">
        <is>
          <t>Typical Workload</t>
        </is>
      </c>
      <c r="B11" s="38" t="inlineStr">
        <is>
          <t>Primary Use Case</t>
        </is>
      </c>
      <c r="C11" s="39" t="inlineStr">
        <is>
          <t>Fine-tuning models &lt;10B params</t>
        </is>
      </c>
      <c r="D11" s="39" t="inlineStr">
        <is>
          <t>Training models 10-50B params</t>
        </is>
      </c>
      <c r="E11" s="39" t="inlineStr">
        <is>
          <t>Training models 50B+ params or high-throughput inference</t>
        </is>
      </c>
      <c r="F11" s="38" t="inlineStr">
        <is>
          <t>Workload sizing guidance</t>
        </is>
      </c>
    </row>
  </sheetData>
  <autoFilter ref="A2:F1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Hardware</t>
        </is>
      </c>
      <c r="B3" s="44" t="inlineStr">
        <is>
          <t>Dell PowerEdge R750xa</t>
        </is>
      </c>
      <c r="C3" s="44" t="inlineStr">
        <is>
          <t>4x NVIDIA A100 40GB GPUs dual AMD EPYC 7763 (128 cores) 1TB RAM</t>
        </is>
      </c>
      <c r="D3" s="45" t="n">
        <v>8</v>
      </c>
      <c r="E3" s="44" t="inlineStr">
        <is>
          <t>Servers</t>
        </is>
      </c>
      <c r="F3" s="46" t="n">
        <v>80000</v>
      </c>
      <c r="G3" s="46">
        <f>$8*$80000</f>
        <v/>
      </c>
      <c r="H3" s="46">
        <f>$0</f>
        <v/>
      </c>
      <c r="I3" s="46">
        <f>$0</f>
        <v/>
      </c>
      <c r="J3" s="46">
        <f>$640000</f>
        <v/>
      </c>
      <c r="K3" s="44" t="inlineStr">
        <is>
          <t>GPU compute nodes</t>
        </is>
      </c>
    </row>
    <row r="4" ht="26" customHeight="1">
      <c r="A4" s="47" t="inlineStr">
        <is>
          <t>Hardware</t>
        </is>
      </c>
      <c r="B4" s="48" t="inlineStr">
        <is>
          <t>Mellanox 100GbE Switch</t>
        </is>
      </c>
      <c r="C4" s="48" t="inlineStr">
        <is>
          <t>100 Gbps Ethernet switches with RDMA support</t>
        </is>
      </c>
      <c r="D4" s="49" t="n">
        <v>2</v>
      </c>
      <c r="E4" s="48" t="inlineStr">
        <is>
          <t>Switches</t>
        </is>
      </c>
      <c r="F4" s="50" t="n">
        <v>18000</v>
      </c>
      <c r="G4" s="50">
        <f>$2*$18000</f>
        <v/>
      </c>
      <c r="H4" s="50">
        <f>$0</f>
        <v/>
      </c>
      <c r="I4" s="50">
        <f>$0</f>
        <v/>
      </c>
      <c r="J4" s="50">
        <f>$36000</f>
        <v/>
      </c>
      <c r="K4" s="48" t="inlineStr">
        <is>
          <t>Network fabric</t>
        </is>
      </c>
    </row>
    <row r="5" ht="26" customHeight="1">
      <c r="A5" s="43" t="inlineStr">
        <is>
          <t>Hardware</t>
        </is>
      </c>
      <c r="B5" s="44" t="inlineStr">
        <is>
          <t>Mellanox ConnectX-6</t>
        </is>
      </c>
      <c r="C5" s="44" t="inlineStr">
        <is>
          <t>100 GbE NICs for GPU servers (2 per server)</t>
        </is>
      </c>
      <c r="D5" s="45" t="n">
        <v>16</v>
      </c>
      <c r="E5" s="44" t="inlineStr">
        <is>
          <t>NICs</t>
        </is>
      </c>
      <c r="F5" s="46" t="n">
        <v>1500</v>
      </c>
      <c r="G5" s="46">
        <f>$16*$1500</f>
        <v/>
      </c>
      <c r="H5" s="46">
        <f>$0</f>
        <v/>
      </c>
      <c r="I5" s="46">
        <f>$0</f>
        <v/>
      </c>
      <c r="J5" s="46">
        <f>$24000</f>
        <v/>
      </c>
      <c r="K5" s="44" t="inlineStr">
        <is>
          <t>RDMA network adapters</t>
        </is>
      </c>
    </row>
    <row r="6" ht="26" customHeight="1">
      <c r="A6" s="47" t="inlineStr">
        <is>
          <t>Hardware</t>
        </is>
      </c>
      <c r="B6" s="48" t="inlineStr">
        <is>
          <t>NetApp AFF A400</t>
        </is>
      </c>
      <c r="C6" s="48" t="inlineStr">
        <is>
          <t>200 TB NVMe all-flash storage system</t>
        </is>
      </c>
      <c r="D6" s="49" t="n">
        <v>1</v>
      </c>
      <c r="E6" s="48" t="inlineStr">
        <is>
          <t>System</t>
        </is>
      </c>
      <c r="F6" s="50" t="n">
        <v>180000</v>
      </c>
      <c r="G6" s="50">
        <f>$1*$180000</f>
        <v/>
      </c>
      <c r="H6" s="50">
        <f>$0</f>
        <v/>
      </c>
      <c r="I6" s="50">
        <f>$0</f>
        <v/>
      </c>
      <c r="J6" s="50">
        <f>$180000</f>
        <v/>
      </c>
      <c r="K6" s="48" t="inlineStr">
        <is>
          <t>Shared storage for datasets</t>
        </is>
      </c>
    </row>
    <row r="7" ht="26" customHeight="1">
      <c r="A7" s="43" t="inlineStr">
        <is>
          <t>Hardware</t>
        </is>
      </c>
      <c r="B7" s="44" t="inlineStr">
        <is>
          <t>Server Racks</t>
        </is>
      </c>
      <c r="C7" s="44" t="inlineStr">
        <is>
          <t>42U racks with PDUs and cable management</t>
        </is>
      </c>
      <c r="D7" s="45" t="n">
        <v>2</v>
      </c>
      <c r="E7" s="44" t="inlineStr">
        <is>
          <t>Racks</t>
        </is>
      </c>
      <c r="F7" s="46" t="n">
        <v>8000</v>
      </c>
      <c r="G7" s="46">
        <f>$2*$8000</f>
        <v/>
      </c>
      <c r="H7" s="46">
        <f>$0</f>
        <v/>
      </c>
      <c r="I7" s="46">
        <f>$0</f>
        <v/>
      </c>
      <c r="J7" s="46">
        <f>$16000</f>
        <v/>
      </c>
      <c r="K7" s="44" t="inlineStr">
        <is>
          <t>Physical infrastructure</t>
        </is>
      </c>
    </row>
    <row r="8" ht="26" customHeight="1">
      <c r="A8" s="47" t="inlineStr">
        <is>
          <t>Software Licenses</t>
        </is>
      </c>
      <c r="B8" s="48" t="inlineStr">
        <is>
          <t>NVIDIA AI Enterprise</t>
        </is>
      </c>
      <c r="C8" s="48" t="inlineStr">
        <is>
          <t>AI software suite with NGC access (annual per GPU)</t>
        </is>
      </c>
      <c r="D8" s="49" t="n">
        <v>32</v>
      </c>
      <c r="E8" s="48" t="inlineStr">
        <is>
          <t>GPU Licenses/Year</t>
        </is>
      </c>
      <c r="F8" s="50" t="n">
        <v>3000</v>
      </c>
      <c r="G8" s="50">
        <f>$32*$3000</f>
        <v/>
      </c>
      <c r="H8" s="50">
        <f>$96000</f>
        <v/>
      </c>
      <c r="I8" s="50">
        <f>$96000</f>
        <v/>
      </c>
      <c r="J8" s="50">
        <f>$384000</f>
        <v/>
      </c>
      <c r="K8" s="48" t="inlineStr">
        <is>
          <t>CUDA TensorRT Triton support</t>
        </is>
      </c>
    </row>
    <row r="9" ht="26" customHeight="1">
      <c r="A9" s="43" t="inlineStr">
        <is>
          <t>Software Licenses</t>
        </is>
      </c>
      <c r="B9" s="44" t="inlineStr">
        <is>
          <t>Red Hat Enterprise Linux</t>
        </is>
      </c>
      <c r="C9" s="44" t="inlineStr">
        <is>
          <t>RHEL for GPU servers (annual per server)</t>
        </is>
      </c>
      <c r="D9" s="45" t="n">
        <v>8</v>
      </c>
      <c r="E9" s="44" t="inlineStr">
        <is>
          <t>Server Licenses/Year</t>
        </is>
      </c>
      <c r="F9" s="46" t="n">
        <v>1200</v>
      </c>
      <c r="G9" s="46">
        <f>$8*$1200</f>
        <v/>
      </c>
      <c r="H9" s="46">
        <f>$9600</f>
        <v/>
      </c>
      <c r="I9" s="46">
        <f>$9600</f>
        <v/>
      </c>
      <c r="J9" s="46">
        <f>$28800</f>
        <v/>
      </c>
      <c r="K9" s="44" t="inlineStr">
        <is>
          <t>Operating system</t>
        </is>
      </c>
    </row>
    <row r="10" ht="26" customHeight="1">
      <c r="A10" s="47" t="inlineStr">
        <is>
          <t>Software Licenses</t>
        </is>
      </c>
      <c r="B10" s="48" t="inlineStr">
        <is>
          <t>Kubernetes Platform</t>
        </is>
      </c>
      <c r="C10" s="48" t="inlineStr">
        <is>
          <t>Enterprise Kubernetes (Rancher or OpenShift)</t>
        </is>
      </c>
      <c r="D10" s="49" t="n">
        <v>1</v>
      </c>
      <c r="E10" s="48" t="inlineStr">
        <is>
          <t>Cluster/Year</t>
        </is>
      </c>
      <c r="F10" s="50" t="n">
        <v>25000</v>
      </c>
      <c r="G10" s="50">
        <f>$1*$25000</f>
        <v/>
      </c>
      <c r="H10" s="50">
        <f>$25000</f>
        <v/>
      </c>
      <c r="I10" s="50">
        <f>$25000</f>
        <v/>
      </c>
      <c r="J10" s="50">
        <f>$75000</f>
        <v/>
      </c>
      <c r="K10" s="48" t="inlineStr">
        <is>
          <t>Container orchestration</t>
        </is>
      </c>
    </row>
    <row r="11" ht="26" customHeight="1">
      <c r="A11" s="43" t="inlineStr">
        <is>
          <t>Software Licenses</t>
        </is>
      </c>
      <c r="B11" s="44" t="inlineStr">
        <is>
          <t>MLOps Platform</t>
        </is>
      </c>
      <c r="C11" s="44" t="inlineStr">
        <is>
          <t>Kubeflow or Run:ai for ML workflow management</t>
        </is>
      </c>
      <c r="D11" s="45" t="n">
        <v>1</v>
      </c>
      <c r="E11" s="44" t="inlineStr">
        <is>
          <t>Platform/Year</t>
        </is>
      </c>
      <c r="F11" s="46" t="n">
        <v>30000</v>
      </c>
      <c r="G11" s="46">
        <f>$1*$30000</f>
        <v/>
      </c>
      <c r="H11" s="46">
        <f>$30000</f>
        <v/>
      </c>
      <c r="I11" s="46">
        <f>$30000</f>
        <v/>
      </c>
      <c r="J11" s="46">
        <f>$90000</f>
        <v/>
      </c>
      <c r="K11" s="44" t="inlineStr">
        <is>
          <t>Experiment tracking and scheduling</t>
        </is>
      </c>
    </row>
    <row r="12" ht="26" customHeight="1">
      <c r="A12" s="47" t="inlineStr">
        <is>
          <t>Software Licenses</t>
        </is>
      </c>
      <c r="B12" s="48" t="inlineStr">
        <is>
          <t>Monitoring Tools</t>
        </is>
      </c>
      <c r="C12" s="48" t="inlineStr">
        <is>
          <t>Datadog or Prometheus stack (20 nodes)</t>
        </is>
      </c>
      <c r="D12" s="49" t="n">
        <v>20</v>
      </c>
      <c r="E12" s="48" t="inlineStr">
        <is>
          <t>Nodes/Month</t>
        </is>
      </c>
      <c r="F12" s="50" t="n">
        <v>23</v>
      </c>
      <c r="G12" s="50">
        <f>$20*$23*12</f>
        <v/>
      </c>
      <c r="H12" s="50">
        <f>$5520</f>
        <v/>
      </c>
      <c r="I12" s="50">
        <f>$5520</f>
        <v/>
      </c>
      <c r="J12" s="50">
        <f>$16560</f>
        <v/>
      </c>
      <c r="K12" s="48" t="inlineStr">
        <is>
          <t>Cluster and GPU monitoring</t>
        </is>
      </c>
    </row>
    <row r="13" ht="26" customHeight="1">
      <c r="A13" s="43" t="inlineStr">
        <is>
          <t>Support &amp; Maintenance</t>
        </is>
      </c>
      <c r="B13" s="44" t="inlineStr">
        <is>
          <t>Dell ProSupport Plus</t>
        </is>
      </c>
      <c r="C13" s="44" t="inlineStr">
        <is>
          <t>24x7 hardware support with next-day replacement</t>
        </is>
      </c>
      <c r="D13" s="45" t="n">
        <v>8</v>
      </c>
      <c r="E13" s="44" t="inlineStr">
        <is>
          <t>Systems/Year</t>
        </is>
      </c>
      <c r="F13" s="46" t="n">
        <v>8000</v>
      </c>
      <c r="G13" s="46">
        <f>$8*$8000</f>
        <v/>
      </c>
      <c r="H13" s="46">
        <f>$64000</f>
        <v/>
      </c>
      <c r="I13" s="46">
        <f>$64000</f>
        <v/>
      </c>
      <c r="J13" s="46">
        <f>$192000</f>
        <v/>
      </c>
      <c r="K13" s="44" t="inlineStr">
        <is>
          <t>Server support contract</t>
        </is>
      </c>
    </row>
    <row r="14" ht="26" customHeight="1">
      <c r="A14" s="47" t="inlineStr">
        <is>
          <t>Support &amp; Maintenance</t>
        </is>
      </c>
      <c r="B14" s="48" t="inlineStr">
        <is>
          <t>NVIDIA Enterprise Support</t>
        </is>
      </c>
      <c r="C14" s="48" t="inlineStr">
        <is>
          <t>Software support for AI Enterprise suite</t>
        </is>
      </c>
      <c r="D14" s="49" t="n">
        <v>1</v>
      </c>
      <c r="E14" s="48" t="inlineStr">
        <is>
          <t>Contract/Year</t>
        </is>
      </c>
      <c r="F14" s="50" t="n">
        <v>40000</v>
      </c>
      <c r="G14" s="50">
        <f>$1*$40000</f>
        <v/>
      </c>
      <c r="H14" s="50">
        <f>$40000</f>
        <v/>
      </c>
      <c r="I14" s="50">
        <f>$40000</f>
        <v/>
      </c>
      <c r="J14" s="50">
        <f>$120000</f>
        <v/>
      </c>
      <c r="K14" s="48" t="inlineStr">
        <is>
          <t>NVIDIA software support</t>
        </is>
      </c>
    </row>
    <row r="15" ht="26" customHeight="1">
      <c r="A15" s="43" t="inlineStr">
        <is>
          <t>Support &amp; Maintenance</t>
        </is>
      </c>
      <c r="B15" s="44" t="inlineStr">
        <is>
          <t>NetApp Support</t>
        </is>
      </c>
      <c r="C15" s="44" t="inlineStr">
        <is>
          <t>Hardware and software maintenance</t>
        </is>
      </c>
      <c r="D15" s="45" t="n">
        <v>1</v>
      </c>
      <c r="E15" s="44" t="inlineStr">
        <is>
          <t>System/Year</t>
        </is>
      </c>
      <c r="F15" s="46" t="n">
        <v>18000</v>
      </c>
      <c r="G15" s="46">
        <f>$1*$18000</f>
        <v/>
      </c>
      <c r="H15" s="46">
        <f>$18000</f>
        <v/>
      </c>
      <c r="I15" s="46">
        <f>$18000</f>
        <v/>
      </c>
      <c r="J15" s="46">
        <f>$54000</f>
        <v/>
      </c>
      <c r="K15" s="44" t="inlineStr">
        <is>
          <t>Storage support</t>
        </is>
      </c>
    </row>
    <row r="16" ht="26" customHeight="1">
      <c r="A16" s="47" t="inlineStr">
        <is>
          <t>Professional Services</t>
        </is>
      </c>
      <c r="B16" s="48" t="inlineStr">
        <is>
          <t>Cluster Design &amp; Architecture</t>
        </is>
      </c>
      <c r="C16" s="48" t="inlineStr">
        <is>
          <t>Solution architecture and deployment planning</t>
        </is>
      </c>
      <c r="D16" s="49" t="n">
        <v>80</v>
      </c>
      <c r="E16" s="48" t="inlineStr">
        <is>
          <t>Hours</t>
        </is>
      </c>
      <c r="F16" s="50" t="n">
        <v>225</v>
      </c>
      <c r="G16" s="50">
        <f>$80*$225</f>
        <v/>
      </c>
      <c r="H16" s="50">
        <f>$0</f>
        <v/>
      </c>
      <c r="I16" s="50">
        <f>$0</f>
        <v/>
      </c>
      <c r="J16" s="50">
        <f>$18000</f>
        <v/>
      </c>
      <c r="K16" s="48" t="inlineStr">
        <is>
          <t>Pre-deployment design</t>
        </is>
      </c>
    </row>
    <row r="17" ht="26" customHeight="1">
      <c r="A17" s="43" t="inlineStr">
        <is>
          <t>Professional Services</t>
        </is>
      </c>
      <c r="B17" s="44" t="inlineStr">
        <is>
          <t>Server Installation &amp; Config</t>
        </is>
      </c>
      <c r="C17" s="44" t="inlineStr">
        <is>
          <t>Hardware installation and GPU driver setup</t>
        </is>
      </c>
      <c r="D17" s="45" t="n">
        <v>120</v>
      </c>
      <c r="E17" s="44" t="inlineStr">
        <is>
          <t>Hours</t>
        </is>
      </c>
      <c r="F17" s="46" t="n">
        <v>200</v>
      </c>
      <c r="G17" s="46">
        <f>$120*$200</f>
        <v/>
      </c>
      <c r="H17" s="46">
        <f>$0</f>
        <v/>
      </c>
      <c r="I17" s="46">
        <f>$0</f>
        <v/>
      </c>
      <c r="J17" s="46">
        <f>$24000</f>
        <v/>
      </c>
      <c r="K17" s="44" t="inlineStr">
        <is>
          <t>System deployment</t>
        </is>
      </c>
    </row>
    <row r="18" ht="26" customHeight="1">
      <c r="A18" s="47" t="inlineStr">
        <is>
          <t>Professional Services</t>
        </is>
      </c>
      <c r="B18" s="48" t="inlineStr">
        <is>
          <t>Network Configuration</t>
        </is>
      </c>
      <c r="C18" s="48" t="inlineStr">
        <is>
          <t>100 GbE fabric and RDMA setup</t>
        </is>
      </c>
      <c r="D18" s="49" t="n">
        <v>60</v>
      </c>
      <c r="E18" s="48" t="inlineStr">
        <is>
          <t>Hours</t>
        </is>
      </c>
      <c r="F18" s="50" t="n">
        <v>200</v>
      </c>
      <c r="G18" s="50">
        <f>$60*$200</f>
        <v/>
      </c>
      <c r="H18" s="50">
        <f>$0</f>
        <v/>
      </c>
      <c r="I18" s="50">
        <f>$0</f>
        <v/>
      </c>
      <c r="J18" s="50">
        <f>$12000</f>
        <v/>
      </c>
      <c r="K18" s="48" t="inlineStr">
        <is>
          <t>Network infrastructure</t>
        </is>
      </c>
    </row>
    <row r="19" ht="26" customHeight="1">
      <c r="A19" s="43" t="inlineStr">
        <is>
          <t>Professional Services</t>
        </is>
      </c>
      <c r="B19" s="44" t="inlineStr">
        <is>
          <t>Storage Configuration</t>
        </is>
      </c>
      <c r="C19" s="44" t="inlineStr">
        <is>
          <t>NetApp deployment and NFS optimization</t>
        </is>
      </c>
      <c r="D19" s="45" t="n">
        <v>40</v>
      </c>
      <c r="E19" s="44" t="inlineStr">
        <is>
          <t>Hours</t>
        </is>
      </c>
      <c r="F19" s="46" t="n">
        <v>200</v>
      </c>
      <c r="G19" s="46">
        <f>$40*$200</f>
        <v/>
      </c>
      <c r="H19" s="46">
        <f>$0</f>
        <v/>
      </c>
      <c r="I19" s="46">
        <f>$0</f>
        <v/>
      </c>
      <c r="J19" s="46">
        <f>$8000</f>
        <v/>
      </c>
      <c r="K19" s="44" t="inlineStr">
        <is>
          <t>Storage integration</t>
        </is>
      </c>
    </row>
    <row r="20" ht="26" customHeight="1">
      <c r="A20" s="47" t="inlineStr">
        <is>
          <t>Professional Services</t>
        </is>
      </c>
      <c r="B20" s="48" t="inlineStr">
        <is>
          <t>Kubernetes Deployment</t>
        </is>
      </c>
      <c r="C20" s="48" t="inlineStr">
        <is>
          <t>K8s cluster NVIDIA GPU Operator and scheduling</t>
        </is>
      </c>
      <c r="D20" s="49" t="n">
        <v>80</v>
      </c>
      <c r="E20" s="48" t="inlineStr">
        <is>
          <t>Hours</t>
        </is>
      </c>
      <c r="F20" s="50" t="n">
        <v>225</v>
      </c>
      <c r="G20" s="50">
        <f>$80*$225</f>
        <v/>
      </c>
      <c r="H20" s="50">
        <f>$0</f>
        <v/>
      </c>
      <c r="I20" s="50">
        <f>$0</f>
        <v/>
      </c>
      <c r="J20" s="50">
        <f>$18000</f>
        <v/>
      </c>
      <c r="K20" s="48" t="inlineStr">
        <is>
          <t>Container orchestration</t>
        </is>
      </c>
    </row>
    <row r="21" ht="26" customHeight="1">
      <c r="A21" s="43" t="inlineStr">
        <is>
          <t>Professional Services</t>
        </is>
      </c>
      <c r="B21" s="44" t="inlineStr">
        <is>
          <t>MLOps Platform Setup</t>
        </is>
      </c>
      <c r="C21" s="44" t="inlineStr">
        <is>
          <t>Kubeflow or Run:ai deployment and configuration</t>
        </is>
      </c>
      <c r="D21" s="45" t="n">
        <v>60</v>
      </c>
      <c r="E21" s="44" t="inlineStr">
        <is>
          <t>Hours</t>
        </is>
      </c>
      <c r="F21" s="46" t="n">
        <v>225</v>
      </c>
      <c r="G21" s="46">
        <f>$60*$225</f>
        <v/>
      </c>
      <c r="H21" s="46">
        <f>$0</f>
        <v/>
      </c>
      <c r="I21" s="46">
        <f>$0</f>
        <v/>
      </c>
      <c r="J21" s="46">
        <f>$13500</f>
        <v/>
      </c>
      <c r="K21" s="44" t="inlineStr">
        <is>
          <t>ML workflow platform</t>
        </is>
      </c>
    </row>
    <row r="22" ht="26" customHeight="1">
      <c r="A22" s="47" t="inlineStr">
        <is>
          <t>Professional Services</t>
        </is>
      </c>
      <c r="B22" s="48" t="inlineStr">
        <is>
          <t>Monitoring &amp; Observability</t>
        </is>
      </c>
      <c r="C22" s="48" t="inlineStr">
        <is>
          <t>Prometheus Grafana GPU metrics dashboards</t>
        </is>
      </c>
      <c r="D22" s="49" t="n">
        <v>40</v>
      </c>
      <c r="E22" s="48" t="inlineStr">
        <is>
          <t>Hours</t>
        </is>
      </c>
      <c r="F22" s="50" t="n">
        <v>175</v>
      </c>
      <c r="G22" s="50">
        <f>$40*$175</f>
        <v/>
      </c>
      <c r="H22" s="50">
        <f>$0</f>
        <v/>
      </c>
      <c r="I22" s="50">
        <f>$0</f>
        <v/>
      </c>
      <c r="J22" s="50">
        <f>$7000</f>
        <v/>
      </c>
      <c r="K22" s="48" t="inlineStr">
        <is>
          <t>Monitoring setup</t>
        </is>
      </c>
    </row>
    <row r="23" ht="26" customHeight="1">
      <c r="A23" s="43" t="inlineStr">
        <is>
          <t>Professional Services</t>
        </is>
      </c>
      <c r="B23" s="44" t="inlineStr">
        <is>
          <t>Administrator Training</t>
        </is>
      </c>
      <c r="C23" s="44" t="inlineStr">
        <is>
          <t>Cluster management Kubernetes GPU troubleshooting</t>
        </is>
      </c>
      <c r="D23" s="45" t="n">
        <v>32</v>
      </c>
      <c r="E23" s="44" t="inlineStr">
        <is>
          <t>Hours</t>
        </is>
      </c>
      <c r="F23" s="46" t="n">
        <v>200</v>
      </c>
      <c r="G23" s="46">
        <f>$32*$200</f>
        <v/>
      </c>
      <c r="H23" s="46">
        <f>$0</f>
        <v/>
      </c>
      <c r="I23" s="46">
        <f>$0</f>
        <v/>
      </c>
      <c r="J23" s="46">
        <f>$6400</f>
        <v/>
      </c>
      <c r="K23" s="44" t="inlineStr">
        <is>
          <t>Admin knowledge transfer</t>
        </is>
      </c>
    </row>
    <row r="24" ht="26" customHeight="1">
      <c r="A24" s="47" t="inlineStr">
        <is>
          <t>Professional Services</t>
        </is>
      </c>
      <c r="B24" s="48" t="inlineStr">
        <is>
          <t>User Training</t>
        </is>
      </c>
      <c r="C24" s="48" t="inlineStr">
        <is>
          <t>Data scientist onboarding job submission best practices</t>
        </is>
      </c>
      <c r="D24" s="49" t="n">
        <v>24</v>
      </c>
      <c r="E24" s="48" t="inlineStr">
        <is>
          <t>Hours</t>
        </is>
      </c>
      <c r="F24" s="50" t="n">
        <v>200</v>
      </c>
      <c r="G24" s="50">
        <f>$24*$200</f>
        <v/>
      </c>
      <c r="H24" s="50">
        <f>$0</f>
        <v/>
      </c>
      <c r="I24" s="50">
        <f>$0</f>
        <v/>
      </c>
      <c r="J24" s="50">
        <f>$4800</f>
        <v/>
      </c>
      <c r="K24" s="48" t="inlineStr">
        <is>
          <t>End-user training</t>
        </is>
      </c>
    </row>
    <row r="25" ht="26" customHeight="1">
      <c r="A25" s="43" t="inlineStr">
        <is>
          <t>Professional Services</t>
        </is>
      </c>
      <c r="B25" s="44" t="inlineStr">
        <is>
          <t>Performance Tuning</t>
        </is>
      </c>
      <c r="C25" s="44" t="inlineStr">
        <is>
          <t>Benchmark testing and workload optimization</t>
        </is>
      </c>
      <c r="D25" s="45" t="n">
        <v>40</v>
      </c>
      <c r="E25" s="44" t="inlineStr">
        <is>
          <t>Hours</t>
        </is>
      </c>
      <c r="F25" s="46" t="n">
        <v>225</v>
      </c>
      <c r="G25" s="46">
        <f>$40*$225</f>
        <v/>
      </c>
      <c r="H25" s="46">
        <f>$0</f>
        <v/>
      </c>
      <c r="I25" s="46">
        <f>$0</f>
        <v/>
      </c>
      <c r="J25" s="46">
        <f>$9000</f>
        <v/>
      </c>
      <c r="K25" s="44" t="inlineStr">
        <is>
          <t>Performance optimization</t>
        </is>
      </c>
    </row>
    <row r="26" ht="26" customHeight="1">
      <c r="A26" s="47" t="inlineStr">
        <is>
          <t>Professional Services</t>
        </is>
      </c>
      <c r="B26" s="48" t="inlineStr">
        <is>
          <t>Project Management</t>
        </is>
      </c>
      <c r="C26" s="48" t="inlineStr">
        <is>
          <t>End-to-end project coordination</t>
        </is>
      </c>
      <c r="D26" s="49" t="n">
        <v>120</v>
      </c>
      <c r="E26" s="48" t="inlineStr">
        <is>
          <t>Hours</t>
        </is>
      </c>
      <c r="F26" s="50" t="n">
        <v>175</v>
      </c>
      <c r="G26" s="50">
        <f>$120*$175</f>
        <v/>
      </c>
      <c r="H26" s="50">
        <f>$0</f>
        <v/>
      </c>
      <c r="I26" s="50">
        <f>$0</f>
        <v/>
      </c>
      <c r="J26" s="50">
        <f>$21000</f>
        <v/>
      </c>
      <c r="K26" s="48" t="inlineStr">
        <is>
          <t>Implementation oversight</t>
        </is>
      </c>
    </row>
    <row r="27" ht="26" customHeight="1">
      <c r="A27" s="51" t="inlineStr">
        <is>
          <t>TOTAL</t>
        </is>
      </c>
      <c r="B27" s="52" t="n"/>
      <c r="C27" s="52" t="n"/>
      <c r="D27" s="52" t="n"/>
      <c r="E27" s="52" t="n"/>
      <c r="F27" s="52" t="n"/>
      <c r="G27" s="53">
        <f>SUM(G3:G26)</f>
        <v/>
      </c>
      <c r="H27" s="53">
        <f>SUM(H3:H26)</f>
        <v/>
      </c>
      <c r="I27" s="53">
        <f>SUM(I3:I26)</f>
        <v/>
      </c>
      <c r="J27" s="53">
        <f>SUM(J3:J26)</f>
        <v/>
      </c>
      <c r="K27" s="52" t="n"/>
    </row>
  </sheetData>
  <autoFilter ref="A2:K27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Hardware</t>
        </is>
      </c>
      <c r="B3" s="44" t="inlineStr">
        <is>
          <t>Dell Volume Discount</t>
        </is>
      </c>
      <c r="C3" s="46" t="n">
        <v>-32000</v>
      </c>
      <c r="D3" s="44" t="inlineStr">
        <is>
          <t>5% discount on 8-server purchase</t>
        </is>
      </c>
    </row>
    <row r="4" ht="26" customHeight="1">
      <c r="A4" s="47" t="inlineStr">
        <is>
          <t>Software Licenses</t>
        </is>
      </c>
      <c r="B4" s="48" t="inlineStr">
        <is>
          <t>NVIDIA AI Enterprise Bundle</t>
        </is>
      </c>
      <c r="C4" s="50" t="n">
        <v>-12000</v>
      </c>
      <c r="D4" s="48" t="inlineStr">
        <is>
          <t>Year 1 included with Dell GPU servers</t>
        </is>
      </c>
    </row>
    <row r="5" ht="26" customHeight="1">
      <c r="A5" s="43" t="inlineStr">
        <is>
          <t>Professional Services</t>
        </is>
      </c>
      <c r="B5" s="44" t="inlineStr">
        <is>
          <t>Partner Services Credit</t>
        </is>
      </c>
      <c r="C5" s="46" t="n">
        <v>0</v>
      </c>
      <c r="D5" s="44" t="inlineStr">
        <is>
          <t>No professional services credits available</t>
        </is>
      </c>
    </row>
    <row r="6" ht="26" customHeight="1">
      <c r="A6" s="47" t="inlineStr">
        <is>
          <t>Support &amp; Maintenance</t>
        </is>
      </c>
      <c r="B6" s="48" t="inlineStr">
        <is>
          <t>Support Credit</t>
        </is>
      </c>
      <c r="C6" s="50" t="n">
        <v>0</v>
      </c>
      <c r="D6" s="48" t="inlineStr">
        <is>
          <t>No support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Hardware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Software Licenses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Professional Services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51" t="inlineStr">
        <is>
          <t>TOTAL</t>
        </is>
      </c>
      <c r="B7" s="53">
        <f>SUM(B3:B6)</f>
        <v/>
      </c>
      <c r="C7" s="53">
        <f>SUM(C3:C6)</f>
        <v/>
      </c>
      <c r="D7" s="53">
        <f>SUM(D3:D6)</f>
        <v/>
      </c>
      <c r="E7" s="53">
        <f>SUM(E3:E6)</f>
        <v/>
      </c>
      <c r="F7" s="53">
        <f>SUM(F3:F6)</f>
        <v/>
      </c>
      <c r="G7" s="53">
        <f>SUM(G3:G6)</f>
        <v/>
      </c>
    </row>
  </sheetData>
  <autoFilter ref="A2:G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2025-11-23T00:31:13Z</dcterms:modified>
  <cp:lastModifiedBy>Kishan Siram</cp:lastModifiedBy>
</cp:coreProperties>
</file>