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'LOE'!$A$2:$K$36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Ai - Gpu Compute Cluster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GPU Servers</t>
        </is>
      </c>
      <c r="C3" s="39" t="inlineStr">
        <is>
          <t>8x Dell R750xa servers</t>
        </is>
      </c>
      <c r="D3" s="38" t="inlineStr">
        <is>
          <t>4 servers (16 GPUs)</t>
        </is>
      </c>
      <c r="E3" s="38" t="inlineStr">
        <is>
          <t>8 servers (32 GPUs)</t>
        </is>
      </c>
      <c r="F3" s="38" t="inlineStr">
        <is>
          <t>16 servers (64 GPUs)</t>
        </is>
      </c>
      <c r="G3" s="38" t="inlineStr">
        <is>
          <t>Dell R750xa with 4x A100 40GB per server</t>
        </is>
      </c>
    </row>
    <row r="4" ht="26" customHeight="1">
      <c r="A4" s="40" t="inlineStr">
        <is>
          <t>Solution Scope</t>
        </is>
      </c>
      <c r="B4" s="41" t="inlineStr">
        <is>
          <t>AI Workload Type</t>
        </is>
      </c>
      <c r="C4" s="39" t="inlineStr">
        <is>
          <t>Distributed training</t>
        </is>
      </c>
      <c r="D4" s="41" t="inlineStr">
        <is>
          <t>Single-GPU training</t>
        </is>
      </c>
      <c r="E4" s="41" t="inlineStr">
        <is>
          <t>Multi-GPU training</t>
        </is>
      </c>
      <c r="F4" s="41" t="inlineStr">
        <is>
          <t>Large-scale distributed</t>
        </is>
      </c>
      <c r="G4" s="41" t="inlineStr">
        <is>
          <t>Training complexity and model parallelism</t>
        </is>
      </c>
    </row>
    <row r="5" ht="26" customHeight="1">
      <c r="A5" s="37" t="inlineStr">
        <is>
          <t>Integration</t>
        </is>
      </c>
      <c r="B5" s="38" t="inlineStr">
        <is>
          <t>Data Science Team Size</t>
        </is>
      </c>
      <c r="C5" s="39" t="inlineStr">
        <is>
          <t>20 data scientists</t>
        </is>
      </c>
      <c r="D5" s="38" t="inlineStr">
        <is>
          <t>10-15 users</t>
        </is>
      </c>
      <c r="E5" s="38" t="inlineStr">
        <is>
          <t>20-30 users</t>
        </is>
      </c>
      <c r="F5" s="38" t="inlineStr">
        <is>
          <t>40+ users</t>
        </is>
      </c>
      <c r="G5" s="38" t="inlineStr">
        <is>
          <t>Concurrent GPU access and job scheduling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200 TB NetApp storage</t>
        </is>
      </c>
      <c r="D6" s="41" t="inlineStr">
        <is>
          <t>100 TB</t>
        </is>
      </c>
      <c r="E6" s="41" t="inlineStr">
        <is>
          <t>200 TB</t>
        </is>
      </c>
      <c r="F6" s="41" t="inlineStr">
        <is>
          <t>500 TB</t>
        </is>
      </c>
      <c r="G6" s="41" t="inlineStr">
        <is>
          <t>NVMe all-flash for datasets and checkpoints</t>
        </is>
      </c>
    </row>
    <row r="7" ht="26" customHeight="1">
      <c r="A7" s="37" t="inlineStr">
        <is>
          <t>Data Volume</t>
        </is>
      </c>
      <c r="B7" s="38" t="inlineStr">
        <is>
          <t>Training Datasets</t>
        </is>
      </c>
      <c r="C7" s="39" t="inlineStr">
        <is>
          <t>Multi-TB datasets</t>
        </is>
      </c>
      <c r="D7" s="38" t="inlineStr">
        <is>
          <t>50-100 TB</t>
        </is>
      </c>
      <c r="E7" s="38" t="inlineStr">
        <is>
          <t>100-300 TB</t>
        </is>
      </c>
      <c r="F7" s="38" t="inlineStr">
        <is>
          <t>500+ TB</t>
        </is>
      </c>
      <c r="G7" s="38" t="inlineStr">
        <is>
          <t>Dataset storage and streaming requirements</t>
        </is>
      </c>
    </row>
    <row r="8" ht="26" customHeight="1">
      <c r="A8" s="40" t="inlineStr">
        <is>
          <t>Data Volume</t>
        </is>
      </c>
      <c r="B8" s="41" t="inlineStr">
        <is>
          <t>Model Checkpointing</t>
        </is>
      </c>
      <c r="C8" s="39" t="inlineStr">
        <is>
          <t>Regular checkpointing</t>
        </is>
      </c>
      <c r="D8" s="41" t="inlineStr">
        <is>
          <t>Daily</t>
        </is>
      </c>
      <c r="E8" s="41" t="inlineStr">
        <is>
          <t>Hourly</t>
        </is>
      </c>
      <c r="F8" s="41" t="inlineStr">
        <is>
          <t>Continuous</t>
        </is>
      </c>
      <c r="G8" s="41" t="inlineStr">
        <is>
          <t>Storage I/O and capacity impact</t>
        </is>
      </c>
    </row>
    <row r="9" ht="26" customHeight="1">
      <c r="A9" s="37" t="inlineStr">
        <is>
          <t>Technical Environment</t>
        </is>
      </c>
      <c r="B9" s="38" t="inlineStr">
        <is>
          <t>Network Fabric</t>
        </is>
      </c>
      <c r="C9" s="39" t="inlineStr">
        <is>
          <t>100 GbE Ethernet</t>
        </is>
      </c>
      <c r="D9" s="38" t="inlineStr">
        <is>
          <t>1 GbE</t>
        </is>
      </c>
      <c r="E9" s="38" t="inlineStr">
        <is>
          <t>100 GbE RDMA</t>
        </is>
      </c>
      <c r="F9" s="38" t="inlineStr">
        <is>
          <t>InfiniBand</t>
        </is>
      </c>
      <c r="G9" s="38" t="inlineStr">
        <is>
          <t>Multi-node distributed training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Standard datacenter</t>
        </is>
      </c>
      <c r="D10" s="41" t="inlineStr">
        <is>
          <t>Existing racks</t>
        </is>
      </c>
      <c r="E10" s="41" t="inlineStr">
        <is>
          <t>Minor upgrades</t>
        </is>
      </c>
      <c r="F10" s="41" t="inlineStr">
        <is>
          <t>Major buildout</t>
        </is>
      </c>
      <c r="G10" s="41" t="inlineStr">
        <is>
          <t>80 kW power and cooling infrastructure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datacenter</t>
        </is>
      </c>
      <c r="D11" s="38" t="inlineStr">
        <is>
          <t>Colocation</t>
        </is>
      </c>
      <c r="E11" s="38" t="inlineStr">
        <is>
          <t>On-prem datacenter</t>
        </is>
      </c>
      <c r="F11" s="38" t="inlineStr">
        <is>
          <t>Hybrid cloud</t>
        </is>
      </c>
      <c r="G11" s="38" t="inlineStr">
        <is>
          <t>Physical deployment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models</t>
        </is>
      </c>
      <c r="D12" s="41" t="inlineStr">
        <is>
          <t>Internal use</t>
        </is>
      </c>
      <c r="E12" s="41" t="inlineStr">
        <is>
          <t>Confidential</t>
        </is>
      </c>
      <c r="F12" s="41" t="inlineStr">
        <is>
          <t>Highly restricted</t>
        </is>
      </c>
      <c r="G12" s="41" t="inlineStr">
        <is>
          <t>Model and dataset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</t>
        </is>
      </c>
      <c r="F13" s="38" t="inlineStr">
        <is>
          <t>HIPAA + SOC2</t>
        </is>
      </c>
      <c r="G13" s="38" t="inlineStr">
        <is>
          <t>Regulatory frameworks for AI workloads</t>
        </is>
      </c>
    </row>
    <row r="14" ht="26" customHeight="1">
      <c r="A14" s="40" t="inlineStr">
        <is>
          <t>Performance</t>
        </is>
      </c>
      <c r="B14" s="41" t="inlineStr">
        <is>
          <t>GPU Utilization Target</t>
        </is>
      </c>
      <c r="C14" s="39" t="inlineStr">
        <is>
          <t>80% utilization</t>
        </is>
      </c>
      <c r="D14" s="41" t="inlineStr">
        <is>
          <t>60%+ baseline</t>
        </is>
      </c>
      <c r="E14" s="41" t="inlineStr">
        <is>
          <t>80% optimized</t>
        </is>
      </c>
      <c r="F14" s="41" t="inlineStr">
        <is>
          <t>90%+ with advanced scheduling</t>
        </is>
      </c>
      <c r="G14" s="41" t="inlineStr">
        <is>
          <t>Resource efficiency and ROI</t>
        </is>
      </c>
    </row>
    <row r="15" ht="26" customHeight="1">
      <c r="A15" s="37" t="inlineStr">
        <is>
          <t>Performance</t>
        </is>
      </c>
      <c r="B15" s="38" t="inlineStr">
        <is>
          <t>Training Time Requirements</t>
        </is>
      </c>
      <c r="C15" s="39" t="inlineStr">
        <is>
          <t>Hours to days</t>
        </is>
      </c>
      <c r="D15" s="38" t="inlineStr">
        <is>
          <t>Weeks acceptable</t>
        </is>
      </c>
      <c r="E15" s="38" t="inlineStr">
        <is>
          <t>Days required</t>
        </is>
      </c>
      <c r="F15" s="38" t="inlineStr">
        <is>
          <t>Hours critical</t>
        </is>
      </c>
      <c r="G15" s="38" t="inlineStr">
        <is>
          <t>Time-to-insight business impact</t>
        </is>
      </c>
    </row>
    <row r="16" ht="26" customHeight="1">
      <c r="A16" s="40" t="inlineStr">
        <is>
          <t>Environment</t>
        </is>
      </c>
      <c r="B16" s="41" t="inlineStr">
        <is>
          <t>Software Stack</t>
        </is>
      </c>
      <c r="C16" s="39" t="inlineStr">
        <is>
          <t>NVIDIA AI Enterprise</t>
        </is>
      </c>
      <c r="D16" s="41" t="inlineStr">
        <is>
          <t>NGC containers only</t>
        </is>
      </c>
      <c r="E16" s="41" t="inlineStr">
        <is>
          <t>AI Enterprise + Kubeflow</t>
        </is>
      </c>
      <c r="F16" s="41" t="inlineStr">
        <is>
          <t>Custom platform + support</t>
        </is>
      </c>
      <c r="G16" s="41" t="inlineStr">
        <is>
          <t>Software licensing and MLOps complexity</t>
        </is>
      </c>
    </row>
    <row r="17" ht="26" customHeight="1">
      <c r="A17" s="37" t="inlineStr">
        <is>
          <t>Environment</t>
        </is>
      </c>
      <c r="B17" s="38" t="inlineStr">
        <is>
          <t>Management Platform</t>
        </is>
      </c>
      <c r="C17" s="39" t="inlineStr">
        <is>
          <t>Kubernetes with GPU Operator</t>
        </is>
      </c>
      <c r="D17" s="38" t="inlineStr">
        <is>
          <t>Manual scheduling</t>
        </is>
      </c>
      <c r="E17" s="38" t="inlineStr">
        <is>
          <t>Kubernetes + MLOps</t>
        </is>
      </c>
      <c r="F17" s="38" t="inlineStr">
        <is>
          <t>Run:ai or DGX Platform</t>
        </is>
      </c>
      <c r="G17" s="38" t="inlineStr">
        <is>
          <t>Cluster orchestration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(AI Requirements, Workload Analysis, Infrastructure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(Cluster Architecture, Network Design, Storage Design, MLOps Platform)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(Server Installation, Kubernetes Deployment, GPU Operator, Storage Setup, MLOps Tools)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Network Testing, Workload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User Onboarding, Production Workloads)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Data Scientist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AI/ML Requirements</t>
        </is>
      </c>
      <c r="C3" s="46" t="inlineStr">
        <is>
          <t>Conduct stakeholder interviews for AI workload requirements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distributed training requirements and team needs analysis</t>
        </is>
      </c>
    </row>
    <row r="4" ht="26" customHeight="1">
      <c r="A4" s="51" t="inlineStr">
        <is>
          <t>Discovery</t>
        </is>
      </c>
      <c r="B4" s="52" t="inlineStr">
        <is>
          <t>Workload Analysis</t>
        </is>
      </c>
      <c r="C4" s="52" t="inlineStr">
        <is>
          <t>Analyze AI models frameworks and compute requirements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training workloads and model types</t>
        </is>
      </c>
    </row>
    <row r="5" ht="26" customHeight="1">
      <c r="A5" s="45" t="inlineStr">
        <is>
          <t>Discovery</t>
        </is>
      </c>
      <c r="B5" s="46" t="inlineStr">
        <is>
          <t>Infrastructure Assessment</t>
        </is>
      </c>
      <c r="C5" s="46" t="inlineStr">
        <is>
          <t>Evaluate datacenter power cooling network and rack capacity</t>
        </is>
      </c>
      <c r="D5" s="46" t="inlineStr">
        <is>
          <t>EO Engineer</t>
        </is>
      </c>
      <c r="E5" s="47" t="n">
        <v>32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facility specifications and available capacity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data science team size roles and GPU resource allocation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access patterns and Kubernetes scheduling requirements</t>
        </is>
      </c>
    </row>
    <row r="7" ht="26" customHeight="1">
      <c r="A7" s="45" t="inlineStr">
        <is>
          <t>Planning</t>
        </is>
      </c>
      <c r="B7" s="46" t="inlineStr">
        <is>
          <t>Cluster Architecture Design</t>
        </is>
      </c>
      <c r="C7" s="46" t="inlineStr">
        <is>
          <t>Design GPU cluster configuration with compute storage and Kubernetes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AI/ML Requirements</t>
        </is>
      </c>
      <c r="K7" s="46" t="inlineStr">
        <is>
          <t>Deliverable: Cluster architecture diagram with Dell R750xa servers and A100 GPUs</t>
        </is>
      </c>
    </row>
    <row r="8" ht="26" customHeight="1">
      <c r="A8" s="51" t="inlineStr">
        <is>
          <t>Planning</t>
        </is>
      </c>
      <c r="B8" s="52" t="inlineStr">
        <is>
          <t>Network Design</t>
        </is>
      </c>
      <c r="C8" s="52" t="inlineStr">
        <is>
          <t>Design 100 GbE RDMA network for distributed training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Cluster Architecture Design</t>
        </is>
      </c>
      <c r="K8" s="52" t="inlineStr">
        <is>
          <t>Mellanox ConnectX-6 NICs and switch topology design</t>
        </is>
      </c>
    </row>
    <row r="9" ht="26" customHeight="1">
      <c r="A9" s="45" t="inlineStr">
        <is>
          <t>Planning</t>
        </is>
      </c>
      <c r="B9" s="46" t="inlineStr">
        <is>
          <t>Storage Architecture</t>
        </is>
      </c>
      <c r="C9" s="46" t="inlineStr">
        <is>
          <t>Design 200 TB NetApp storage for datasets checkpoints and model registry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Workload Analysis</t>
        </is>
      </c>
      <c r="K9" s="46" t="inlineStr">
        <is>
          <t>NFSv4 high-performance storage for training data streaming</t>
        </is>
      </c>
    </row>
    <row r="10" ht="26" customHeight="1">
      <c r="A10" s="51" t="inlineStr">
        <is>
          <t>Planning</t>
        </is>
      </c>
      <c r="B10" s="52" t="inlineStr">
        <is>
          <t>MLOps Platform Design</t>
        </is>
      </c>
      <c r="C10" s="52" t="inlineStr">
        <is>
          <t>Design Kubeflow pipelines and MLflow experiment tracking platform</t>
        </is>
      </c>
      <c r="D10" s="52" t="inlineStr">
        <is>
          <t>EO Engineer</t>
        </is>
      </c>
      <c r="E10" s="53" t="n">
        <v>32</v>
      </c>
      <c r="F10" s="54">
        <f>'Estimate Settings'!$C$4</f>
        <v/>
      </c>
      <c r="G10" s="55">
        <f>$E10*$F10</f>
        <v/>
      </c>
      <c r="H10" s="56" t="n">
        <v>225</v>
      </c>
      <c r="I10" s="55">
        <f>TEXT($G10*$H10,"$#,##0")</f>
        <v/>
      </c>
      <c r="J10" s="52" t="inlineStr">
        <is>
          <t>Cluster Architecture Design</t>
        </is>
      </c>
      <c r="K10" s="52" t="inlineStr">
        <is>
          <t>MLOps workflow for model development deployment and monitoring</t>
        </is>
      </c>
    </row>
    <row r="11" ht="26" customHeight="1">
      <c r="A11" s="45" t="inlineStr">
        <is>
          <t>Development</t>
        </is>
      </c>
      <c r="B11" s="46" t="inlineStr">
        <is>
          <t>Server Installation</t>
        </is>
      </c>
      <c r="C11" s="46" t="inlineStr">
        <is>
          <t>Install and configure 8x Dell R750xa servers with A100 GPUs</t>
        </is>
      </c>
      <c r="D11" s="46" t="inlineStr">
        <is>
          <t>EO Engineer</t>
        </is>
      </c>
      <c r="E11" s="47" t="n">
        <v>64</v>
      </c>
      <c r="F11" s="48">
        <f>'Estimate Settings'!$C$5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Network Design</t>
        </is>
      </c>
      <c r="K11" s="46" t="inlineStr">
        <is>
          <t>Physical installation cabling and BIOS configuration</t>
        </is>
      </c>
    </row>
    <row r="12" ht="26" customHeight="1">
      <c r="A12" s="51" t="inlineStr">
        <is>
          <t>Development</t>
        </is>
      </c>
      <c r="B12" s="52" t="inlineStr">
        <is>
          <t>Network Configuration</t>
        </is>
      </c>
      <c r="C12" s="52" t="inlineStr">
        <is>
          <t>Deploy and configure 100 GbE switches and RDMA networking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Server Installation</t>
        </is>
      </c>
      <c r="K12" s="52" t="inlineStr">
        <is>
          <t>Switch configuration NIC bonding and RDMA validation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and configure NetApp AFF A400 storage cluster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Network Configuration</t>
        </is>
      </c>
      <c r="K13" s="46" t="inlineStr">
        <is>
          <t>Storage cluster installation NFSv4 setup and performance tuning</t>
        </is>
      </c>
    </row>
    <row r="14" ht="26" customHeight="1">
      <c r="A14" s="51" t="inlineStr">
        <is>
          <t>Development</t>
        </is>
      </c>
      <c r="B14" s="52" t="inlineStr">
        <is>
          <t>Kubernetes Deployment</t>
        </is>
      </c>
      <c r="C14" s="52" t="inlineStr">
        <is>
          <t>Install and configure Kubernetes cluster across GPU nodes</t>
        </is>
      </c>
      <c r="D14" s="52" t="inlineStr">
        <is>
          <t>EO Engineer</t>
        </is>
      </c>
      <c r="E14" s="53" t="n">
        <v>56</v>
      </c>
      <c r="F14" s="54">
        <f>'Estimate Settings'!$C$5</f>
        <v/>
      </c>
      <c r="G14" s="55">
        <f>$E14*$F14</f>
        <v/>
      </c>
      <c r="H14" s="56" t="n">
        <v>225</v>
      </c>
      <c r="I14" s="55">
        <f>TEXT($G14*$H14,"$#,##0")</f>
        <v/>
      </c>
      <c r="J14" s="52" t="inlineStr">
        <is>
          <t>Storage Deployment</t>
        </is>
      </c>
      <c r="K14" s="52" t="inlineStr">
        <is>
          <t>Kubernetes control plane worker nodes and CNI networking</t>
        </is>
      </c>
    </row>
    <row r="15" ht="26" customHeight="1">
      <c r="A15" s="45" t="inlineStr">
        <is>
          <t>Development</t>
        </is>
      </c>
      <c r="B15" s="46" t="inlineStr">
        <is>
          <t>GPU Operator Setup</t>
        </is>
      </c>
      <c r="C15" s="46" t="inlineStr">
        <is>
          <t>Install and configure NVIDIA GPU Operator for GPU scheduling</t>
        </is>
      </c>
      <c r="D15" s="46" t="inlineStr">
        <is>
          <t>EO Engineer</t>
        </is>
      </c>
      <c r="E15" s="47" t="n">
        <v>40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Kubernetes Deployment</t>
        </is>
      </c>
      <c r="K15" s="46" t="inlineStr">
        <is>
          <t>GPU device plugin time-slicing and MIG configuration</t>
        </is>
      </c>
    </row>
    <row r="16" ht="26" customHeight="1">
      <c r="A16" s="51" t="inlineStr">
        <is>
          <t>Development</t>
        </is>
      </c>
      <c r="B16" s="52" t="inlineStr">
        <is>
          <t>NGC Container Integration</t>
        </is>
      </c>
      <c r="C16" s="52" t="inlineStr">
        <is>
          <t>Deploy NGC GPU-accelerated containers for PyTorch TensorFlow and RAPIDS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GPU Operator Setup</t>
        </is>
      </c>
      <c r="K16" s="52" t="inlineStr">
        <is>
          <t>AI framework containers and GPU-optimized libraries</t>
        </is>
      </c>
    </row>
    <row r="17" ht="26" customHeight="1">
      <c r="A17" s="45" t="inlineStr">
        <is>
          <t>Development</t>
        </is>
      </c>
      <c r="B17" s="46" t="inlineStr">
        <is>
          <t>Kubeflow Deployment</t>
        </is>
      </c>
      <c r="C17" s="46" t="inlineStr">
        <is>
          <t>Deploy Kubeflow platform for ML pipelines and experiment tracking</t>
        </is>
      </c>
      <c r="D17" s="46" t="inlineStr">
        <is>
          <t>EO Engineer</t>
        </is>
      </c>
      <c r="E17" s="47" t="n">
        <v>48</v>
      </c>
      <c r="F17" s="48">
        <f>'Estimate Settings'!$C$5</f>
        <v/>
      </c>
      <c r="G17" s="49">
        <f>$E17*$F17</f>
        <v/>
      </c>
      <c r="H17" s="50" t="n">
        <v>225</v>
      </c>
      <c r="I17" s="49">
        <f>TEXT($G17*$H17,"$#,##0")</f>
        <v/>
      </c>
      <c r="J17" s="46" t="inlineStr">
        <is>
          <t>NGC Container Integration</t>
        </is>
      </c>
      <c r="K17" s="46" t="inlineStr">
        <is>
          <t>Kubeflow pipelines notebooks and Katib hyperparameter tuning</t>
        </is>
      </c>
    </row>
    <row r="18" ht="26" customHeight="1">
      <c r="A18" s="51" t="inlineStr">
        <is>
          <t>Development</t>
        </is>
      </c>
      <c r="B18" s="52" t="inlineStr">
        <is>
          <t>Triton Inference Setup</t>
        </is>
      </c>
      <c r="C18" s="52" t="inlineStr">
        <is>
          <t>Deploy Triton Inference Server for production model serving</t>
        </is>
      </c>
      <c r="D18" s="52" t="inlineStr">
        <is>
          <t>EO Engineer</t>
        </is>
      </c>
      <c r="E18" s="53" t="n">
        <v>32</v>
      </c>
      <c r="F18" s="54">
        <f>'Estimate Settings'!$C$5</f>
        <v/>
      </c>
      <c r="G18" s="55">
        <f>$E18*$F18</f>
        <v/>
      </c>
      <c r="H18" s="56" t="n">
        <v>200</v>
      </c>
      <c r="I18" s="55">
        <f>TEXT($G18*$H18,"$#,##0")</f>
        <v/>
      </c>
      <c r="J18" s="52" t="inlineStr">
        <is>
          <t>Kubeflow Deployment</t>
        </is>
      </c>
      <c r="K18" s="52" t="inlineStr">
        <is>
          <t>Model repository configuration and inference optimization</t>
        </is>
      </c>
    </row>
    <row r="19" ht="26" customHeight="1">
      <c r="A19" s="45" t="inlineStr">
        <is>
          <t>Development</t>
        </is>
      </c>
      <c r="B19" s="46" t="inlineStr">
        <is>
          <t>Monitoring Setup</t>
        </is>
      </c>
      <c r="C19" s="46" t="inlineStr">
        <is>
          <t>Configure Prometheus Grafana for GPU utilization and job metrics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175</v>
      </c>
      <c r="I19" s="49">
        <f>TEXT($G19*$H19,"$#,##0")</f>
        <v/>
      </c>
      <c r="J19" s="46" t="inlineStr">
        <is>
          <t>Triton Inference Setup</t>
        </is>
      </c>
      <c r="K19" s="46" t="inlineStr">
        <is>
          <t>GPU dashboards alert rules and performance monitoring</t>
        </is>
      </c>
    </row>
    <row r="20" ht="26" customHeight="1">
      <c r="A20" s="51" t="inlineStr">
        <is>
          <t>Development</t>
        </is>
      </c>
      <c r="B20" s="52" t="inlineStr">
        <is>
          <t>Security Configuration</t>
        </is>
      </c>
      <c r="C20" s="52" t="inlineStr">
        <is>
          <t>Configure RBAC network policies and access controls</t>
        </is>
      </c>
      <c r="D20" s="52" t="inlineStr">
        <is>
          <t>EO Engineer</t>
        </is>
      </c>
      <c r="E20" s="53" t="n">
        <v>24</v>
      </c>
      <c r="F20" s="54">
        <f>'Estimate Settings'!$C$5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Monitoring Setup</t>
        </is>
      </c>
      <c r="K20" s="52" t="inlineStr">
        <is>
          <t>Kubernetes security user authentication and resource quotas</t>
        </is>
      </c>
    </row>
    <row r="21" ht="26" customHeight="1">
      <c r="A21" s="45" t="inlineStr">
        <is>
          <t>Testing</t>
        </is>
      </c>
      <c r="B21" s="46" t="inlineStr">
        <is>
          <t>System Validation</t>
        </is>
      </c>
      <c r="C21" s="46" t="inlineStr">
        <is>
          <t>Validate GPU servers A100 health and hardware functionality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175</v>
      </c>
      <c r="I21" s="49">
        <f>TEXT($G21*$H21,"$#,##0")</f>
        <v/>
      </c>
      <c r="J21" s="46" t="inlineStr">
        <is>
          <t>Security Configuration</t>
        </is>
      </c>
      <c r="K21" s="46" t="inlineStr">
        <is>
          <t>GPU diagnostics memory tests and system health verification</t>
        </is>
      </c>
    </row>
    <row r="22" ht="26" customHeight="1">
      <c r="A22" s="51" t="inlineStr">
        <is>
          <t>Testing</t>
        </is>
      </c>
      <c r="B22" s="52" t="inlineStr">
        <is>
          <t>Network Performance</t>
        </is>
      </c>
      <c r="C22" s="52" t="inlineStr">
        <is>
          <t>Test 100 GbE throughput and RDMA performance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200</v>
      </c>
      <c r="I22" s="55">
        <f>TEXT($G22*$H22,"$#,##0")</f>
        <v/>
      </c>
      <c r="J22" s="52" t="inlineStr">
        <is>
          <t>System Validation</t>
        </is>
      </c>
      <c r="K22" s="52" t="inlineStr">
        <is>
          <t>NCCL bandwidth tests and multi-node communication validation</t>
        </is>
      </c>
    </row>
    <row r="23" ht="26" customHeight="1">
      <c r="A23" s="45" t="inlineStr">
        <is>
          <t>Testing</t>
        </is>
      </c>
      <c r="B23" s="46" t="inlineStr">
        <is>
          <t>Storage Performance</t>
        </is>
      </c>
      <c r="C23" s="46" t="inlineStr">
        <is>
          <t>Test NetApp storage throughput IOPS and NFS performance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175</v>
      </c>
      <c r="I23" s="49">
        <f>TEXT($G23*$H23,"$#,##0")</f>
        <v/>
      </c>
      <c r="J23" s="46" t="inlineStr">
        <is>
          <t>Network Performance</t>
        </is>
      </c>
      <c r="K23" s="46" t="inlineStr">
        <is>
          <t>Dataset streaming tests checkpoint I/O and read/write benchmarks</t>
        </is>
      </c>
    </row>
    <row r="24" ht="26" customHeight="1">
      <c r="A24" s="51" t="inlineStr">
        <is>
          <t>Testing</t>
        </is>
      </c>
      <c r="B24" s="52" t="inlineStr">
        <is>
          <t>Workload Benchmarking</t>
        </is>
      </c>
      <c r="C24" s="52" t="inlineStr">
        <is>
          <t>Run AI/ML benchmark workloads to validate training performance</t>
        </is>
      </c>
      <c r="D24" s="52" t="inlineStr">
        <is>
          <t>EO Engineer</t>
        </is>
      </c>
      <c r="E24" s="53" t="n">
        <v>32</v>
      </c>
      <c r="F24" s="54">
        <f>'Estimate Settings'!$C$6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Storage Performance</t>
        </is>
      </c>
      <c r="K24" s="52" t="inlineStr">
        <is>
          <t>Customer must provide representative training workloads for validation</t>
        </is>
      </c>
    </row>
    <row r="25" ht="26" customHeight="1">
      <c r="A25" s="45" t="inlineStr">
        <is>
          <t>Testing</t>
        </is>
      </c>
      <c r="B25" s="46" t="inlineStr">
        <is>
          <t>Performance Tuning</t>
        </is>
      </c>
      <c r="C25" s="46" t="inlineStr">
        <is>
          <t>Optimize GPU utilization Kubernetes scheduling and NCCL settings</t>
        </is>
      </c>
      <c r="D25" s="46" t="inlineStr">
        <is>
          <t>EO Engineer</t>
        </is>
      </c>
      <c r="E25" s="47" t="n">
        <v>24</v>
      </c>
      <c r="F25" s="48">
        <f>'Estimate Settings'!$C$6</f>
        <v/>
      </c>
      <c r="G25" s="49">
        <f>$E25*$F25</f>
        <v/>
      </c>
      <c r="H25" s="50" t="n">
        <v>225</v>
      </c>
      <c r="I25" s="49">
        <f>TEXT($G25*$H25,"$#,##0")</f>
        <v/>
      </c>
      <c r="J25" s="46" t="inlineStr">
        <is>
          <t>Workload Benchmarking</t>
        </is>
      </c>
      <c r="K25" s="46" t="inlineStr">
        <is>
          <t>Tune GPU affinity NCCL parameters and Kubernetes resource limits</t>
        </is>
      </c>
    </row>
    <row r="26" ht="26" customHeight="1">
      <c r="A26" s="51" t="inlineStr">
        <is>
          <t>Deployment</t>
        </is>
      </c>
      <c r="B26" s="52" t="inlineStr">
        <is>
          <t>Production Handoff</t>
        </is>
      </c>
      <c r="C26" s="52" t="inlineStr">
        <is>
          <t>Transition GPU cluster to production with monitoring and support</t>
        </is>
      </c>
      <c r="D26" s="52" t="inlineStr">
        <is>
          <t>EO Engineer</t>
        </is>
      </c>
      <c r="E26" s="53" t="n">
        <v>16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Performance Tuning</t>
        </is>
      </c>
      <c r="K26" s="52" t="inlineStr">
        <is>
          <t>Production readiness validation and operational procedures documentation</t>
        </is>
      </c>
    </row>
    <row r="27" ht="26" customHeight="1">
      <c r="A27" s="45" t="inlineStr">
        <is>
          <t>Deployment</t>
        </is>
      </c>
      <c r="B27" s="46" t="inlineStr">
        <is>
          <t>User Onboarding</t>
        </is>
      </c>
      <c r="C27" s="46" t="inlineStr">
        <is>
          <t>Onboard data science teams with Kubernetes namespace and GPU quota setup</t>
        </is>
      </c>
      <c r="D27" s="46" t="inlineStr">
        <is>
          <t>EO Engineer</t>
        </is>
      </c>
      <c r="E27" s="47" t="n">
        <v>24</v>
      </c>
      <c r="F27" s="48">
        <f>'Estimate Settings'!$C$7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Production Handoff</t>
        </is>
      </c>
      <c r="K27" s="46" t="inlineStr">
        <is>
          <t>User account setup resource allocation and initial job submission support</t>
        </is>
      </c>
    </row>
    <row r="28" ht="26" customHeight="1">
      <c r="A28" s="51" t="inlineStr">
        <is>
          <t>Deployment</t>
        </is>
      </c>
      <c r="B28" s="52" t="inlineStr">
        <is>
          <t>Production Workload Migration</t>
        </is>
      </c>
      <c r="C28" s="52" t="inlineStr">
        <is>
          <t>Migrate initial training workloads to GPU cluster</t>
        </is>
      </c>
      <c r="D28" s="52" t="inlineStr">
        <is>
          <t>EO Engineer</t>
        </is>
      </c>
      <c r="E28" s="53" t="n">
        <v>32</v>
      </c>
      <c r="F28" s="54">
        <f>'Estimate Settings'!$C$7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User Onboarding</t>
        </is>
      </c>
      <c r="K28" s="52" t="inlineStr">
        <is>
          <t>Assist with first production model training jobs and troubleshooting</t>
        </is>
      </c>
    </row>
    <row r="29" ht="26" customHeight="1">
      <c r="A29" s="45" t="inlineStr">
        <is>
          <t>Training</t>
        </is>
      </c>
      <c r="B29" s="46" t="inlineStr">
        <is>
          <t>Administrator Training</t>
        </is>
      </c>
      <c r="C29" s="46" t="inlineStr">
        <is>
          <t>Train IT administrators on Kubernetes cluster management and GPU operations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Production Handoff</t>
        </is>
      </c>
      <c r="K29" s="46" t="inlineStr">
        <is>
          <t>Kubernetes administration GPU monitoring and troubleshooting</t>
        </is>
      </c>
    </row>
    <row r="30" ht="26" customHeight="1">
      <c r="A30" s="51" t="inlineStr">
        <is>
          <t>Training</t>
        </is>
      </c>
      <c r="B30" s="52" t="inlineStr">
        <is>
          <t>Data Scientist Training</t>
        </is>
      </c>
      <c r="C30" s="52" t="inlineStr">
        <is>
          <t>Train data scientists on Kubeflow GPU job submission and best practices</t>
        </is>
      </c>
      <c r="D30" s="52" t="inlineStr">
        <is>
          <t>EO Engineer</t>
        </is>
      </c>
      <c r="E30" s="53" t="n">
        <v>32</v>
      </c>
      <c r="F30" s="54">
        <f>'Estimate Settings'!$C$8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Administrator Training</t>
        </is>
      </c>
      <c r="K30" s="52" t="inlineStr">
        <is>
          <t>Distributed training multi-GPU jobs and MLOps workflows</t>
        </is>
      </c>
    </row>
    <row r="31" ht="26" customHeight="1">
      <c r="A31" s="45" t="inlineStr">
        <is>
          <t>Training</t>
        </is>
      </c>
      <c r="B31" s="46" t="inlineStr">
        <is>
          <t>Documentation</t>
        </is>
      </c>
      <c r="C31" s="46" t="inlineStr">
        <is>
          <t>Create technical documentation runbooks and operational procedures</t>
        </is>
      </c>
      <c r="D31" s="46" t="inlineStr">
        <is>
          <t>EO Engineer</t>
        </is>
      </c>
      <c r="E31" s="47" t="n">
        <v>32</v>
      </c>
      <c r="F31" s="48">
        <f>'Estimate Settings'!$C$8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Data Scientist Training</t>
        </is>
      </c>
      <c r="K31" s="46" t="inlineStr">
        <is>
          <t>Deliverable: Operations runbook troubleshooting guides and user documentation</t>
        </is>
      </c>
    </row>
    <row r="32" ht="26" customHeight="1">
      <c r="A32" s="51" t="inlineStr">
        <is>
          <t>Closeout</t>
        </is>
      </c>
      <c r="B32" s="52" t="inlineStr">
        <is>
          <t>Knowledge Transfer</t>
        </is>
      </c>
      <c r="C32" s="52" t="inlineStr">
        <is>
          <t>Transfer GPU cluster ownership to client infrastructure team</t>
        </is>
      </c>
      <c r="D32" s="52" t="inlineStr">
        <is>
          <t>EO Engineer</t>
        </is>
      </c>
      <c r="E32" s="53" t="n">
        <v>16</v>
      </c>
      <c r="F32" s="54">
        <f>'Estimate Settings'!$C$9</f>
        <v/>
      </c>
      <c r="G32" s="55">
        <f>$E32*$F32</f>
        <v/>
      </c>
      <c r="H32" s="56" t="n">
        <v>200</v>
      </c>
      <c r="I32" s="55">
        <f>TEXT($G32*$H32,"$#,##0")</f>
        <v/>
      </c>
      <c r="J32" s="52" t="inlineStr">
        <is>
          <t>Documentation</t>
        </is>
      </c>
      <c r="K32" s="52" t="inlineStr">
        <is>
          <t>Comprehensive handover including architecture Kubernetes GPU management</t>
        </is>
      </c>
    </row>
    <row r="33" ht="26" customHeight="1">
      <c r="A33" s="45" t="inlineStr">
        <is>
          <t>Closeout</t>
        </is>
      </c>
      <c r="B33" s="46" t="inlineStr">
        <is>
          <t>Performance Baseline</t>
        </is>
      </c>
      <c r="C33" s="46" t="inlineStr">
        <is>
          <t>Establish GPU utilization metrics and performance monitoring baselines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175</v>
      </c>
      <c r="I33" s="49">
        <f>TEXT($G33*$H33,"$#,##0")</f>
        <v/>
      </c>
      <c r="J33" s="46" t="inlineStr">
        <is>
          <t>Knowledge Transfer</t>
        </is>
      </c>
      <c r="K33" s="46" t="inlineStr">
        <is>
          <t>Establishes GPU efficiency KPIs training throughput and cost-per-job metrics</t>
        </is>
      </c>
    </row>
    <row r="34" ht="26" customHeight="1">
      <c r="A34" s="51" t="inlineStr">
        <is>
          <t>Management</t>
        </is>
      </c>
      <c r="B34" s="52" t="inlineStr">
        <is>
          <t>Technical Leadership</t>
        </is>
      </c>
      <c r="C34" s="52" t="inlineStr">
        <is>
          <t>NVIDIA GPU infrastructure technical oversight and architecture review</t>
        </is>
      </c>
      <c r="D34" s="52" t="inlineStr">
        <is>
          <t>EO Quarterback</t>
        </is>
      </c>
      <c r="E34" s="55">
        <f>ROUND(SUM($G$3:$G$37)*0.10,0)</f>
        <v/>
      </c>
      <c r="F34" s="54">
        <f>'Estimate Settings'!$C$11</f>
        <v/>
      </c>
      <c r="G34" s="55">
        <f>$E34*$F34</f>
        <v/>
      </c>
      <c r="H34" s="56" t="n">
        <v>225</v>
      </c>
      <c r="I34" s="55">
        <f>TEXT($G34*$H34,"$#,##0")</f>
        <v/>
      </c>
      <c r="J34" s="52" t="inlineStr"/>
      <c r="K34" s="52" t="inlineStr">
        <is>
          <t>GPU cluster expertise Kubernetes optimization and technical escalation</t>
        </is>
      </c>
    </row>
    <row r="35" ht="26" customHeight="1">
      <c r="A35" s="45" t="inlineStr">
        <is>
          <t>Management</t>
        </is>
      </c>
      <c r="B35" s="46" t="inlineStr">
        <is>
          <t>Project Management</t>
        </is>
      </c>
      <c r="C35" s="46" t="inlineStr">
        <is>
          <t>Project coordination planning and stakeholder management</t>
        </is>
      </c>
      <c r="D35" s="46" t="inlineStr">
        <is>
          <t>EO Project Manager</t>
        </is>
      </c>
      <c r="E35" s="49">
        <f>ROUND(SUM($G$3:$G$37)*0.10,0)</f>
        <v/>
      </c>
      <c r="F35" s="48">
        <f>'Estimate Settings'!$C$10</f>
        <v/>
      </c>
      <c r="G35" s="49">
        <f>$E35*$F35</f>
        <v/>
      </c>
      <c r="H35" s="50" t="n">
        <v>175</v>
      </c>
      <c r="I35" s="49">
        <f>TEXT($G35*$H35,"$#,##0")</f>
        <v/>
      </c>
      <c r="J35" s="46" t="inlineStr"/>
      <c r="K35" s="46" t="inlineStr">
        <is>
          <t>Includes weekly status Dell/NVIDIA coordination and risk management</t>
        </is>
      </c>
    </row>
    <row r="36" ht="26" customHeight="1">
      <c r="A36" s="57" t="inlineStr"/>
      <c r="B36" s="57" t="inlineStr"/>
      <c r="C36" s="57" t="inlineStr"/>
      <c r="D36" s="57" t="inlineStr"/>
      <c r="E36" s="57" t="inlineStr"/>
      <c r="F36" s="58" t="inlineStr">
        <is>
          <t>TOTAL HOURS</t>
        </is>
      </c>
      <c r="G36" s="58">
        <f>SUM($G$3:$G$37)</f>
        <v/>
      </c>
      <c r="H36" s="58" t="inlineStr">
        <is>
          <t>TOTAL COST</t>
        </is>
      </c>
      <c r="I36" s="58">
        <f>TEXT(SUMPRODUCT($G$3:$G$37,$H$3:$H$37),"$#,##0")</f>
        <v/>
      </c>
      <c r="J36" s="57" t="inlineStr"/>
      <c r="K36" s="57" t="inlineStr">
        <is>
          <t>EO Sales Engineer: Update phase multipliers in Estimate Settings based on cluster deployment scope</t>
        </is>
      </c>
    </row>
  </sheetData>
  <autoFilter ref="A2:K36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-10000</v>
      </c>
      <c r="C3" s="38" t="inlineStr">
        <is>
          <t>NVIDIA Partner Network credit for GPU cluster deployment and AI Enterprise integration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SUMPRODUCT($G$3:$G$37,$H$3:$H$37)-10000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2025-11-22T23:55:17Z</dcterms:modified>
  <cp:lastModifiedBy>Kishan Siram</cp:lastModifiedBy>
</cp:coreProperties>
</file>