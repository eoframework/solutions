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Guidelines'!$A$2:$F$12</definedName>
    <definedName name="_xlnm._FilterDatabase" localSheetId="2" hidden="1">'Infrastructure Costs'!$A$2:$K$23</definedName>
    <definedName name="_xlnm._FilterDatabase" localSheetId="3" hidden="1">'Credits'!$A$2:$D$6</definedName>
    <definedName name="_xlnm._FilterDatabase" localSheetId="4" hidden="1">'3-Year Summary'!$A$2:$G$8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Dgx Superpod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GPU Infrastructure</t>
        </is>
      </c>
      <c r="B3" s="38" t="inlineStr">
        <is>
          <t>DGX H100 Systems</t>
        </is>
      </c>
      <c r="C3" s="39" t="inlineStr">
        <is>
          <t>4 systems (32 GPUs)</t>
        </is>
      </c>
      <c r="D3" s="39" t="inlineStr">
        <is>
          <t>8 systems (64 GPUs)</t>
        </is>
      </c>
      <c r="E3" s="39" t="inlineStr">
        <is>
          <t>16 systems (128 GPUs)</t>
        </is>
      </c>
      <c r="F3" s="38" t="inlineStr">
        <is>
          <t>8x H100 80GB GPUs per system</t>
        </is>
      </c>
    </row>
    <row r="4" ht="26" customHeight="1">
      <c r="A4" s="40" t="inlineStr">
        <is>
          <t>AI Performance</t>
        </is>
      </c>
      <c r="B4" s="41" t="inlineStr">
        <is>
          <t>FP8 Performance</t>
        </is>
      </c>
      <c r="C4" s="42" t="inlineStr">
        <is>
          <t>16 petaFLOPS</t>
        </is>
      </c>
      <c r="D4" s="42" t="inlineStr">
        <is>
          <t>32 petaFLOPS</t>
        </is>
      </c>
      <c r="E4" s="42" t="inlineStr">
        <is>
          <t>64 petaFLOPS</t>
        </is>
      </c>
      <c r="F4" s="41" t="inlineStr">
        <is>
          <t>Tensor Core AI compute</t>
        </is>
      </c>
    </row>
    <row r="5" ht="26" customHeight="1">
      <c r="A5" s="37" t="inlineStr">
        <is>
          <t>GPU Memory</t>
        </is>
      </c>
      <c r="B5" s="38" t="inlineStr">
        <is>
          <t>Total GPU Memory</t>
        </is>
      </c>
      <c r="C5" s="39" t="inlineStr">
        <is>
          <t>2.56 TB</t>
        </is>
      </c>
      <c r="D5" s="39" t="inlineStr">
        <is>
          <t>5.12 TB</t>
        </is>
      </c>
      <c r="E5" s="39" t="inlineStr">
        <is>
          <t>10.24 TB</t>
        </is>
      </c>
      <c r="F5" s="38" t="inlineStr">
        <is>
          <t>80 GB per GPU aggregate</t>
        </is>
      </c>
    </row>
    <row r="6" ht="26" customHeight="1">
      <c r="A6" s="40" t="inlineStr">
        <is>
          <t>Network Fabric</t>
        </is>
      </c>
      <c r="B6" s="41" t="inlineStr">
        <is>
          <t>InfiniBand Switches</t>
        </is>
      </c>
      <c r="C6" s="42" t="inlineStr">
        <is>
          <t>2 Quantum-2 (400G)</t>
        </is>
      </c>
      <c r="D6" s="42" t="inlineStr">
        <is>
          <t>4 Quantum-2 (400G)</t>
        </is>
      </c>
      <c r="E6" s="42" t="inlineStr">
        <is>
          <t>8 Quantum-2 (400G)</t>
        </is>
      </c>
      <c r="F6" s="41" t="inlineStr">
        <is>
          <t>High-speed GPU-to-GPU fabric</t>
        </is>
      </c>
    </row>
    <row r="7" ht="26" customHeight="1">
      <c r="A7" s="37" t="inlineStr">
        <is>
          <t>Storage Capacity</t>
        </is>
      </c>
      <c r="B7" s="38" t="inlineStr">
        <is>
          <t>NVMe Storage</t>
        </is>
      </c>
      <c r="C7" s="39" t="inlineStr">
        <is>
          <t>500 TB</t>
        </is>
      </c>
      <c r="D7" s="39" t="inlineStr">
        <is>
          <t>1 PB</t>
        </is>
      </c>
      <c r="E7" s="39" t="inlineStr">
        <is>
          <t>2 PB</t>
        </is>
      </c>
      <c r="F7" s="38" t="inlineStr">
        <is>
          <t>All-flash high-performance storage</t>
        </is>
      </c>
    </row>
    <row r="8" ht="26" customHeight="1">
      <c r="A8" s="40" t="inlineStr">
        <is>
          <t>Storage Throughput</t>
        </is>
      </c>
      <c r="B8" s="41" t="inlineStr">
        <is>
          <t>Read/Write Performance</t>
        </is>
      </c>
      <c r="C8" s="42" t="inlineStr">
        <is>
          <t>7 GB/s</t>
        </is>
      </c>
      <c r="D8" s="42" t="inlineStr">
        <is>
          <t>14 GB/s</t>
        </is>
      </c>
      <c r="E8" s="42" t="inlineStr">
        <is>
          <t>28 GB/s</t>
        </is>
      </c>
      <c r="F8" s="41" t="inlineStr">
        <is>
          <t>Parallel file system throughput</t>
        </is>
      </c>
    </row>
    <row r="9" ht="26" customHeight="1">
      <c r="A9" s="37" t="inlineStr">
        <is>
          <t>Power Requirements</t>
        </is>
      </c>
      <c r="B9" s="38" t="inlineStr">
        <is>
          <t>Total Power Draw</t>
        </is>
      </c>
      <c r="C9" s="39" t="inlineStr">
        <is>
          <t>250 kW</t>
        </is>
      </c>
      <c r="D9" s="39" t="inlineStr">
        <is>
          <t>500 kW</t>
        </is>
      </c>
      <c r="E9" s="39" t="inlineStr">
        <is>
          <t>1000 kW</t>
        </is>
      </c>
      <c r="F9" s="38" t="inlineStr">
        <is>
          <t>Including cooling overhead</t>
        </is>
      </c>
    </row>
    <row r="10" ht="26" customHeight="1">
      <c r="A10" s="40" t="inlineStr">
        <is>
          <t>Cooling Requirements</t>
        </is>
      </c>
      <c r="B10" s="41" t="inlineStr">
        <is>
          <t>BTU/Hour</t>
        </is>
      </c>
      <c r="C10" s="42" t="inlineStr">
        <is>
          <t>850000 BTU</t>
        </is>
      </c>
      <c r="D10" s="42" t="inlineStr">
        <is>
          <t>1700000 BTU</t>
        </is>
      </c>
      <c r="E10" s="42" t="inlineStr">
        <is>
          <t>3400000 BTU</t>
        </is>
      </c>
      <c r="F10" s="41" t="inlineStr">
        <is>
          <t>Datacenter cooling capacity needed</t>
        </is>
      </c>
    </row>
    <row r="11" ht="26" customHeight="1">
      <c r="A11" s="37" t="inlineStr">
        <is>
          <t>Research Capacity</t>
        </is>
      </c>
      <c r="B11" s="38" t="inlineStr">
        <is>
          <t>Data Scientists Supported</t>
        </is>
      </c>
      <c r="C11" s="39" t="inlineStr">
        <is>
          <t>20-30 users</t>
        </is>
      </c>
      <c r="D11" s="39" t="inlineStr">
        <is>
          <t>50-75 users</t>
        </is>
      </c>
      <c r="E11" s="39" t="inlineStr">
        <is>
          <t>100+ users</t>
        </is>
      </c>
      <c r="F11" s="38" t="inlineStr">
        <is>
          <t>Concurrent user capacity</t>
        </is>
      </c>
    </row>
    <row r="12" ht="26" customHeight="1">
      <c r="A12" s="40" t="inlineStr">
        <is>
          <t>Typical Workload</t>
        </is>
      </c>
      <c r="B12" s="41" t="inlineStr">
        <is>
          <t>Example Use Case</t>
        </is>
      </c>
      <c r="C12" s="42" t="inlineStr">
        <is>
          <t>Fine-tuning models &lt;50B params</t>
        </is>
      </c>
      <c r="D12" s="42" t="inlineStr">
        <is>
          <t>Training models 50B-500B params</t>
        </is>
      </c>
      <c r="E12" s="42" t="inlineStr">
        <is>
          <t>Training models &gt;500B params and LLM research</t>
        </is>
      </c>
      <c r="F12" s="41" t="inlineStr">
        <is>
          <t>Primary workload sizing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Hardware</t>
        </is>
      </c>
      <c r="B3" s="44" t="inlineStr">
        <is>
          <t>NVIDIA DGX H100 System</t>
        </is>
      </c>
      <c r="C3" s="44" t="inlineStr">
        <is>
          <t>DGX H100 with 8x H100 80GB GPUs per system</t>
        </is>
      </c>
      <c r="D3" s="45" t="n">
        <v>8</v>
      </c>
      <c r="E3" s="44" t="inlineStr">
        <is>
          <t>Systems</t>
        </is>
      </c>
      <c r="F3" s="46" t="n">
        <v>450000</v>
      </c>
      <c r="G3" s="46">
        <f>$8*$450000</f>
        <v/>
      </c>
      <c r="H3" s="46">
        <f>$0</f>
        <v/>
      </c>
      <c r="I3" s="46">
        <f>$0</f>
        <v/>
      </c>
      <c r="J3" s="46">
        <f>$3600000</f>
        <v/>
      </c>
      <c r="K3" s="44" t="inlineStr">
        <is>
          <t>Flagship AI supercomputer</t>
        </is>
      </c>
    </row>
    <row r="4" ht="26" customHeight="1">
      <c r="A4" s="47" t="inlineStr">
        <is>
          <t>Hardware</t>
        </is>
      </c>
      <c r="B4" s="48" t="inlineStr">
        <is>
          <t>NVIDIA Quantum-2 InfiniBand Switch</t>
        </is>
      </c>
      <c r="C4" s="48" t="inlineStr">
        <is>
          <t>400 Gbps InfiniBand fabric switches</t>
        </is>
      </c>
      <c r="D4" s="49" t="n">
        <v>4</v>
      </c>
      <c r="E4" s="48" t="inlineStr">
        <is>
          <t>Switches</t>
        </is>
      </c>
      <c r="F4" s="50" t="n">
        <v>85000</v>
      </c>
      <c r="G4" s="50">
        <f>$4*$85000</f>
        <v/>
      </c>
      <c r="H4" s="50">
        <f>$0</f>
        <v/>
      </c>
      <c r="I4" s="50">
        <f>$0</f>
        <v/>
      </c>
      <c r="J4" s="50">
        <f>$340000</f>
        <v/>
      </c>
      <c r="K4" s="48" t="inlineStr">
        <is>
          <t>High-speed interconnect</t>
        </is>
      </c>
    </row>
    <row r="5" ht="26" customHeight="1">
      <c r="A5" s="43" t="inlineStr">
        <is>
          <t>Hardware</t>
        </is>
      </c>
      <c r="B5" s="44" t="inlineStr">
        <is>
          <t>NVIDIA Base Command Storage</t>
        </is>
      </c>
      <c r="C5" s="44" t="inlineStr">
        <is>
          <t>1 PB NVMe all-flash storage cluster</t>
        </is>
      </c>
      <c r="D5" s="45" t="n">
        <v>1</v>
      </c>
      <c r="E5" s="44" t="inlineStr">
        <is>
          <t>System</t>
        </is>
      </c>
      <c r="F5" s="46" t="n">
        <v>400000</v>
      </c>
      <c r="G5" s="46">
        <f>$1*$400000</f>
        <v/>
      </c>
      <c r="H5" s="46">
        <f>$0</f>
        <v/>
      </c>
      <c r="I5" s="46">
        <f>$0</f>
        <v/>
      </c>
      <c r="J5" s="46">
        <f>$400000</f>
        <v/>
      </c>
      <c r="K5" s="44" t="inlineStr">
        <is>
          <t>High-performance parallel file system</t>
        </is>
      </c>
    </row>
    <row r="6" ht="26" customHeight="1">
      <c r="A6" s="47" t="inlineStr">
        <is>
          <t>Hardware</t>
        </is>
      </c>
      <c r="B6" s="48" t="inlineStr">
        <is>
          <t>Rack Infrastructure</t>
        </is>
      </c>
      <c r="C6" s="48" t="inlineStr">
        <is>
          <t>Server racks with PDUs and cable management</t>
        </is>
      </c>
      <c r="D6" s="49" t="n">
        <v>4</v>
      </c>
      <c r="E6" s="48" t="inlineStr">
        <is>
          <t>Racks</t>
        </is>
      </c>
      <c r="F6" s="50" t="n">
        <v>15000</v>
      </c>
      <c r="G6" s="50">
        <f>$4*$15000</f>
        <v/>
      </c>
      <c r="H6" s="50">
        <f>$0</f>
        <v/>
      </c>
      <c r="I6" s="50">
        <f>$0</f>
        <v/>
      </c>
      <c r="J6" s="50">
        <f>$60000</f>
        <v/>
      </c>
      <c r="K6" s="48" t="inlineStr">
        <is>
          <t>Physical infrastructure</t>
        </is>
      </c>
    </row>
    <row r="7" ht="26" customHeight="1">
      <c r="A7" s="43" t="inlineStr">
        <is>
          <t>Facilities</t>
        </is>
      </c>
      <c r="B7" s="44" t="inlineStr">
        <is>
          <t>Datacenter Power Upgrade</t>
        </is>
      </c>
      <c r="C7" s="44" t="inlineStr">
        <is>
          <t>500 kW power distribution and electrical upgrades</t>
        </is>
      </c>
      <c r="D7" s="45" t="n">
        <v>1</v>
      </c>
      <c r="E7" s="44" t="inlineStr">
        <is>
          <t>System</t>
        </is>
      </c>
      <c r="F7" s="46" t="n">
        <v>150000</v>
      </c>
      <c r="G7" s="46">
        <f>$1*$150000</f>
        <v/>
      </c>
      <c r="H7" s="46">
        <f>$0</f>
        <v/>
      </c>
      <c r="I7" s="46">
        <f>$0</f>
        <v/>
      </c>
      <c r="J7" s="46">
        <f>$150000</f>
        <v/>
      </c>
      <c r="K7" s="44" t="inlineStr">
        <is>
          <t>480V power infrastructure</t>
        </is>
      </c>
    </row>
    <row r="8" ht="26" customHeight="1">
      <c r="A8" s="47" t="inlineStr">
        <is>
          <t>Facilities</t>
        </is>
      </c>
      <c r="B8" s="48" t="inlineStr">
        <is>
          <t>Cooling System Installation</t>
        </is>
      </c>
      <c r="C8" s="48" t="inlineStr">
        <is>
          <t>In-row cooling for high-density GPU compute</t>
        </is>
      </c>
      <c r="D8" s="49" t="n">
        <v>2</v>
      </c>
      <c r="E8" s="48" t="inlineStr">
        <is>
          <t>Units</t>
        </is>
      </c>
      <c r="F8" s="50" t="n">
        <v>75000</v>
      </c>
      <c r="G8" s="50">
        <f>$2*$75000</f>
        <v/>
      </c>
      <c r="H8" s="50">
        <f>$0</f>
        <v/>
      </c>
      <c r="I8" s="50">
        <f>$0</f>
        <v/>
      </c>
      <c r="J8" s="50">
        <f>$150000</f>
        <v/>
      </c>
      <c r="K8" s="48" t="inlineStr">
        <is>
          <t>Thermal management</t>
        </is>
      </c>
    </row>
    <row r="9" ht="26" customHeight="1">
      <c r="A9" s="43" t="inlineStr">
        <is>
          <t>Facilities</t>
        </is>
      </c>
      <c r="B9" s="44" t="inlineStr">
        <is>
          <t>Raised Floor &amp; Cabling</t>
        </is>
      </c>
      <c r="C9" s="44" t="inlineStr">
        <is>
          <t>Datacenter floor preparation and network cabling</t>
        </is>
      </c>
      <c r="D9" s="45" t="n">
        <v>1</v>
      </c>
      <c r="E9" s="44" t="inlineStr">
        <is>
          <t>Build-out</t>
        </is>
      </c>
      <c r="F9" s="46" t="n">
        <v>50000</v>
      </c>
      <c r="G9" s="46">
        <f>$1*$50000</f>
        <v/>
      </c>
      <c r="H9" s="46">
        <f>$0</f>
        <v/>
      </c>
      <c r="I9" s="46">
        <f>$0</f>
        <v/>
      </c>
      <c r="J9" s="46">
        <f>$50000</f>
        <v/>
      </c>
      <c r="K9" s="44" t="inlineStr">
        <is>
          <t>Site preparation</t>
        </is>
      </c>
    </row>
    <row r="10" ht="26" customHeight="1">
      <c r="A10" s="47" t="inlineStr">
        <is>
          <t>Software Licenses</t>
        </is>
      </c>
      <c r="B10" s="48" t="inlineStr">
        <is>
          <t>NVIDIA AI Enterprise</t>
        </is>
      </c>
      <c r="C10" s="48" t="inlineStr">
        <is>
          <t>AI software suite (5-year subscription per GPU)</t>
        </is>
      </c>
      <c r="D10" s="49" t="n">
        <v>64</v>
      </c>
      <c r="E10" s="48" t="inlineStr">
        <is>
          <t>GPU Licenses</t>
        </is>
      </c>
      <c r="F10" s="50" t="n">
        <v>3000</v>
      </c>
      <c r="G10" s="50">
        <f>$64*$3000*1</f>
        <v/>
      </c>
      <c r="H10" s="50">
        <f>$19200</f>
        <v/>
      </c>
      <c r="I10" s="50">
        <f>$19200</f>
        <v/>
      </c>
      <c r="J10" s="50">
        <f>$211200</f>
        <v/>
      </c>
      <c r="K10" s="48" t="inlineStr">
        <is>
          <t>CUDA RAPIDS TensorRT NGC</t>
        </is>
      </c>
    </row>
    <row r="11" ht="26" customHeight="1">
      <c r="A11" s="43" t="inlineStr">
        <is>
          <t>Software Licenses</t>
        </is>
      </c>
      <c r="B11" s="44" t="inlineStr">
        <is>
          <t>Base Command Manager</t>
        </is>
      </c>
      <c r="C11" s="44" t="inlineStr">
        <is>
          <t>Cluster management and job scheduling platform</t>
        </is>
      </c>
      <c r="D11" s="45" t="n">
        <v>1</v>
      </c>
      <c r="E11" s="44" t="inlineStr">
        <is>
          <t>Cluster License</t>
        </is>
      </c>
      <c r="F11" s="46" t="n">
        <v>50000</v>
      </c>
      <c r="G11" s="46">
        <f>$1*$50000</f>
        <v/>
      </c>
      <c r="H11" s="46">
        <f>$50000</f>
        <v/>
      </c>
      <c r="I11" s="46">
        <f>$50000</f>
        <v/>
      </c>
      <c r="J11" s="46">
        <f>$150000</f>
        <v/>
      </c>
      <c r="K11" s="44" t="inlineStr">
        <is>
          <t>Infrastructure orchestration</t>
        </is>
      </c>
    </row>
    <row r="12" ht="26" customHeight="1">
      <c r="A12" s="47" t="inlineStr">
        <is>
          <t>Software Licenses</t>
        </is>
      </c>
      <c r="B12" s="48" t="inlineStr">
        <is>
          <t>Monitoring &amp; Observability</t>
        </is>
      </c>
      <c r="C12" s="48" t="inlineStr">
        <is>
          <t>Datadog Enterprise monitoring (20 hosts)</t>
        </is>
      </c>
      <c r="D12" s="49" t="n">
        <v>20</v>
      </c>
      <c r="E12" s="48" t="inlineStr">
        <is>
          <t>Hosts/Month</t>
        </is>
      </c>
      <c r="F12" s="50" t="n">
        <v>31</v>
      </c>
      <c r="G12" s="50">
        <f>$20*$31*12</f>
        <v/>
      </c>
      <c r="H12" s="50">
        <f>$7440</f>
        <v/>
      </c>
      <c r="I12" s="50">
        <f>$7440</f>
        <v/>
      </c>
      <c r="J12" s="50">
        <f>$22320</f>
        <v/>
      </c>
      <c r="K12" s="48" t="inlineStr">
        <is>
          <t>Infrastructure and GPU monitoring</t>
        </is>
      </c>
    </row>
    <row r="13" ht="26" customHeight="1">
      <c r="A13" s="43" t="inlineStr">
        <is>
          <t>Support &amp; Maintenance</t>
        </is>
      </c>
      <c r="B13" s="44" t="inlineStr">
        <is>
          <t>NVIDIA DGX Support</t>
        </is>
      </c>
      <c r="C13" s="44" t="inlineStr">
        <is>
          <t>Enterprise support with 4-hour response (annual)</t>
        </is>
      </c>
      <c r="D13" s="45" t="n">
        <v>8</v>
      </c>
      <c r="E13" s="44" t="inlineStr">
        <is>
          <t>Systems</t>
        </is>
      </c>
      <c r="F13" s="46" t="n">
        <v>35000</v>
      </c>
      <c r="G13" s="46">
        <f>$8*$35000</f>
        <v/>
      </c>
      <c r="H13" s="46">
        <f>$280000</f>
        <v/>
      </c>
      <c r="I13" s="46">
        <f>$280000</f>
        <v/>
      </c>
      <c r="J13" s="46">
        <f>$840000</f>
        <v/>
      </c>
      <c r="K13" s="44" t="inlineStr">
        <is>
          <t>24x7 mission-critical support</t>
        </is>
      </c>
    </row>
    <row r="14" ht="26" customHeight="1">
      <c r="A14" s="47" t="inlineStr">
        <is>
          <t>Support &amp; Maintenance</t>
        </is>
      </c>
      <c r="B14" s="48" t="inlineStr">
        <is>
          <t>Storage Support</t>
        </is>
      </c>
      <c r="C14" s="48" t="inlineStr">
        <is>
          <t>Annual hardware and software maintenance</t>
        </is>
      </c>
      <c r="D14" s="49" t="n">
        <v>1</v>
      </c>
      <c r="E14" s="48" t="inlineStr">
        <is>
          <t>System/Year</t>
        </is>
      </c>
      <c r="F14" s="50" t="n">
        <v>40000</v>
      </c>
      <c r="G14" s="50">
        <f>$1*$40000</f>
        <v/>
      </c>
      <c r="H14" s="50">
        <f>$40000</f>
        <v/>
      </c>
      <c r="I14" s="50">
        <f>$40000</f>
        <v/>
      </c>
      <c r="J14" s="50">
        <f>$120000</f>
        <v/>
      </c>
      <c r="K14" s="48" t="inlineStr">
        <is>
          <t>Storage system support</t>
        </is>
      </c>
    </row>
    <row r="15" ht="26" customHeight="1">
      <c r="A15" s="43" t="inlineStr">
        <is>
          <t>Professional Services</t>
        </is>
      </c>
      <c r="B15" s="44" t="inlineStr">
        <is>
          <t>Site Assessment &amp; Planning</t>
        </is>
      </c>
      <c r="C15" s="44" t="inlineStr">
        <is>
          <t>Facilities assessment and deployment planning</t>
        </is>
      </c>
      <c r="D15" s="45" t="n">
        <v>80</v>
      </c>
      <c r="E15" s="44" t="inlineStr">
        <is>
          <t>Hours</t>
        </is>
      </c>
      <c r="F15" s="46" t="n">
        <v>250</v>
      </c>
      <c r="G15" s="46">
        <f>$80*$250</f>
        <v/>
      </c>
      <c r="H15" s="46">
        <f>$0</f>
        <v/>
      </c>
      <c r="I15" s="46">
        <f>$0</f>
        <v/>
      </c>
      <c r="J15" s="46">
        <f>$20000</f>
        <v/>
      </c>
      <c r="K15" s="44" t="inlineStr">
        <is>
          <t>Pre-deployment engineering</t>
        </is>
      </c>
    </row>
    <row r="16" ht="26" customHeight="1">
      <c r="A16" s="47" t="inlineStr">
        <is>
          <t>Professional Services</t>
        </is>
      </c>
      <c r="B16" s="48" t="inlineStr">
        <is>
          <t>Installation &amp; Configuration</t>
        </is>
      </c>
      <c r="C16" s="48" t="inlineStr">
        <is>
          <t>DGX system installation and InfiniBand setup</t>
        </is>
      </c>
      <c r="D16" s="49" t="n">
        <v>200</v>
      </c>
      <c r="E16" s="48" t="inlineStr">
        <is>
          <t>Hours</t>
        </is>
      </c>
      <c r="F16" s="50" t="n">
        <v>250</v>
      </c>
      <c r="G16" s="50">
        <f>$200*$250</f>
        <v/>
      </c>
      <c r="H16" s="50">
        <f>$0</f>
        <v/>
      </c>
      <c r="I16" s="50">
        <f>$0</f>
        <v/>
      </c>
      <c r="J16" s="50">
        <f>$50000</f>
        <v/>
      </c>
      <c r="K16" s="48" t="inlineStr">
        <is>
          <t>System deployment</t>
        </is>
      </c>
    </row>
    <row r="17" ht="26" customHeight="1">
      <c r="A17" s="43" t="inlineStr">
        <is>
          <t>Professional Services</t>
        </is>
      </c>
      <c r="B17" s="44" t="inlineStr">
        <is>
          <t>Network &amp; Storage Setup</t>
        </is>
      </c>
      <c r="C17" s="44" t="inlineStr">
        <is>
          <t>InfiniBand fabric and storage cluster configuration</t>
        </is>
      </c>
      <c r="D17" s="45" t="n">
        <v>120</v>
      </c>
      <c r="E17" s="44" t="inlineStr">
        <is>
          <t>Hours</t>
        </is>
      </c>
      <c r="F17" s="46" t="n">
        <v>250</v>
      </c>
      <c r="G17" s="46">
        <f>$120*$250</f>
        <v/>
      </c>
      <c r="H17" s="46">
        <f>$0</f>
        <v/>
      </c>
      <c r="I17" s="46">
        <f>$0</f>
        <v/>
      </c>
      <c r="J17" s="46">
        <f>$30000</f>
        <v/>
      </c>
      <c r="K17" s="44" t="inlineStr">
        <is>
          <t>Network and storage integration</t>
        </is>
      </c>
    </row>
    <row r="18" ht="26" customHeight="1">
      <c r="A18" s="47" t="inlineStr">
        <is>
          <t>Professional Services</t>
        </is>
      </c>
      <c r="B18" s="48" t="inlineStr">
        <is>
          <t>Software &amp; Workload Setup</t>
        </is>
      </c>
      <c r="C18" s="48" t="inlineStr">
        <is>
          <t>NGC container deployment and AI framework setup</t>
        </is>
      </c>
      <c r="D18" s="49" t="n">
        <v>80</v>
      </c>
      <c r="E18" s="48" t="inlineStr">
        <is>
          <t>Hours</t>
        </is>
      </c>
      <c r="F18" s="50" t="n">
        <v>250</v>
      </c>
      <c r="G18" s="50">
        <f>$80*$250</f>
        <v/>
      </c>
      <c r="H18" s="50">
        <f>$0</f>
        <v/>
      </c>
      <c r="I18" s="50">
        <f>$0</f>
        <v/>
      </c>
      <c r="J18" s="50">
        <f>$20000</f>
        <v/>
      </c>
      <c r="K18" s="48" t="inlineStr">
        <is>
          <t>Software stack configuration</t>
        </is>
      </c>
    </row>
    <row r="19" ht="26" customHeight="1">
      <c r="A19" s="43" t="inlineStr">
        <is>
          <t>Professional Services</t>
        </is>
      </c>
      <c r="B19" s="44" t="inlineStr">
        <is>
          <t>Performance Optimization</t>
        </is>
      </c>
      <c r="C19" s="44" t="inlineStr">
        <is>
          <t>Workload benchmarking and performance tuning</t>
        </is>
      </c>
      <c r="D19" s="45" t="n">
        <v>60</v>
      </c>
      <c r="E19" s="44" t="inlineStr">
        <is>
          <t>Hours</t>
        </is>
      </c>
      <c r="F19" s="46" t="n">
        <v>250</v>
      </c>
      <c r="G19" s="46">
        <f>$60*$250</f>
        <v/>
      </c>
      <c r="H19" s="46">
        <f>$0</f>
        <v/>
      </c>
      <c r="I19" s="46">
        <f>$0</f>
        <v/>
      </c>
      <c r="J19" s="46">
        <f>$15000</f>
        <v/>
      </c>
      <c r="K19" s="44" t="inlineStr">
        <is>
          <t>AI workload optimization</t>
        </is>
      </c>
    </row>
    <row r="20" ht="26" customHeight="1">
      <c r="A20" s="47" t="inlineStr">
        <is>
          <t>Professional Services</t>
        </is>
      </c>
      <c r="B20" s="48" t="inlineStr">
        <is>
          <t>Administrator Training</t>
        </is>
      </c>
      <c r="C20" s="48" t="inlineStr">
        <is>
          <t>Technical training for infrastructure team</t>
        </is>
      </c>
      <c r="D20" s="49" t="n">
        <v>40</v>
      </c>
      <c r="E20" s="48" t="inlineStr">
        <is>
          <t>Hours</t>
        </is>
      </c>
      <c r="F20" s="50" t="n">
        <v>200</v>
      </c>
      <c r="G20" s="50">
        <f>$40*$200</f>
        <v/>
      </c>
      <c r="H20" s="50">
        <f>$0</f>
        <v/>
      </c>
      <c r="I20" s="50">
        <f>$0</f>
        <v/>
      </c>
      <c r="J20" s="50">
        <f>$8000</f>
        <v/>
      </c>
      <c r="K20" s="48" t="inlineStr">
        <is>
          <t>Knowledge transfer</t>
        </is>
      </c>
    </row>
    <row r="21" ht="26" customHeight="1">
      <c r="A21" s="43" t="inlineStr">
        <is>
          <t>Professional Services</t>
        </is>
      </c>
      <c r="B21" s="44" t="inlineStr">
        <is>
          <t>User Training</t>
        </is>
      </c>
      <c r="C21" s="44" t="inlineStr">
        <is>
          <t>AI researcher and data scientist training</t>
        </is>
      </c>
      <c r="D21" s="45" t="n">
        <v>24</v>
      </c>
      <c r="E21" s="44" t="inlineStr">
        <is>
          <t>Hours</t>
        </is>
      </c>
      <c r="F21" s="46" t="n">
        <v>200</v>
      </c>
      <c r="G21" s="46">
        <f>$24*$200</f>
        <v/>
      </c>
      <c r="H21" s="46">
        <f>$0</f>
        <v/>
      </c>
      <c r="I21" s="46">
        <f>$0</f>
        <v/>
      </c>
      <c r="J21" s="46">
        <f>$4800</f>
        <v/>
      </c>
      <c r="K21" s="44" t="inlineStr">
        <is>
          <t>End-user enablement</t>
        </is>
      </c>
    </row>
    <row r="22" ht="26" customHeight="1">
      <c r="A22" s="47" t="inlineStr">
        <is>
          <t>Professional Services</t>
        </is>
      </c>
      <c r="B22" s="48" t="inlineStr">
        <is>
          <t>Project Management</t>
        </is>
      </c>
      <c r="C22" s="48" t="inlineStr">
        <is>
          <t>End-to-end project coordination and delivery</t>
        </is>
      </c>
      <c r="D22" s="49" t="n">
        <v>160</v>
      </c>
      <c r="E22" s="48" t="inlineStr">
        <is>
          <t>Hours</t>
        </is>
      </c>
      <c r="F22" s="50" t="n">
        <v>175</v>
      </c>
      <c r="G22" s="50">
        <f>$160*$175</f>
        <v/>
      </c>
      <c r="H22" s="50">
        <f>$0</f>
        <v/>
      </c>
      <c r="I22" s="50">
        <f>$0</f>
        <v/>
      </c>
      <c r="J22" s="50">
        <f>$28000</f>
        <v/>
      </c>
      <c r="K22" s="48" t="inlineStr">
        <is>
          <t>Implementation oversight</t>
        </is>
      </c>
    </row>
    <row r="23" ht="26" customHeight="1">
      <c r="A23" s="51" t="inlineStr">
        <is>
          <t>TOTAL</t>
        </is>
      </c>
      <c r="B23" s="52" t="n"/>
      <c r="C23" s="52" t="n"/>
      <c r="D23" s="52" t="n"/>
      <c r="E23" s="52" t="n"/>
      <c r="F23" s="52" t="n"/>
      <c r="G23" s="53">
        <f>SUM(G3:G22)</f>
        <v/>
      </c>
      <c r="H23" s="53">
        <f>SUM(H3:H22)</f>
        <v/>
      </c>
      <c r="I23" s="53">
        <f>SUM(I3:I22)</f>
        <v/>
      </c>
      <c r="J23" s="53">
        <f>SUM(J3:J22)</f>
        <v/>
      </c>
      <c r="K23" s="52" t="n"/>
    </row>
  </sheetData>
  <autoFilter ref="A2:K23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Hardware</t>
        </is>
      </c>
      <c r="B3" s="44" t="inlineStr">
        <is>
          <t>NVIDIA Volume Discount</t>
        </is>
      </c>
      <c r="C3" s="46" t="n">
        <v>-180000</v>
      </c>
      <c r="D3" s="44" t="inlineStr">
        <is>
          <t>5% discount on DGX systems for 8-unit purchase</t>
        </is>
      </c>
    </row>
    <row r="4" ht="26" customHeight="1">
      <c r="A4" s="47" t="inlineStr">
        <is>
          <t>Software Licenses</t>
        </is>
      </c>
      <c r="B4" s="48" t="inlineStr">
        <is>
          <t>AI Enterprise Bundle Credit</t>
        </is>
      </c>
      <c r="C4" s="50" t="n">
        <v>-15000</v>
      </c>
      <c r="D4" s="48" t="inlineStr">
        <is>
          <t>Included with DGX purchase - Year 1 software credit</t>
        </is>
      </c>
    </row>
    <row r="5" ht="26" customHeight="1">
      <c r="A5" s="43" t="inlineStr">
        <is>
          <t>Professional Services</t>
        </is>
      </c>
      <c r="B5" s="44" t="inlineStr">
        <is>
          <t>Partner Services Credit</t>
        </is>
      </c>
      <c r="C5" s="46" t="n">
        <v>0</v>
      </c>
      <c r="D5" s="44" t="inlineStr">
        <is>
          <t>No professional services credits available</t>
        </is>
      </c>
    </row>
    <row r="6" ht="26" customHeight="1">
      <c r="A6" s="47" t="inlineStr">
        <is>
          <t>Facilities</t>
        </is>
      </c>
      <c r="B6" s="48" t="inlineStr">
        <is>
          <t>Infrastructure Credit</t>
        </is>
      </c>
      <c r="C6" s="50" t="n">
        <v>0</v>
      </c>
      <c r="D6" s="48" t="inlineStr">
        <is>
          <t>No facilities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Hardware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Facilities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Software Licenses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Support &amp; Maintenance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43" t="inlineStr">
        <is>
          <t>Professional Services</t>
        </is>
      </c>
      <c r="B7" s="46">
        <f>SUMIF('Infrastructure Costs'!$A:$A,A7,'Infrastructure Costs'!$G:$G)</f>
        <v/>
      </c>
      <c r="C7" s="46">
        <f>SUMIF(Credits!$A:$A,A7,Credits!$C:$C)</f>
        <v/>
      </c>
      <c r="D7" s="46">
        <f>B7+C7</f>
        <v/>
      </c>
      <c r="E7" s="46">
        <f>SUMIF('Infrastructure Costs'!$A:$A,A7,'Infrastructure Costs'!$H:$H)</f>
        <v/>
      </c>
      <c r="F7" s="46">
        <f>SUMIF('Infrastructure Costs'!$A:$A,A7,'Infrastructure Costs'!$I:$I)</f>
        <v/>
      </c>
      <c r="G7" s="46">
        <f>D7+E7+F7</f>
        <v/>
      </c>
    </row>
    <row r="8" ht="26" customHeight="1">
      <c r="A8" s="51" t="inlineStr">
        <is>
          <t>TOTAL</t>
        </is>
      </c>
      <c r="B8" s="53">
        <f>SUM(B3:B7)</f>
        <v/>
      </c>
      <c r="C8" s="53">
        <f>SUM(C3:C7)</f>
        <v/>
      </c>
      <c r="D8" s="53">
        <f>SUM(D3:D7)</f>
        <v/>
      </c>
      <c r="E8" s="53">
        <f>SUM(E3:E7)</f>
        <v/>
      </c>
      <c r="F8" s="53">
        <f>SUM(F3:F7)</f>
        <v/>
      </c>
      <c r="G8" s="53">
        <f>SUM(G3:G7)</f>
        <v/>
      </c>
    </row>
  </sheetData>
  <autoFilter ref="A2:G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2025-11-23T00:03:58Z</dcterms:modified>
  <cp:lastModifiedBy>Kishan Siram</cp:lastModifiedBy>
</cp:coreProperties>
</file>