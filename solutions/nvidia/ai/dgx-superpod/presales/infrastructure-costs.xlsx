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25820" windowHeight="15500" tabRatio="600" firstSheet="0" activeTab="2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Sizing Guidelines" sheetId="2" state="visible" r:id="rId2"/>
    <sheet xmlns:r="http://schemas.openxmlformats.org/officeDocument/2006/relationships" name="Infrastructure Costs" sheetId="3" state="visible" r:id="rId3"/>
    <sheet xmlns:r="http://schemas.openxmlformats.org/officeDocument/2006/relationships" name="Credits" sheetId="4" state="visible" r:id="rId4"/>
    <sheet xmlns:r="http://schemas.openxmlformats.org/officeDocument/2006/relationships" name="3-Year Summary" sheetId="5" state="visible" r:id="rId5"/>
  </sheets>
  <definedNames>
    <definedName name="_xlnm._FilterDatabase" localSheetId="1" hidden="1">'Sizing Guidelines'!$A$2:$F$12</definedName>
    <definedName name="_xlnm._FilterDatabase" localSheetId="2" hidden="1">'Infrastructure Costs'!$A$2:$K$23</definedName>
    <definedName name="_xlnm._FilterDatabase" localSheetId="3" hidden="1">'Credits'!$A$2:$D$6</definedName>
    <definedName name="_xlnm._FilterDatabase" localSheetId="4" hidden="1">'3-Year Summary'!$A$2:$G$8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$#,##0.00"/>
  </numFmts>
  <fonts count="20">
    <font>
      <name val="Calibri"/>
      <family val="2"/>
      <color theme="1"/>
      <sz val="11"/>
      <scheme val="minor"/>
    </font>
    <font>
      <name val="Segoe UI"/>
      <b val="1"/>
      <color rgb="FF5D6D7E"/>
      <sz val="12"/>
    </font>
    <font>
      <name val="Calibri"/>
      <color rgb="FF2C3E50"/>
      <sz val="12"/>
    </font>
    <font>
      <name val="Segoe UI"/>
      <color rgb="FFCC0000"/>
      <sz val="12"/>
    </font>
    <font>
      <name val="Calibri"/>
      <color rgb="FF5D6D7E"/>
      <sz val="11"/>
      <u val="single"/>
    </font>
    <font>
      <name val="Calibri"/>
      <b val="1"/>
      <color rgb="FFCC0000"/>
      <sz val="12"/>
    </font>
    <font>
      <name val="Calibri"/>
      <family val="2"/>
      <b val="1"/>
      <color rgb="FFFFFFFF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color rgb="FF5D6D7E"/>
      <sz val="14"/>
      <scheme val="minor"/>
    </font>
    <font>
      <name val="Calibri"/>
      <family val="2"/>
      <color rgb="FF2C3E50"/>
      <sz val="26"/>
      <scheme val="minor"/>
    </font>
    <font>
      <name val="Calibri"/>
      <sz val="11"/>
    </font>
    <font>
      <name val="Calibri"/>
      <family val="2"/>
      <b val="1"/>
      <sz val="12"/>
    </font>
    <font>
      <name val="Calibri"/>
      <family val="2"/>
      <color rgb="FF2C3E50"/>
      <sz val="11"/>
    </font>
    <font>
      <name val="Calibri"/>
      <family val="2"/>
      <sz val="11"/>
    </font>
    <font>
      <name val="Calibri"/>
      <family val="2"/>
      <b val="1"/>
      <color rgb="FFCC0000"/>
      <sz val="11"/>
    </font>
    <font>
      <name val="Calibri"/>
      <b val="1"/>
      <color rgb="FF2C3E50"/>
      <sz val="12"/>
    </font>
    <font>
      <name val="Calibri"/>
      <b val="1"/>
      <color rgb="FFFFFFFF"/>
      <sz val="12"/>
    </font>
    <font>
      <name val="Calibri"/>
      <color rgb="FF2C3E50"/>
      <sz val="11"/>
    </font>
    <font>
      <name val="Calibri"/>
      <b val="1"/>
      <color rgb="FF2C3E50"/>
      <sz val="11"/>
    </font>
    <font>
      <name val="Calibri"/>
      <b val="1"/>
      <color rgb="FFCC0000"/>
      <sz val="11"/>
    </font>
  </fonts>
  <fills count="11">
    <fill>
      <patternFill/>
    </fill>
    <fill>
      <patternFill patternType="gray125"/>
    </fill>
    <fill>
      <patternFill patternType="solid">
        <fgColor rgb="FFCC0000"/>
        <bgColor rgb="FFCC0000"/>
      </patternFill>
    </fill>
    <fill>
      <patternFill patternType="solid">
        <fgColor rgb="FF2C3E50"/>
        <bgColor rgb="FF2C3E50"/>
      </patternFill>
    </fill>
    <fill>
      <patternFill patternType="solid">
        <fgColor rgb="FFF8FAFB"/>
        <bgColor rgb="FFF8FAFB"/>
      </patternFill>
    </fill>
    <fill>
      <patternFill patternType="solid">
        <fgColor rgb="FFE8F4F8"/>
        <bgColor rgb="FFE8F4F8"/>
      </patternFill>
    </fill>
    <fill>
      <patternFill patternType="solid">
        <fgColor rgb="FFFFF2CC"/>
        <bgColor rgb="FFFFF2CC"/>
      </patternFill>
    </fill>
    <fill>
      <patternFill patternType="solid">
        <fgColor rgb="FFD1ECF1"/>
        <bgColor rgb="FFD1ECF1"/>
      </patternFill>
    </fill>
    <fill>
      <patternFill patternType="solid">
        <fgColor rgb="FFE8F5E9"/>
        <bgColor rgb="FFE8F5E9"/>
      </patternFill>
    </fill>
    <fill>
      <patternFill patternType="solid">
        <fgColor rgb="FFE8F4F8"/>
        <bgColor indexed="64"/>
      </patternFill>
    </fill>
    <fill>
      <patternFill patternType="solid">
        <fgColor rgb="00FFFFFF"/>
        <bgColor rgb="00FFFFFF"/>
      </patternFill>
    </fill>
  </fills>
  <borders count="6">
    <border>
      <left/>
      <right/>
      <top/>
      <bottom/>
      <diagonal/>
    </border>
    <border>
      <left style="thin">
        <color rgb="FFBDC3C7"/>
      </left>
      <right style="thin">
        <color rgb="FFBDC3C7"/>
      </right>
      <top style="thin">
        <color rgb="FFBDC3C7"/>
      </top>
      <bottom style="medium">
        <color rgb="FF2C3E50"/>
      </bottom>
      <diagonal/>
    </border>
    <border>
      <left style="thin">
        <color rgb="FFDEE2E6"/>
      </left>
      <right style="thin">
        <color rgb="FFDEE2E6"/>
      </right>
      <top style="thin">
        <color rgb="FFDEE2E6"/>
      </top>
      <bottom style="thin">
        <color rgb="FFDEE2E6"/>
      </bottom>
      <diagonal/>
    </border>
    <border>
      <left/>
      <right/>
      <top/>
      <bottom style="thin">
        <color rgb="FFBDC3C7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0" fillId="2" borderId="0" pivotButton="0" quotePrefix="0" xfId="0"/>
    <xf numFmtId="0" fontId="1" fillId="0" borderId="0" applyAlignment="1" pivotButton="0" quotePrefix="0" xfId="0">
      <alignment horizontal="right" vertical="center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top"/>
    </xf>
    <xf numFmtId="0" fontId="2" fillId="4" borderId="2" applyAlignment="1" pivotButton="0" quotePrefix="0" xfId="0">
      <alignment horizontal="left" vertical="center" wrapText="1" indent="1"/>
    </xf>
    <xf numFmtId="0" fontId="2" fillId="4" borderId="2" applyAlignment="1" pivotButton="0" quotePrefix="0" xfId="0">
      <alignment horizontal="right" vertical="center" wrapText="1" indent="1"/>
    </xf>
    <xf numFmtId="164" fontId="2" fillId="4" borderId="2" applyAlignment="1" pivotButton="0" quotePrefix="0" xfId="0">
      <alignment horizontal="right" vertical="center" wrapText="1" indent="1"/>
    </xf>
    <xf numFmtId="0" fontId="2" fillId="0" borderId="2" applyAlignment="1" pivotButton="0" quotePrefix="0" xfId="0">
      <alignment horizontal="left" vertical="center" wrapText="1" indent="1"/>
    </xf>
    <xf numFmtId="0" fontId="2" fillId="0" borderId="2" applyAlignment="1" pivotButton="0" quotePrefix="0" xfId="0">
      <alignment horizontal="right" vertical="center" wrapText="1" indent="1"/>
    </xf>
    <xf numFmtId="164" fontId="2" fillId="0" borderId="2" applyAlignment="1" pivotButton="0" quotePrefix="0" xfId="0">
      <alignment horizontal="right" vertical="center" wrapText="1" indent="1"/>
    </xf>
    <xf numFmtId="0" fontId="0" fillId="5" borderId="2" pivotButton="0" quotePrefix="0" xfId="0"/>
    <xf numFmtId="164" fontId="5" fillId="5" borderId="2" applyAlignment="1" pivotButton="0" quotePrefix="0" xfId="0">
      <alignment horizontal="right" vertical="center" wrapText="1" indent="1"/>
    </xf>
    <xf numFmtId="0" fontId="6" fillId="3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1" fillId="7" borderId="4" applyAlignment="1" pivotButton="0" quotePrefix="0" xfId="0">
      <alignment horizontal="center" vertical="center"/>
    </xf>
    <xf numFmtId="0" fontId="11" fillId="8" borderId="4" applyAlignment="1" pivotButton="0" quotePrefix="0" xfId="0">
      <alignment horizontal="center" vertical="center"/>
    </xf>
    <xf numFmtId="9" fontId="11" fillId="8" borderId="4" applyAlignment="1" pivotButton="0" quotePrefix="0" xfId="0">
      <alignment horizontal="center" vertical="center"/>
    </xf>
    <xf numFmtId="0" fontId="14" fillId="5" borderId="2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164" fontId="12" fillId="4" borderId="2" applyAlignment="1" pivotButton="0" quotePrefix="0" xfId="0">
      <alignment horizontal="right" wrapText="1"/>
    </xf>
    <xf numFmtId="164" fontId="12" fillId="0" borderId="2" applyAlignment="1" pivotButton="0" quotePrefix="0" xfId="0">
      <alignment horizontal="right" wrapText="1"/>
    </xf>
    <xf numFmtId="164" fontId="12" fillId="4" borderId="2" applyAlignment="1" pivotButton="0" quotePrefix="0" xfId="0">
      <alignment horizontal="right" wrapText="1" indent="1"/>
    </xf>
    <xf numFmtId="164" fontId="12" fillId="0" borderId="2" applyAlignment="1" pivotButton="0" quotePrefix="0" xfId="0">
      <alignment horizontal="right" wrapText="1" indent="1"/>
    </xf>
    <xf numFmtId="164" fontId="14" fillId="5" borderId="2" applyAlignment="1" pivotButton="0" quotePrefix="0" xfId="0">
      <alignment horizontal="right" wrapText="1" indent="1"/>
    </xf>
    <xf numFmtId="0" fontId="12" fillId="4" borderId="2" applyAlignment="1" pivotButton="0" quotePrefix="0" xfId="0">
      <alignment horizontal="right" vertical="center" wrapText="1"/>
    </xf>
    <xf numFmtId="0" fontId="12" fillId="0" borderId="2" applyAlignment="1" pivotButton="0" quotePrefix="0" xfId="0">
      <alignment horizontal="right" vertical="center" wrapText="1"/>
    </xf>
    <xf numFmtId="0" fontId="5" fillId="5" borderId="2" applyAlignment="1" pivotButton="0" quotePrefix="0" xfId="0">
      <alignment horizontal="center" vertical="center" wrapText="1"/>
    </xf>
    <xf numFmtId="0" fontId="10" fillId="6" borderId="4" applyAlignment="1" pivotButton="0" quotePrefix="0" xfId="0">
      <alignment horizontal="left" vertical="center" wrapText="1" indent="1"/>
    </xf>
    <xf numFmtId="0" fontId="12" fillId="4" borderId="2" applyAlignment="1" pivotButton="0" quotePrefix="0" xfId="0">
      <alignment horizontal="left" vertical="center" wrapText="1" indent="1"/>
    </xf>
    <xf numFmtId="0" fontId="12" fillId="0" borderId="2" applyAlignment="1" pivotButton="0" quotePrefix="0" xfId="0">
      <alignment horizontal="left" vertical="center" wrapText="1" indent="1"/>
    </xf>
    <xf numFmtId="0" fontId="13" fillId="6" borderId="4" applyAlignment="1" pivotButton="0" quotePrefix="0" xfId="0">
      <alignment horizontal="left" vertical="center" wrapText="1" indent="1"/>
    </xf>
    <xf numFmtId="0" fontId="7" fillId="9" borderId="3" applyAlignment="1" pivotButton="0" quotePrefix="0" xfId="0">
      <alignment horizontal="center" vertical="center"/>
    </xf>
    <xf numFmtId="0" fontId="15" fillId="5" borderId="0" applyAlignment="1" pivotButton="0" quotePrefix="0" xfId="0">
      <alignment horizontal="center" vertical="center"/>
    </xf>
    <xf numFmtId="0" fontId="16" fillId="3" borderId="5" applyAlignment="1" pivotButton="0" quotePrefix="0" xfId="0">
      <alignment horizontal="center" vertical="center" wrapText="1"/>
    </xf>
    <xf numFmtId="0" fontId="15" fillId="4" borderId="5" applyAlignment="1" pivotButton="0" quotePrefix="0" xfId="0">
      <alignment horizontal="left" vertical="center" wrapText="1" indent="1"/>
    </xf>
    <xf numFmtId="0" fontId="2" fillId="4" borderId="5" applyAlignment="1" pivotButton="0" quotePrefix="0" xfId="0">
      <alignment horizontal="left" vertical="center" wrapText="1" indent="1"/>
    </xf>
    <xf numFmtId="0" fontId="2" fillId="4" borderId="5" applyAlignment="1" pivotButton="0" quotePrefix="0" xfId="0">
      <alignment horizontal="center" vertical="center" wrapText="1"/>
    </xf>
    <xf numFmtId="0" fontId="15" fillId="10" borderId="5" applyAlignment="1" pivotButton="0" quotePrefix="0" xfId="0">
      <alignment horizontal="left" vertical="center" wrapText="1" indent="1"/>
    </xf>
    <xf numFmtId="0" fontId="2" fillId="10" borderId="5" applyAlignment="1" pivotButton="0" quotePrefix="0" xfId="0">
      <alignment horizontal="left" vertical="center" wrapText="1" indent="1"/>
    </xf>
    <xf numFmtId="0" fontId="2" fillId="10" borderId="5" applyAlignment="1" pivotButton="0" quotePrefix="0" xfId="0">
      <alignment horizontal="center" vertical="center" wrapText="1"/>
    </xf>
    <xf numFmtId="0" fontId="18" fillId="4" borderId="5" applyAlignment="1" pivotButton="0" quotePrefix="0" xfId="0">
      <alignment horizontal="left" vertical="center" wrapText="1" indent="1"/>
    </xf>
    <xf numFmtId="0" fontId="17" fillId="4" borderId="5" applyAlignment="1" pivotButton="0" quotePrefix="0" xfId="0">
      <alignment horizontal="left" vertical="center" wrapText="1" indent="1"/>
    </xf>
    <xf numFmtId="3" fontId="17" fillId="4" borderId="5" applyAlignment="1" pivotButton="0" quotePrefix="0" xfId="0">
      <alignment horizontal="right" vertical="center" wrapText="1"/>
    </xf>
    <xf numFmtId="165" fontId="17" fillId="4" borderId="5" applyAlignment="1" pivotButton="0" quotePrefix="0" xfId="0">
      <alignment horizontal="right" vertical="center" wrapText="1"/>
    </xf>
    <xf numFmtId="0" fontId="18" fillId="10" borderId="5" applyAlignment="1" pivotButton="0" quotePrefix="0" xfId="0">
      <alignment horizontal="left" vertical="center" wrapText="1" indent="1"/>
    </xf>
    <xf numFmtId="0" fontId="17" fillId="10" borderId="5" applyAlignment="1" pivotButton="0" quotePrefix="0" xfId="0">
      <alignment horizontal="left" vertical="center" wrapText="1" indent="1"/>
    </xf>
    <xf numFmtId="3" fontId="17" fillId="10" borderId="5" applyAlignment="1" pivotButton="0" quotePrefix="0" xfId="0">
      <alignment horizontal="right" vertical="center" wrapText="1"/>
    </xf>
    <xf numFmtId="165" fontId="17" fillId="10" borderId="5" applyAlignment="1" pivotButton="0" quotePrefix="0" xfId="0">
      <alignment horizontal="right" vertical="center" wrapText="1"/>
    </xf>
    <xf numFmtId="0" fontId="19" fillId="5" borderId="5" applyAlignment="1" pivotButton="0" quotePrefix="0" xfId="0">
      <alignment horizontal="left" vertical="center"/>
    </xf>
    <xf numFmtId="0" fontId="19" fillId="5" borderId="5" applyAlignment="1" pivotButton="0" quotePrefix="0" xfId="0">
      <alignment horizontal="center" vertical="center"/>
    </xf>
    <xf numFmtId="165" fontId="19" fillId="5" borderId="5" applyAlignment="1" pivotButton="0" quotePrefix="0" xfId="0">
      <alignment horizontal="right" vertical="center"/>
    </xf>
  </cellXfs>
  <cellStyles count="1">
    <cellStyle name="Normal" xfId="0" builtinId="0"/>
  </cellStyles>
  <tableStyles count="0" defaultTableStyle="TableStyleMedium9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11</row>
      <rowOff>0</rowOff>
    </from>
    <ext cx="1238250" cy="314325"/>
    <pic>
      <nvPicPr>
        <cNvPr id="2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C12"/>
  <sheetViews>
    <sheetView workbookViewId="0">
      <selection activeCell="E24" sqref="E24"/>
    </sheetView>
  </sheetViews>
  <sheetFormatPr baseColWidth="8" defaultRowHeight="14.5"/>
  <cols>
    <col width="3" customWidth="1" min="1" max="1"/>
    <col width="25" customWidth="1" min="2" max="2"/>
    <col width="40" customWidth="1" min="3" max="3"/>
    <col width="3" customWidth="1" min="4" max="4"/>
  </cols>
  <sheetData>
    <row r="1" ht="15" customHeight="1">
      <c r="B1" s="1" t="n"/>
      <c r="C1" s="1" t="n"/>
    </row>
    <row r="2" ht="15" customHeight="1"/>
    <row r="3" ht="40" customHeight="1">
      <c r="B3" s="16" t="inlineStr">
        <is>
          <t>[DOCUMENT TITLE]</t>
        </is>
      </c>
    </row>
    <row r="4" ht="25" customHeight="1">
      <c r="B4" s="15" t="inlineStr">
        <is>
          <t>Infrastructure Costs</t>
        </is>
      </c>
    </row>
    <row r="5" ht="30" customHeight="1">
      <c r="B5" t="inlineStr">
        <is>
          <t>Presales Document</t>
        </is>
      </c>
    </row>
    <row r="6" ht="18" customHeight="1">
      <c r="B6" s="2" t="inlineStr">
        <is>
          <t>Generated:</t>
        </is>
      </c>
      <c r="C6" s="3" t="inlineStr">
        <is>
          <t>November 16, 2025</t>
        </is>
      </c>
    </row>
    <row r="7" ht="18" customHeight="1">
      <c r="B7" s="2" t="inlineStr">
        <is>
          <t>Solution:</t>
        </is>
      </c>
      <c r="C7" s="3" t="inlineStr">
        <is>
          <t>November 22, 2025</t>
        </is>
      </c>
    </row>
    <row r="8" ht="18" customHeight="1">
      <c r="B8" s="2" t="inlineStr">
        <is>
          <t>Customer:</t>
        </is>
      </c>
      <c r="C8" s="3" t="inlineStr">
        <is>
          <t>Dgx Superpod</t>
        </is>
      </c>
    </row>
    <row r="9" ht="18" customHeight="1">
      <c r="B9" s="2" t="inlineStr">
        <is>
          <t>Version:</t>
        </is>
      </c>
      <c r="C9" s="3" t="inlineStr">
        <is>
          <t>[Customer Name]</t>
        </is>
      </c>
    </row>
    <row r="10" ht="18" customHeight="1">
      <c r="B10" s="2" t="inlineStr">
        <is>
          <t>Status:</t>
        </is>
      </c>
      <c r="C10" s="4" t="inlineStr">
        <is>
          <t>Draft</t>
        </is>
      </c>
    </row>
    <row r="11" ht="40" customHeight="1"/>
    <row r="12" ht="30" customHeight="1">
      <c r="C12" s="5" t="inlineStr">
        <is>
          <t>eoframework.org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36" customWidth="1" min="2" max="2"/>
    <col width="28" customWidth="1" min="3" max="3"/>
    <col width="28" customWidth="1" min="4" max="4"/>
    <col width="28" customWidth="1" min="5" max="5"/>
    <col width="51" customWidth="1" min="6" max="6"/>
  </cols>
  <sheetData>
    <row r="1" ht="32" customHeight="1">
      <c r="A1" s="35" t="inlineStr">
        <is>
          <t>Sizing Guidelines</t>
        </is>
      </c>
    </row>
    <row r="2" ht="32" customHeight="1">
      <c r="A2" s="36" t="inlineStr">
        <is>
          <t>Category</t>
        </is>
      </c>
      <c r="B2" s="36" t="inlineStr">
        <is>
          <t>Component</t>
        </is>
      </c>
      <c r="C2" s="36" t="inlineStr">
        <is>
          <t>Small</t>
        </is>
      </c>
      <c r="D2" s="36" t="inlineStr">
        <is>
          <t>Medium</t>
        </is>
      </c>
      <c r="E2" s="36" t="inlineStr">
        <is>
          <t>Large</t>
        </is>
      </c>
      <c r="F2" s="36" t="inlineStr">
        <is>
          <t>Notes</t>
        </is>
      </c>
    </row>
    <row r="3" ht="26" customHeight="1">
      <c r="A3" s="37" t="inlineStr">
        <is>
          <t>GPU Infrastructure</t>
        </is>
      </c>
      <c r="B3" s="38" t="inlineStr">
        <is>
          <t>DGX H100 Systems</t>
        </is>
      </c>
      <c r="C3" s="39" t="inlineStr">
        <is>
          <t>4 systems (32 GPUs)</t>
        </is>
      </c>
      <c r="D3" s="39" t="inlineStr">
        <is>
          <t>8 systems (64 GPUs)</t>
        </is>
      </c>
      <c r="E3" s="39" t="inlineStr">
        <is>
          <t>16 systems (128 GPUs)</t>
        </is>
      </c>
      <c r="F3" s="38" t="inlineStr">
        <is>
          <t>8x H100 80GB GPUs per system</t>
        </is>
      </c>
    </row>
    <row r="4" ht="26" customHeight="1">
      <c r="A4" s="40" t="inlineStr">
        <is>
          <t>AI Performance</t>
        </is>
      </c>
      <c r="B4" s="41" t="inlineStr">
        <is>
          <t>FP8 Performance</t>
        </is>
      </c>
      <c r="C4" s="42" t="inlineStr">
        <is>
          <t>16 petaFLOPS</t>
        </is>
      </c>
      <c r="D4" s="42" t="inlineStr">
        <is>
          <t>32 petaFLOPS</t>
        </is>
      </c>
      <c r="E4" s="42" t="inlineStr">
        <is>
          <t>64 petaFLOPS</t>
        </is>
      </c>
      <c r="F4" s="41" t="inlineStr">
        <is>
          <t>Tensor Core AI compute</t>
        </is>
      </c>
    </row>
    <row r="5" ht="26" customHeight="1">
      <c r="A5" s="37" t="inlineStr">
        <is>
          <t>GPU Memory</t>
        </is>
      </c>
      <c r="B5" s="38" t="inlineStr">
        <is>
          <t>Total GPU Memory</t>
        </is>
      </c>
      <c r="C5" s="39" t="inlineStr">
        <is>
          <t>2.56 TB</t>
        </is>
      </c>
      <c r="D5" s="39" t="inlineStr">
        <is>
          <t>5.12 TB</t>
        </is>
      </c>
      <c r="E5" s="39" t="inlineStr">
        <is>
          <t>10.24 TB</t>
        </is>
      </c>
      <c r="F5" s="38" t="inlineStr">
        <is>
          <t>80 GB per GPU aggregate</t>
        </is>
      </c>
    </row>
    <row r="6" ht="26" customHeight="1">
      <c r="A6" s="40" t="inlineStr">
        <is>
          <t>Network Fabric</t>
        </is>
      </c>
      <c r="B6" s="41" t="inlineStr">
        <is>
          <t>InfiniBand Switches</t>
        </is>
      </c>
      <c r="C6" s="42" t="inlineStr">
        <is>
          <t>2 Quantum-2 (400G)</t>
        </is>
      </c>
      <c r="D6" s="42" t="inlineStr">
        <is>
          <t>4 Quantum-2 (400G)</t>
        </is>
      </c>
      <c r="E6" s="42" t="inlineStr">
        <is>
          <t>8 Quantum-2 (400G)</t>
        </is>
      </c>
      <c r="F6" s="41" t="inlineStr">
        <is>
          <t>High-speed GPU-to-GPU fabric</t>
        </is>
      </c>
    </row>
    <row r="7" ht="26" customHeight="1">
      <c r="A7" s="37" t="inlineStr">
        <is>
          <t>Storage Capacity</t>
        </is>
      </c>
      <c r="B7" s="38" t="inlineStr">
        <is>
          <t>NVMe Storage</t>
        </is>
      </c>
      <c r="C7" s="39" t="inlineStr">
        <is>
          <t>500 TB</t>
        </is>
      </c>
      <c r="D7" s="39" t="inlineStr">
        <is>
          <t>1 PB</t>
        </is>
      </c>
      <c r="E7" s="39" t="inlineStr">
        <is>
          <t>2 PB</t>
        </is>
      </c>
      <c r="F7" s="38" t="inlineStr">
        <is>
          <t>All-flash high-performance storage</t>
        </is>
      </c>
    </row>
    <row r="8" ht="26" customHeight="1">
      <c r="A8" s="40" t="inlineStr">
        <is>
          <t>Storage Throughput</t>
        </is>
      </c>
      <c r="B8" s="41" t="inlineStr">
        <is>
          <t>Read/Write Performance</t>
        </is>
      </c>
      <c r="C8" s="42" t="inlineStr">
        <is>
          <t>7 GB/s</t>
        </is>
      </c>
      <c r="D8" s="42" t="inlineStr">
        <is>
          <t>14 GB/s</t>
        </is>
      </c>
      <c r="E8" s="42" t="inlineStr">
        <is>
          <t>28 GB/s</t>
        </is>
      </c>
      <c r="F8" s="41" t="inlineStr">
        <is>
          <t>Parallel file system throughput</t>
        </is>
      </c>
    </row>
    <row r="9" ht="26" customHeight="1">
      <c r="A9" s="37" t="inlineStr">
        <is>
          <t>Power Requirements</t>
        </is>
      </c>
      <c r="B9" s="38" t="inlineStr">
        <is>
          <t>Total Power Draw</t>
        </is>
      </c>
      <c r="C9" s="39" t="inlineStr">
        <is>
          <t>250 kW</t>
        </is>
      </c>
      <c r="D9" s="39" t="inlineStr">
        <is>
          <t>500 kW</t>
        </is>
      </c>
      <c r="E9" s="39" t="inlineStr">
        <is>
          <t>1000 kW</t>
        </is>
      </c>
      <c r="F9" s="38" t="inlineStr">
        <is>
          <t>Including cooling overhead</t>
        </is>
      </c>
    </row>
    <row r="10" ht="26" customHeight="1">
      <c r="A10" s="40" t="inlineStr">
        <is>
          <t>Cooling Requirements</t>
        </is>
      </c>
      <c r="B10" s="41" t="inlineStr">
        <is>
          <t>BTU/Hour</t>
        </is>
      </c>
      <c r="C10" s="42" t="inlineStr">
        <is>
          <t>850000 BTU</t>
        </is>
      </c>
      <c r="D10" s="42" t="inlineStr">
        <is>
          <t>1700000 BTU</t>
        </is>
      </c>
      <c r="E10" s="42" t="inlineStr">
        <is>
          <t>3400000 BTU</t>
        </is>
      </c>
      <c r="F10" s="41" t="inlineStr">
        <is>
          <t>Datacenter cooling capacity needed</t>
        </is>
      </c>
    </row>
    <row r="11" ht="26" customHeight="1">
      <c r="A11" s="37" t="inlineStr">
        <is>
          <t>Research Capacity</t>
        </is>
      </c>
      <c r="B11" s="38" t="inlineStr">
        <is>
          <t>Data Scientists Supported</t>
        </is>
      </c>
      <c r="C11" s="39" t="inlineStr">
        <is>
          <t>20-30 users</t>
        </is>
      </c>
      <c r="D11" s="39" t="inlineStr">
        <is>
          <t>50-75 users</t>
        </is>
      </c>
      <c r="E11" s="39" t="inlineStr">
        <is>
          <t>100+ users</t>
        </is>
      </c>
      <c r="F11" s="38" t="inlineStr">
        <is>
          <t>Concurrent user capacity</t>
        </is>
      </c>
    </row>
    <row r="12" ht="26" customHeight="1">
      <c r="A12" s="40" t="inlineStr">
        <is>
          <t>Typical Workload</t>
        </is>
      </c>
      <c r="B12" s="41" t="inlineStr">
        <is>
          <t>Example Use Case</t>
        </is>
      </c>
      <c r="C12" s="42" t="inlineStr">
        <is>
          <t>Fine-tuning models &lt;50B params</t>
        </is>
      </c>
      <c r="D12" s="42" t="inlineStr">
        <is>
          <t>Training models 50B-500B params</t>
        </is>
      </c>
      <c r="E12" s="42" t="inlineStr">
        <is>
          <t>Training models &gt;500B params and LLM research</t>
        </is>
      </c>
      <c r="F12" s="41" t="inlineStr">
        <is>
          <t>Primary workload sizing</t>
        </is>
      </c>
    </row>
  </sheetData>
  <autoFilter ref="A2:F12"/>
  <mergeCells count="1"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3" customWidth="1" min="1" max="1"/>
    <col width="30" customWidth="1" min="2" max="2"/>
    <col width="50" customWidth="1" min="3" max="3"/>
    <col width="12" customWidth="1" min="4" max="4"/>
    <col width="15" customWidth="1" min="5" max="5"/>
    <col width="12" customWidth="1" min="6" max="6"/>
    <col width="15" customWidth="1" min="7" max="7"/>
    <col width="12" customWidth="1" min="8" max="8"/>
    <col width="12" customWidth="1" min="9" max="9"/>
    <col width="15" customWidth="1" min="10" max="10"/>
    <col width="30" customWidth="1" min="11" max="11"/>
  </cols>
  <sheetData>
    <row r="1" ht="32" customHeight="1">
      <c r="A1" s="35" t="inlineStr">
        <is>
          <t>Infrastructure Costs</t>
        </is>
      </c>
    </row>
    <row r="2" ht="32" customHeight="1">
      <c r="A2" s="36" t="inlineStr">
        <is>
          <t>Category</t>
        </is>
      </c>
      <c r="B2" s="36" t="inlineStr">
        <is>
          <t>Component</t>
        </is>
      </c>
      <c r="C2" s="36" t="inlineStr">
        <is>
          <t>Description</t>
        </is>
      </c>
      <c r="D2" s="36" t="inlineStr">
        <is>
          <t>Quantity</t>
        </is>
      </c>
      <c r="E2" s="36" t="inlineStr">
        <is>
          <t>Unit</t>
        </is>
      </c>
      <c r="F2" s="36" t="inlineStr">
        <is>
          <t>Unit Price</t>
        </is>
      </c>
      <c r="G2" s="36" t="inlineStr">
        <is>
          <t>Annual Cost</t>
        </is>
      </c>
      <c r="H2" s="36" t="inlineStr">
        <is>
          <t>Year 2</t>
        </is>
      </c>
      <c r="I2" s="36" t="inlineStr">
        <is>
          <t>Year 3</t>
        </is>
      </c>
      <c r="J2" s="36" t="inlineStr">
        <is>
          <t>3-Year Total</t>
        </is>
      </c>
      <c r="K2" s="36" t="inlineStr">
        <is>
          <t>Notes</t>
        </is>
      </c>
    </row>
    <row r="3" ht="26" customHeight="1">
      <c r="A3" s="43" t="inlineStr">
        <is>
          <t>Hardware</t>
        </is>
      </c>
      <c r="B3" s="44" t="inlineStr">
        <is>
          <t>NVIDIA DGX H100 System</t>
        </is>
      </c>
      <c r="C3" s="44" t="inlineStr">
        <is>
          <t>DGX H100 with 8x H100 80GB GPUs per system</t>
        </is>
      </c>
      <c r="D3" s="45" t="n">
        <v>8</v>
      </c>
      <c r="E3" s="44" t="inlineStr">
        <is>
          <t>Systems</t>
        </is>
      </c>
      <c r="F3" s="46" t="n">
        <v>450000</v>
      </c>
      <c r="G3" s="46">
        <f>$8*$450000</f>
        <v/>
      </c>
      <c r="H3" s="46">
        <f>$0</f>
        <v/>
      </c>
      <c r="I3" s="46">
        <f>$0</f>
        <v/>
      </c>
      <c r="J3" s="46">
        <f>$3600000</f>
        <v/>
      </c>
      <c r="K3" s="44" t="inlineStr">
        <is>
          <t>Flagship AI supercomputer</t>
        </is>
      </c>
    </row>
    <row r="4" ht="26" customHeight="1">
      <c r="A4" s="47" t="inlineStr">
        <is>
          <t>Hardware</t>
        </is>
      </c>
      <c r="B4" s="48" t="inlineStr">
        <is>
          <t>NVIDIA Quantum-2 InfiniBand Switch</t>
        </is>
      </c>
      <c r="C4" s="48" t="inlineStr">
        <is>
          <t>400 Gbps InfiniBand fabric switches</t>
        </is>
      </c>
      <c r="D4" s="49" t="n">
        <v>4</v>
      </c>
      <c r="E4" s="48" t="inlineStr">
        <is>
          <t>Switches</t>
        </is>
      </c>
      <c r="F4" s="50" t="n">
        <v>85000</v>
      </c>
      <c r="G4" s="50">
        <f>$4*$85000</f>
        <v/>
      </c>
      <c r="H4" s="50">
        <f>$0</f>
        <v/>
      </c>
      <c r="I4" s="50">
        <f>$0</f>
        <v/>
      </c>
      <c r="J4" s="50">
        <f>$340000</f>
        <v/>
      </c>
      <c r="K4" s="48" t="inlineStr">
        <is>
          <t>High-speed interconnect</t>
        </is>
      </c>
    </row>
    <row r="5" ht="26" customHeight="1">
      <c r="A5" s="43" t="inlineStr">
        <is>
          <t>Hardware</t>
        </is>
      </c>
      <c r="B5" s="44" t="inlineStr">
        <is>
          <t>NVIDIA Base Command Storage</t>
        </is>
      </c>
      <c r="C5" s="44" t="inlineStr">
        <is>
          <t>1 PB NVMe all-flash storage cluster</t>
        </is>
      </c>
      <c r="D5" s="45" t="n">
        <v>1</v>
      </c>
      <c r="E5" s="44" t="inlineStr">
        <is>
          <t>System</t>
        </is>
      </c>
      <c r="F5" s="46" t="n">
        <v>400000</v>
      </c>
      <c r="G5" s="46">
        <f>$1*$400000</f>
        <v/>
      </c>
      <c r="H5" s="46">
        <f>$0</f>
        <v/>
      </c>
      <c r="I5" s="46">
        <f>$0</f>
        <v/>
      </c>
      <c r="J5" s="46">
        <f>$400000</f>
        <v/>
      </c>
      <c r="K5" s="44" t="inlineStr">
        <is>
          <t>High-performance parallel file system</t>
        </is>
      </c>
    </row>
    <row r="6" ht="26" customHeight="1">
      <c r="A6" s="47" t="inlineStr">
        <is>
          <t>Hardware</t>
        </is>
      </c>
      <c r="B6" s="48" t="inlineStr">
        <is>
          <t>Rack Infrastructure</t>
        </is>
      </c>
      <c r="C6" s="48" t="inlineStr">
        <is>
          <t>Server racks with PDUs and cable management</t>
        </is>
      </c>
      <c r="D6" s="49" t="n">
        <v>4</v>
      </c>
      <c r="E6" s="48" t="inlineStr">
        <is>
          <t>Racks</t>
        </is>
      </c>
      <c r="F6" s="50" t="n">
        <v>15000</v>
      </c>
      <c r="G6" s="50">
        <f>$4*$15000</f>
        <v/>
      </c>
      <c r="H6" s="50">
        <f>$0</f>
        <v/>
      </c>
      <c r="I6" s="50">
        <f>$0</f>
        <v/>
      </c>
      <c r="J6" s="50">
        <f>$60000</f>
        <v/>
      </c>
      <c r="K6" s="48" t="inlineStr">
        <is>
          <t>Physical infrastructure</t>
        </is>
      </c>
    </row>
    <row r="7" ht="26" customHeight="1">
      <c r="A7" s="43" t="inlineStr">
        <is>
          <t>Facilities</t>
        </is>
      </c>
      <c r="B7" s="44" t="inlineStr">
        <is>
          <t>Datacenter Power Upgrade</t>
        </is>
      </c>
      <c r="C7" s="44" t="inlineStr">
        <is>
          <t>500 kW power distribution and electrical upgrades</t>
        </is>
      </c>
      <c r="D7" s="45" t="n">
        <v>1</v>
      </c>
      <c r="E7" s="44" t="inlineStr">
        <is>
          <t>System</t>
        </is>
      </c>
      <c r="F7" s="46" t="n">
        <v>150000</v>
      </c>
      <c r="G7" s="46">
        <f>$1*$150000</f>
        <v/>
      </c>
      <c r="H7" s="46">
        <f>$0</f>
        <v/>
      </c>
      <c r="I7" s="46">
        <f>$0</f>
        <v/>
      </c>
      <c r="J7" s="46">
        <f>$150000</f>
        <v/>
      </c>
      <c r="K7" s="44" t="inlineStr">
        <is>
          <t>480V power infrastructure</t>
        </is>
      </c>
    </row>
    <row r="8" ht="26" customHeight="1">
      <c r="A8" s="47" t="inlineStr">
        <is>
          <t>Facilities</t>
        </is>
      </c>
      <c r="B8" s="48" t="inlineStr">
        <is>
          <t>Cooling System Installation</t>
        </is>
      </c>
      <c r="C8" s="48" t="inlineStr">
        <is>
          <t>In-row cooling for high-density GPU compute</t>
        </is>
      </c>
      <c r="D8" s="49" t="n">
        <v>2</v>
      </c>
      <c r="E8" s="48" t="inlineStr">
        <is>
          <t>Units</t>
        </is>
      </c>
      <c r="F8" s="50" t="n">
        <v>75000</v>
      </c>
      <c r="G8" s="50">
        <f>$2*$75000</f>
        <v/>
      </c>
      <c r="H8" s="50">
        <f>$0</f>
        <v/>
      </c>
      <c r="I8" s="50">
        <f>$0</f>
        <v/>
      </c>
      <c r="J8" s="50">
        <f>$150000</f>
        <v/>
      </c>
      <c r="K8" s="48" t="inlineStr">
        <is>
          <t>Thermal management</t>
        </is>
      </c>
    </row>
    <row r="9" ht="26" customHeight="1">
      <c r="A9" s="43" t="inlineStr">
        <is>
          <t>Facilities</t>
        </is>
      </c>
      <c r="B9" s="44" t="inlineStr">
        <is>
          <t>Raised Floor &amp; Cabling</t>
        </is>
      </c>
      <c r="C9" s="44" t="inlineStr">
        <is>
          <t>Datacenter floor preparation and network cabling</t>
        </is>
      </c>
      <c r="D9" s="45" t="n">
        <v>1</v>
      </c>
      <c r="E9" s="44" t="inlineStr">
        <is>
          <t>Build-out</t>
        </is>
      </c>
      <c r="F9" s="46" t="n">
        <v>50000</v>
      </c>
      <c r="G9" s="46">
        <f>$1*$50000</f>
        <v/>
      </c>
      <c r="H9" s="46">
        <f>$0</f>
        <v/>
      </c>
      <c r="I9" s="46">
        <f>$0</f>
        <v/>
      </c>
      <c r="J9" s="46">
        <f>$50000</f>
        <v/>
      </c>
      <c r="K9" s="44" t="inlineStr">
        <is>
          <t>Site preparation</t>
        </is>
      </c>
    </row>
    <row r="10" ht="26" customHeight="1">
      <c r="A10" s="47" t="inlineStr">
        <is>
          <t>Software Licenses</t>
        </is>
      </c>
      <c r="B10" s="48" t="inlineStr">
        <is>
          <t>NVIDIA AI Enterprise</t>
        </is>
      </c>
      <c r="C10" s="48" t="inlineStr">
        <is>
          <t>AI software suite (5-year subscription per GPU)</t>
        </is>
      </c>
      <c r="D10" s="49" t="n">
        <v>64</v>
      </c>
      <c r="E10" s="48" t="inlineStr">
        <is>
          <t>GPU Licenses</t>
        </is>
      </c>
      <c r="F10" s="50" t="n">
        <v>3000</v>
      </c>
      <c r="G10" s="50">
        <f>$64*$3000*1</f>
        <v/>
      </c>
      <c r="H10" s="50">
        <f>$19200</f>
        <v/>
      </c>
      <c r="I10" s="50">
        <f>$19200</f>
        <v/>
      </c>
      <c r="J10" s="50">
        <f>$211200</f>
        <v/>
      </c>
      <c r="K10" s="48" t="inlineStr">
        <is>
          <t>CUDA RAPIDS TensorRT NGC</t>
        </is>
      </c>
    </row>
    <row r="11" ht="26" customHeight="1">
      <c r="A11" s="43" t="inlineStr">
        <is>
          <t>Software Licenses</t>
        </is>
      </c>
      <c r="B11" s="44" t="inlineStr">
        <is>
          <t>Base Command Manager</t>
        </is>
      </c>
      <c r="C11" s="44" t="inlineStr">
        <is>
          <t>Cluster management and job scheduling platform</t>
        </is>
      </c>
      <c r="D11" s="45" t="n">
        <v>1</v>
      </c>
      <c r="E11" s="44" t="inlineStr">
        <is>
          <t>Cluster License</t>
        </is>
      </c>
      <c r="F11" s="46" t="n">
        <v>50000</v>
      </c>
      <c r="G11" s="46">
        <f>$1*$50000</f>
        <v/>
      </c>
      <c r="H11" s="46">
        <f>$50000</f>
        <v/>
      </c>
      <c r="I11" s="46">
        <f>$50000</f>
        <v/>
      </c>
      <c r="J11" s="46">
        <f>$150000</f>
        <v/>
      </c>
      <c r="K11" s="44" t="inlineStr">
        <is>
          <t>Infrastructure orchestration</t>
        </is>
      </c>
    </row>
    <row r="12" ht="26" customHeight="1">
      <c r="A12" s="47" t="inlineStr">
        <is>
          <t>Software Licenses</t>
        </is>
      </c>
      <c r="B12" s="48" t="inlineStr">
        <is>
          <t>Monitoring &amp; Observability</t>
        </is>
      </c>
      <c r="C12" s="48" t="inlineStr">
        <is>
          <t>Datadog Enterprise monitoring (20 hosts)</t>
        </is>
      </c>
      <c r="D12" s="49" t="n">
        <v>20</v>
      </c>
      <c r="E12" s="48" t="inlineStr">
        <is>
          <t>Hosts/Month</t>
        </is>
      </c>
      <c r="F12" s="50" t="n">
        <v>31</v>
      </c>
      <c r="G12" s="50">
        <f>$20*$31*12</f>
        <v/>
      </c>
      <c r="H12" s="50">
        <f>$7440</f>
        <v/>
      </c>
      <c r="I12" s="50">
        <f>$7440</f>
        <v/>
      </c>
      <c r="J12" s="50">
        <f>$22320</f>
        <v/>
      </c>
      <c r="K12" s="48" t="inlineStr">
        <is>
          <t>Infrastructure and GPU monitoring</t>
        </is>
      </c>
    </row>
    <row r="13" ht="26" customHeight="1">
      <c r="A13" s="43" t="inlineStr">
        <is>
          <t>Support &amp; Maintenance</t>
        </is>
      </c>
      <c r="B13" s="44" t="inlineStr">
        <is>
          <t>NVIDIA DGX Support</t>
        </is>
      </c>
      <c r="C13" s="44" t="inlineStr">
        <is>
          <t>Enterprise support with 4-hour response (annual)</t>
        </is>
      </c>
      <c r="D13" s="45" t="n">
        <v>8</v>
      </c>
      <c r="E13" s="44" t="inlineStr">
        <is>
          <t>Systems</t>
        </is>
      </c>
      <c r="F13" s="46" t="n">
        <v>35000</v>
      </c>
      <c r="G13" s="46">
        <f>$8*$35000</f>
        <v/>
      </c>
      <c r="H13" s="46">
        <f>$280000</f>
        <v/>
      </c>
      <c r="I13" s="46">
        <f>$280000</f>
        <v/>
      </c>
      <c r="J13" s="46">
        <f>$840000</f>
        <v/>
      </c>
      <c r="K13" s="44" t="inlineStr">
        <is>
          <t>24x7 mission-critical support</t>
        </is>
      </c>
    </row>
    <row r="14" ht="26" customHeight="1">
      <c r="A14" s="47" t="inlineStr">
        <is>
          <t>Support &amp; Maintenance</t>
        </is>
      </c>
      <c r="B14" s="48" t="inlineStr">
        <is>
          <t>Storage Support</t>
        </is>
      </c>
      <c r="C14" s="48" t="inlineStr">
        <is>
          <t>Annual hardware and software maintenance</t>
        </is>
      </c>
      <c r="D14" s="49" t="n">
        <v>1</v>
      </c>
      <c r="E14" s="48" t="inlineStr">
        <is>
          <t>System/Year</t>
        </is>
      </c>
      <c r="F14" s="50" t="n">
        <v>40000</v>
      </c>
      <c r="G14" s="50">
        <f>$1*$40000</f>
        <v/>
      </c>
      <c r="H14" s="50">
        <f>$40000</f>
        <v/>
      </c>
      <c r="I14" s="50">
        <f>$40000</f>
        <v/>
      </c>
      <c r="J14" s="50">
        <f>$120000</f>
        <v/>
      </c>
      <c r="K14" s="48" t="inlineStr">
        <is>
          <t>Storage system support</t>
        </is>
      </c>
    </row>
    <row r="15" ht="26" customHeight="1">
      <c r="A15" s="43" t="inlineStr">
        <is>
          <t>Professional Services</t>
        </is>
      </c>
      <c r="B15" s="44" t="inlineStr">
        <is>
          <t>Site Assessment &amp; Planning</t>
        </is>
      </c>
      <c r="C15" s="44" t="inlineStr">
        <is>
          <t>Facilities assessment and deployment planning</t>
        </is>
      </c>
      <c r="D15" s="45" t="n">
        <v>80</v>
      </c>
      <c r="E15" s="44" t="inlineStr">
        <is>
          <t>Hours</t>
        </is>
      </c>
      <c r="F15" s="46" t="n">
        <v>250</v>
      </c>
      <c r="G15" s="46">
        <f>$80*$250</f>
        <v/>
      </c>
      <c r="H15" s="46">
        <f>$0</f>
        <v/>
      </c>
      <c r="I15" s="46">
        <f>$0</f>
        <v/>
      </c>
      <c r="J15" s="46">
        <f>$20000</f>
        <v/>
      </c>
      <c r="K15" s="44" t="inlineStr">
        <is>
          <t>Pre-deployment engineering</t>
        </is>
      </c>
    </row>
    <row r="16" ht="26" customHeight="1">
      <c r="A16" s="47" t="inlineStr">
        <is>
          <t>Professional Services</t>
        </is>
      </c>
      <c r="B16" s="48" t="inlineStr">
        <is>
          <t>Installation &amp; Configuration</t>
        </is>
      </c>
      <c r="C16" s="48" t="inlineStr">
        <is>
          <t>DGX system installation and InfiniBand setup</t>
        </is>
      </c>
      <c r="D16" s="49" t="n">
        <v>200</v>
      </c>
      <c r="E16" s="48" t="inlineStr">
        <is>
          <t>Hours</t>
        </is>
      </c>
      <c r="F16" s="50" t="n">
        <v>250</v>
      </c>
      <c r="G16" s="50">
        <f>$200*$250</f>
        <v/>
      </c>
      <c r="H16" s="50">
        <f>$0</f>
        <v/>
      </c>
      <c r="I16" s="50">
        <f>$0</f>
        <v/>
      </c>
      <c r="J16" s="50">
        <f>$50000</f>
        <v/>
      </c>
      <c r="K16" s="48" t="inlineStr">
        <is>
          <t>System deployment</t>
        </is>
      </c>
    </row>
    <row r="17" ht="26" customHeight="1">
      <c r="A17" s="43" t="inlineStr">
        <is>
          <t>Professional Services</t>
        </is>
      </c>
      <c r="B17" s="44" t="inlineStr">
        <is>
          <t>Network &amp; Storage Setup</t>
        </is>
      </c>
      <c r="C17" s="44" t="inlineStr">
        <is>
          <t>InfiniBand fabric and storage cluster configuration</t>
        </is>
      </c>
      <c r="D17" s="45" t="n">
        <v>120</v>
      </c>
      <c r="E17" s="44" t="inlineStr">
        <is>
          <t>Hours</t>
        </is>
      </c>
      <c r="F17" s="46" t="n">
        <v>250</v>
      </c>
      <c r="G17" s="46">
        <f>$120*$250</f>
        <v/>
      </c>
      <c r="H17" s="46">
        <f>$0</f>
        <v/>
      </c>
      <c r="I17" s="46">
        <f>$0</f>
        <v/>
      </c>
      <c r="J17" s="46">
        <f>$30000</f>
        <v/>
      </c>
      <c r="K17" s="44" t="inlineStr">
        <is>
          <t>Network and storage integration</t>
        </is>
      </c>
    </row>
    <row r="18" ht="26" customHeight="1">
      <c r="A18" s="47" t="inlineStr">
        <is>
          <t>Professional Services</t>
        </is>
      </c>
      <c r="B18" s="48" t="inlineStr">
        <is>
          <t>Software &amp; Workload Setup</t>
        </is>
      </c>
      <c r="C18" s="48" t="inlineStr">
        <is>
          <t>NGC container deployment and AI framework setup</t>
        </is>
      </c>
      <c r="D18" s="49" t="n">
        <v>80</v>
      </c>
      <c r="E18" s="48" t="inlineStr">
        <is>
          <t>Hours</t>
        </is>
      </c>
      <c r="F18" s="50" t="n">
        <v>250</v>
      </c>
      <c r="G18" s="50">
        <f>$80*$250</f>
        <v/>
      </c>
      <c r="H18" s="50">
        <f>$0</f>
        <v/>
      </c>
      <c r="I18" s="50">
        <f>$0</f>
        <v/>
      </c>
      <c r="J18" s="50">
        <f>$20000</f>
        <v/>
      </c>
      <c r="K18" s="48" t="inlineStr">
        <is>
          <t>Software stack configuration</t>
        </is>
      </c>
    </row>
    <row r="19" ht="26" customHeight="1">
      <c r="A19" s="43" t="inlineStr">
        <is>
          <t>Professional Services</t>
        </is>
      </c>
      <c r="B19" s="44" t="inlineStr">
        <is>
          <t>Performance Optimization</t>
        </is>
      </c>
      <c r="C19" s="44" t="inlineStr">
        <is>
          <t>Workload benchmarking and performance tuning</t>
        </is>
      </c>
      <c r="D19" s="45" t="n">
        <v>60</v>
      </c>
      <c r="E19" s="44" t="inlineStr">
        <is>
          <t>Hours</t>
        </is>
      </c>
      <c r="F19" s="46" t="n">
        <v>250</v>
      </c>
      <c r="G19" s="46">
        <f>$60*$250</f>
        <v/>
      </c>
      <c r="H19" s="46">
        <f>$0</f>
        <v/>
      </c>
      <c r="I19" s="46">
        <f>$0</f>
        <v/>
      </c>
      <c r="J19" s="46">
        <f>$15000</f>
        <v/>
      </c>
      <c r="K19" s="44" t="inlineStr">
        <is>
          <t>AI workload optimization</t>
        </is>
      </c>
    </row>
    <row r="20" ht="26" customHeight="1">
      <c r="A20" s="47" t="inlineStr">
        <is>
          <t>Professional Services</t>
        </is>
      </c>
      <c r="B20" s="48" t="inlineStr">
        <is>
          <t>Administrator Training</t>
        </is>
      </c>
      <c r="C20" s="48" t="inlineStr">
        <is>
          <t>Technical training for infrastructure team</t>
        </is>
      </c>
      <c r="D20" s="49" t="n">
        <v>40</v>
      </c>
      <c r="E20" s="48" t="inlineStr">
        <is>
          <t>Hours</t>
        </is>
      </c>
      <c r="F20" s="50" t="n">
        <v>200</v>
      </c>
      <c r="G20" s="50">
        <f>$40*$200</f>
        <v/>
      </c>
      <c r="H20" s="50">
        <f>$0</f>
        <v/>
      </c>
      <c r="I20" s="50">
        <f>$0</f>
        <v/>
      </c>
      <c r="J20" s="50">
        <f>$8000</f>
        <v/>
      </c>
      <c r="K20" s="48" t="inlineStr">
        <is>
          <t>Knowledge transfer</t>
        </is>
      </c>
    </row>
    <row r="21" ht="26" customHeight="1">
      <c r="A21" s="43" t="inlineStr">
        <is>
          <t>Professional Services</t>
        </is>
      </c>
      <c r="B21" s="44" t="inlineStr">
        <is>
          <t>User Training</t>
        </is>
      </c>
      <c r="C21" s="44" t="inlineStr">
        <is>
          <t>AI researcher and data scientist training</t>
        </is>
      </c>
      <c r="D21" s="45" t="n">
        <v>24</v>
      </c>
      <c r="E21" s="44" t="inlineStr">
        <is>
          <t>Hours</t>
        </is>
      </c>
      <c r="F21" s="46" t="n">
        <v>200</v>
      </c>
      <c r="G21" s="46">
        <f>$24*$200</f>
        <v/>
      </c>
      <c r="H21" s="46">
        <f>$0</f>
        <v/>
      </c>
      <c r="I21" s="46">
        <f>$0</f>
        <v/>
      </c>
      <c r="J21" s="46">
        <f>$4800</f>
        <v/>
      </c>
      <c r="K21" s="44" t="inlineStr">
        <is>
          <t>End-user enablement</t>
        </is>
      </c>
    </row>
    <row r="22" ht="26" customHeight="1">
      <c r="A22" s="47" t="inlineStr">
        <is>
          <t>Professional Services</t>
        </is>
      </c>
      <c r="B22" s="48" t="inlineStr">
        <is>
          <t>Project Management</t>
        </is>
      </c>
      <c r="C22" s="48" t="inlineStr">
        <is>
          <t>End-to-end project coordination and delivery</t>
        </is>
      </c>
      <c r="D22" s="49" t="n">
        <v>160</v>
      </c>
      <c r="E22" s="48" t="inlineStr">
        <is>
          <t>Hours</t>
        </is>
      </c>
      <c r="F22" s="50" t="n">
        <v>175</v>
      </c>
      <c r="G22" s="50">
        <f>$160*$175</f>
        <v/>
      </c>
      <c r="H22" s="50">
        <f>$0</f>
        <v/>
      </c>
      <c r="I22" s="50">
        <f>$0</f>
        <v/>
      </c>
      <c r="J22" s="50">
        <f>$28000</f>
        <v/>
      </c>
      <c r="K22" s="48" t="inlineStr">
        <is>
          <t>Implementation oversight</t>
        </is>
      </c>
    </row>
    <row r="23" ht="26" customHeight="1">
      <c r="A23" s="51" t="inlineStr">
        <is>
          <t>TOTAL</t>
        </is>
      </c>
      <c r="B23" s="52" t="n"/>
      <c r="C23" s="52" t="n"/>
      <c r="D23" s="52" t="n"/>
      <c r="E23" s="52" t="n"/>
      <c r="F23" s="52" t="n"/>
      <c r="G23" s="53">
        <f>SUM(G3:G22)</f>
        <v/>
      </c>
      <c r="H23" s="53">
        <f>SUM(H3:H22)</f>
        <v/>
      </c>
      <c r="I23" s="53">
        <f>SUM(I3:I22)</f>
        <v/>
      </c>
      <c r="J23" s="53">
        <f>SUM(J3:J22)</f>
        <v/>
      </c>
      <c r="K23" s="52" t="n"/>
    </row>
  </sheetData>
  <autoFilter ref="A2:K23"/>
  <mergeCells count="1">
    <mergeCell ref="A1:K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5" customWidth="1" min="1" max="1"/>
    <col width="25" customWidth="1" min="2" max="2"/>
    <col width="15" customWidth="1" min="3" max="3"/>
    <col width="50" customWidth="1" min="4" max="4"/>
  </cols>
  <sheetData>
    <row r="1" ht="32" customHeight="1">
      <c r="A1" s="35" t="inlineStr">
        <is>
          <t>Credits</t>
        </is>
      </c>
    </row>
    <row r="2" ht="32" customHeight="1">
      <c r="A2" s="36" t="inlineStr">
        <is>
          <t>Category</t>
        </is>
      </c>
      <c r="B2" s="36" t="inlineStr">
        <is>
          <t>Credit Type</t>
        </is>
      </c>
      <c r="C2" s="36" t="inlineStr">
        <is>
          <t>Credit Amount</t>
        </is>
      </c>
      <c r="D2" s="36" t="inlineStr">
        <is>
          <t>Credit Comments</t>
        </is>
      </c>
    </row>
    <row r="3" ht="26" customHeight="1">
      <c r="A3" s="43" t="inlineStr">
        <is>
          <t>Hardware</t>
        </is>
      </c>
      <c r="B3" s="44" t="inlineStr">
        <is>
          <t>NVIDIA Volume Discount</t>
        </is>
      </c>
      <c r="C3" s="46" t="n">
        <v>-180000</v>
      </c>
      <c r="D3" s="44" t="inlineStr">
        <is>
          <t>5% discount on DGX systems for 8-unit purchase</t>
        </is>
      </c>
    </row>
    <row r="4" ht="26" customHeight="1">
      <c r="A4" s="47" t="inlineStr">
        <is>
          <t>Software Licenses</t>
        </is>
      </c>
      <c r="B4" s="48" t="inlineStr">
        <is>
          <t>AI Enterprise Bundle Credit</t>
        </is>
      </c>
      <c r="C4" s="50" t="n">
        <v>-15000</v>
      </c>
      <c r="D4" s="48" t="inlineStr">
        <is>
          <t>Included with DGX purchase - Year 1 software credit</t>
        </is>
      </c>
    </row>
    <row r="5" ht="26" customHeight="1">
      <c r="A5" s="43" t="inlineStr">
        <is>
          <t>Professional Services</t>
        </is>
      </c>
      <c r="B5" s="44" t="inlineStr">
        <is>
          <t>Partner Services Credit</t>
        </is>
      </c>
      <c r="C5" s="46" t="n">
        <v>0</v>
      </c>
      <c r="D5" s="44" t="inlineStr">
        <is>
          <t>No professional services credits available</t>
        </is>
      </c>
    </row>
    <row r="6" ht="26" customHeight="1">
      <c r="A6" s="47" t="inlineStr">
        <is>
          <t>Facilities</t>
        </is>
      </c>
      <c r="B6" s="48" t="inlineStr">
        <is>
          <t>Infrastructure Credit</t>
        </is>
      </c>
      <c r="C6" s="50" t="n">
        <v>0</v>
      </c>
      <c r="D6" s="48" t="inlineStr">
        <is>
          <t>No facilities credits available</t>
        </is>
      </c>
    </row>
  </sheetData>
  <autoFilter ref="A2:D6"/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5" customWidth="1" min="1" max="1"/>
    <col width="15" customWidth="1" min="2" max="2"/>
    <col width="15" customWidth="1" min="3" max="3"/>
    <col width="15" customWidth="1" min="4" max="4"/>
    <col width="12" customWidth="1" min="5" max="5"/>
    <col width="12" customWidth="1" min="6" max="6"/>
    <col width="15" customWidth="1" min="7" max="7"/>
  </cols>
  <sheetData>
    <row r="1" ht="32" customHeight="1">
      <c r="A1" s="35" t="inlineStr">
        <is>
          <t>3-Year Summary</t>
        </is>
      </c>
    </row>
    <row r="2" ht="32" customHeight="1">
      <c r="A2" s="36" t="inlineStr">
        <is>
          <t>Category</t>
        </is>
      </c>
      <c r="B2" s="36" t="inlineStr">
        <is>
          <t>Year 1 List</t>
        </is>
      </c>
      <c r="C2" s="36" t="inlineStr">
        <is>
          <t>Year 1 Credits</t>
        </is>
      </c>
      <c r="D2" s="36" t="inlineStr">
        <is>
          <t>Year 1 Net</t>
        </is>
      </c>
      <c r="E2" s="36" t="inlineStr">
        <is>
          <t>Year 2</t>
        </is>
      </c>
      <c r="F2" s="36" t="inlineStr">
        <is>
          <t>Year 3</t>
        </is>
      </c>
      <c r="G2" s="36" t="inlineStr">
        <is>
          <t>3-Year Total</t>
        </is>
      </c>
    </row>
    <row r="3" ht="26" customHeight="1">
      <c r="A3" s="43" t="inlineStr">
        <is>
          <t>Hardware</t>
        </is>
      </c>
      <c r="B3" s="46">
        <f>SUMIF('Infrastructure Costs'!$A:$A,A3,'Infrastructure Costs'!$G:$G)</f>
        <v/>
      </c>
      <c r="C3" s="46">
        <f>SUMIF(Credits!$A:$A,A3,Credits!$C:$C)</f>
        <v/>
      </c>
      <c r="D3" s="46">
        <f>B3+C3</f>
        <v/>
      </c>
      <c r="E3" s="46">
        <f>SUMIF('Infrastructure Costs'!$A:$A,A3,'Infrastructure Costs'!$H:$H)</f>
        <v/>
      </c>
      <c r="F3" s="46">
        <f>SUMIF('Infrastructure Costs'!$A:$A,A3,'Infrastructure Costs'!$I:$I)</f>
        <v/>
      </c>
      <c r="G3" s="46">
        <f>D3+E3+F3</f>
        <v/>
      </c>
    </row>
    <row r="4" ht="26" customHeight="1">
      <c r="A4" s="47" t="inlineStr">
        <is>
          <t>Facilities</t>
        </is>
      </c>
      <c r="B4" s="50">
        <f>SUMIF('Infrastructure Costs'!$A:$A,A4,'Infrastructure Costs'!$G:$G)</f>
        <v/>
      </c>
      <c r="C4" s="50">
        <f>SUMIF(Credits!$A:$A,A4,Credits!$C:$C)</f>
        <v/>
      </c>
      <c r="D4" s="50">
        <f>B4+C4</f>
        <v/>
      </c>
      <c r="E4" s="50">
        <f>SUMIF('Infrastructure Costs'!$A:$A,A4,'Infrastructure Costs'!$H:$H)</f>
        <v/>
      </c>
      <c r="F4" s="50">
        <f>SUMIF('Infrastructure Costs'!$A:$A,A4,'Infrastructure Costs'!$I:$I)</f>
        <v/>
      </c>
      <c r="G4" s="50">
        <f>D4+E4+F4</f>
        <v/>
      </c>
    </row>
    <row r="5" ht="26" customHeight="1">
      <c r="A5" s="43" t="inlineStr">
        <is>
          <t>Software Licenses</t>
        </is>
      </c>
      <c r="B5" s="46">
        <f>SUMIF('Infrastructure Costs'!$A:$A,A5,'Infrastructure Costs'!$G:$G)</f>
        <v/>
      </c>
      <c r="C5" s="46">
        <f>SUMIF(Credits!$A:$A,A5,Credits!$C:$C)</f>
        <v/>
      </c>
      <c r="D5" s="46">
        <f>B5+C5</f>
        <v/>
      </c>
      <c r="E5" s="46">
        <f>SUMIF('Infrastructure Costs'!$A:$A,A5,'Infrastructure Costs'!$H:$H)</f>
        <v/>
      </c>
      <c r="F5" s="46">
        <f>SUMIF('Infrastructure Costs'!$A:$A,A5,'Infrastructure Costs'!$I:$I)</f>
        <v/>
      </c>
      <c r="G5" s="46">
        <f>D5+E5+F5</f>
        <v/>
      </c>
    </row>
    <row r="6" ht="26" customHeight="1">
      <c r="A6" s="47" t="inlineStr">
        <is>
          <t>Support &amp; Maintenance</t>
        </is>
      </c>
      <c r="B6" s="50">
        <f>SUMIF('Infrastructure Costs'!$A:$A,A6,'Infrastructure Costs'!$G:$G)</f>
        <v/>
      </c>
      <c r="C6" s="50">
        <f>SUMIF(Credits!$A:$A,A6,Credits!$C:$C)</f>
        <v/>
      </c>
      <c r="D6" s="50">
        <f>B6+C6</f>
        <v/>
      </c>
      <c r="E6" s="50">
        <f>SUMIF('Infrastructure Costs'!$A:$A,A6,'Infrastructure Costs'!$H:$H)</f>
        <v/>
      </c>
      <c r="F6" s="50">
        <f>SUMIF('Infrastructure Costs'!$A:$A,A6,'Infrastructure Costs'!$I:$I)</f>
        <v/>
      </c>
      <c r="G6" s="50">
        <f>D6+E6+F6</f>
        <v/>
      </c>
    </row>
    <row r="7" ht="26" customHeight="1">
      <c r="A7" s="43" t="inlineStr">
        <is>
          <t>Professional Services</t>
        </is>
      </c>
      <c r="B7" s="46">
        <f>SUMIF('Infrastructure Costs'!$A:$A,A7,'Infrastructure Costs'!$G:$G)</f>
        <v/>
      </c>
      <c r="C7" s="46">
        <f>SUMIF(Credits!$A:$A,A7,Credits!$C:$C)</f>
        <v/>
      </c>
      <c r="D7" s="46">
        <f>B7+C7</f>
        <v/>
      </c>
      <c r="E7" s="46">
        <f>SUMIF('Infrastructure Costs'!$A:$A,A7,'Infrastructure Costs'!$H:$H)</f>
        <v/>
      </c>
      <c r="F7" s="46">
        <f>SUMIF('Infrastructure Costs'!$A:$A,A7,'Infrastructure Costs'!$I:$I)</f>
        <v/>
      </c>
      <c r="G7" s="46">
        <f>D7+E7+F7</f>
        <v/>
      </c>
    </row>
    <row r="8" ht="26" customHeight="1">
      <c r="A8" s="51" t="inlineStr">
        <is>
          <t>TOTAL</t>
        </is>
      </c>
      <c r="B8" s="53">
        <f>SUM(B3:B7)</f>
        <v/>
      </c>
      <c r="C8" s="53">
        <f>SUM(C3:C7)</f>
        <v/>
      </c>
      <c r="D8" s="53">
        <f>SUM(D3:D7)</f>
        <v/>
      </c>
      <c r="E8" s="53">
        <f>SUM(E3:E7)</f>
        <v/>
      </c>
      <c r="F8" s="53">
        <f>SUM(F3:F7)</f>
        <v/>
      </c>
      <c r="G8" s="53">
        <f>SUM(G3:G7)</f>
        <v/>
      </c>
    </row>
  </sheetData>
  <autoFilter ref="A2:G8"/>
  <mergeCells count="1"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2025-11-16T20:54:40Z</dcterms:created>
  <dcterms:modified xmlns:dcterms="http://purl.org/dc/terms/" xmlns:xsi="http://www.w3.org/2001/XMLSchema-instance" xsi:type="dcterms:W3CDTF">2025-11-22T23:55:04Z</dcterms:modified>
  <cp:lastModifiedBy>Kishan Siram</cp:lastModifiedBy>
</cp:coreProperties>
</file>