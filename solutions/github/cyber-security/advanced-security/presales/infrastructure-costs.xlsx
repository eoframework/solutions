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Guidelines'!$A$2:$F$12</definedName>
    <definedName name="_xlnm._FilterDatabase" localSheetId="2" hidden="1">'Infrastructure Costs'!$A$2:$K$20</definedName>
    <definedName name="_xlnm._FilterDatabase" localSheetId="3" hidden="1">'Credits'!$A$2:$D$6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Advanced Security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Developer Licenses</t>
        </is>
      </c>
      <c r="B3" s="38" t="inlineStr">
        <is>
          <t>Active Developers</t>
        </is>
      </c>
      <c r="C3" s="39" t="inlineStr">
        <is>
          <t>25 developers</t>
        </is>
      </c>
      <c r="D3" s="39" t="inlineStr">
        <is>
          <t>100 developers</t>
        </is>
      </c>
      <c r="E3" s="39" t="inlineStr">
        <is>
          <t>500 developers</t>
        </is>
      </c>
      <c r="F3" s="38" t="inlineStr">
        <is>
          <t>GitHub Enterprise + GHAS pricing</t>
        </is>
      </c>
    </row>
    <row r="4" ht="26" customHeight="1">
      <c r="A4" s="40" t="inlineStr">
        <is>
          <t>Developer Licenses</t>
        </is>
      </c>
      <c r="B4" s="41" t="inlineStr">
        <is>
          <t>Active Committers</t>
        </is>
      </c>
      <c r="C4" s="42" t="inlineStr">
        <is>
          <t>20 committers</t>
        </is>
      </c>
      <c r="D4" s="42" t="inlineStr">
        <is>
          <t>80 committers</t>
        </is>
      </c>
      <c r="E4" s="42" t="inlineStr">
        <is>
          <t>400 committers</t>
        </is>
      </c>
      <c r="F4" s="41" t="inlineStr">
        <is>
          <t>GHAS pricing based on 90-day commit activity</t>
        </is>
      </c>
    </row>
    <row r="5" ht="26" customHeight="1">
      <c r="A5" s="37" t="inlineStr">
        <is>
          <t>Repository Scope</t>
        </is>
      </c>
      <c r="B5" s="38" t="inlineStr">
        <is>
          <t>Total Repositories</t>
        </is>
      </c>
      <c r="C5" s="39" t="inlineStr">
        <is>
          <t>50 repositories</t>
        </is>
      </c>
      <c r="D5" s="39" t="inlineStr">
        <is>
          <t>200 repositories</t>
        </is>
      </c>
      <c r="E5" s="39" t="inlineStr">
        <is>
          <t>1000 repositories</t>
        </is>
      </c>
      <c r="F5" s="38" t="inlineStr">
        <is>
          <t>Code scanning coverage</t>
        </is>
      </c>
    </row>
    <row r="6" ht="26" customHeight="1">
      <c r="A6" s="40" t="inlineStr">
        <is>
          <t>Security Scanning</t>
        </is>
      </c>
      <c r="B6" s="41" t="inlineStr">
        <is>
          <t>Code Scanning Frequency</t>
        </is>
      </c>
      <c r="C6" s="42" t="inlineStr">
        <is>
          <t>Per pull request</t>
        </is>
      </c>
      <c r="D6" s="42" t="inlineStr">
        <is>
          <t>Per commit</t>
        </is>
      </c>
      <c r="E6" s="42" t="inlineStr">
        <is>
          <t>Continuous</t>
        </is>
      </c>
      <c r="F6" s="41" t="inlineStr">
        <is>
          <t>CodeQL analysis frequency</t>
        </is>
      </c>
    </row>
    <row r="7" ht="26" customHeight="1">
      <c r="A7" s="37" t="inlineStr">
        <is>
          <t>Security Scanning</t>
        </is>
      </c>
      <c r="B7" s="38" t="inlineStr">
        <is>
          <t>Languages Supported</t>
        </is>
      </c>
      <c r="C7" s="39" t="inlineStr">
        <is>
          <t>2-3 languages</t>
        </is>
      </c>
      <c r="D7" s="39" t="inlineStr">
        <is>
          <t>5-7 languages</t>
        </is>
      </c>
      <c r="E7" s="39" t="inlineStr">
        <is>
          <t>10+ languages</t>
        </is>
      </c>
      <c r="F7" s="38" t="inlineStr">
        <is>
          <t>JavaScript Python Java C# Go Ruby etc</t>
        </is>
      </c>
    </row>
    <row r="8" ht="26" customHeight="1">
      <c r="A8" s="40" t="inlineStr">
        <is>
          <t>Security Features</t>
        </is>
      </c>
      <c r="B8" s="41" t="inlineStr">
        <is>
          <t>CodeQL Queries</t>
        </is>
      </c>
      <c r="C8" s="42" t="inlineStr">
        <is>
          <t>Standard queries</t>
        </is>
      </c>
      <c r="D8" s="42" t="inlineStr">
        <is>
          <t>+ Custom queries</t>
        </is>
      </c>
      <c r="E8" s="42" t="inlineStr">
        <is>
          <t>+ Advanced patterns</t>
        </is>
      </c>
      <c r="F8" s="41" t="inlineStr">
        <is>
          <t>Security policy enforcement</t>
        </is>
      </c>
    </row>
    <row r="9" ht="26" customHeight="1">
      <c r="A9" s="37" t="inlineStr">
        <is>
          <t>Security Features</t>
        </is>
      </c>
      <c r="B9" s="38" t="inlineStr">
        <is>
          <t>Secret Scanning</t>
        </is>
      </c>
      <c r="C9" s="39" t="inlineStr">
        <is>
          <t>Partner patterns</t>
        </is>
      </c>
      <c r="D9" s="39" t="inlineStr">
        <is>
          <t>+ Custom patterns</t>
        </is>
      </c>
      <c r="E9" s="39" t="inlineStr">
        <is>
          <t>+ Push protection</t>
        </is>
      </c>
      <c r="F9" s="38" t="inlineStr">
        <is>
          <t>API keys tokens credentials</t>
        </is>
      </c>
    </row>
    <row r="10" ht="26" customHeight="1">
      <c r="A10" s="40" t="inlineStr">
        <is>
          <t>Security Features</t>
        </is>
      </c>
      <c r="B10" s="41" t="inlineStr">
        <is>
          <t>Dependency Scanning</t>
        </is>
      </c>
      <c r="C10" s="42" t="inlineStr">
        <is>
          <t>Basic SCA</t>
        </is>
      </c>
      <c r="D10" s="42" t="inlineStr">
        <is>
          <t>+ Policy enforcement</t>
        </is>
      </c>
      <c r="E10" s="42" t="inlineStr">
        <is>
          <t>+ Auto-remediation</t>
        </is>
      </c>
      <c r="F10" s="41" t="inlineStr">
        <is>
          <t>Dependabot alerts and updates</t>
        </is>
      </c>
    </row>
    <row r="11" ht="26" customHeight="1">
      <c r="A11" s="37" t="inlineStr">
        <is>
          <t>CI/CD Integration</t>
        </is>
      </c>
      <c r="B11" s="38" t="inlineStr">
        <is>
          <t>GitHub Actions Minutes</t>
        </is>
      </c>
      <c r="C11" s="39" t="inlineStr">
        <is>
          <t>10K minutes/month</t>
        </is>
      </c>
      <c r="D11" s="39" t="inlineStr">
        <is>
          <t>50K minutes/month</t>
        </is>
      </c>
      <c r="E11" s="39" t="inlineStr">
        <is>
          <t>200K+ minutes/month</t>
        </is>
      </c>
      <c r="F11" s="38" t="inlineStr">
        <is>
          <t>Included in Enterprise Cloud</t>
        </is>
      </c>
    </row>
    <row r="12" ht="26" customHeight="1">
      <c r="A12" s="40" t="inlineStr">
        <is>
          <t>Professional Services</t>
        </is>
      </c>
      <c r="B12" s="41" t="inlineStr">
        <is>
          <t>Implementation Hours</t>
        </is>
      </c>
      <c r="C12" s="42" t="inlineStr">
        <is>
          <t>40 hours</t>
        </is>
      </c>
      <c r="D12" s="42" t="inlineStr">
        <is>
          <t>120 hours</t>
        </is>
      </c>
      <c r="E12" s="42" t="inlineStr">
        <is>
          <t>300 hours</t>
        </is>
      </c>
      <c r="F12" s="41" t="inlineStr">
        <is>
          <t>Assessment integration training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Software Licenses</t>
        </is>
      </c>
      <c r="B3" s="44" t="inlineStr">
        <is>
          <t>GitHub Enterprise Cloud</t>
        </is>
      </c>
      <c r="C3" s="44" t="inlineStr">
        <is>
          <t>Enterprise Cloud with Advanced Security (100 users)</t>
        </is>
      </c>
      <c r="D3" s="45" t="n">
        <v>100</v>
      </c>
      <c r="E3" s="44" t="inlineStr">
        <is>
          <t>Users/Year</t>
        </is>
      </c>
      <c r="F3" s="46" t="n">
        <v>4200</v>
      </c>
      <c r="G3" s="46">
        <f>D3*F3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Includes GHAS code scanning secret scanning</t>
        </is>
      </c>
    </row>
    <row r="4" ht="26" customHeight="1">
      <c r="A4" s="47" t="inlineStr">
        <is>
          <t>Software Licenses</t>
        </is>
      </c>
      <c r="B4" s="48" t="inlineStr">
        <is>
          <t>GitHub Actions Minutes</t>
        </is>
      </c>
      <c r="C4" s="48" t="inlineStr">
        <is>
          <t>Included compute minutes for CI/CD workflows</t>
        </is>
      </c>
      <c r="D4" s="49" t="n">
        <v>50000</v>
      </c>
      <c r="E4" s="48" t="inlineStr">
        <is>
          <t>Minutes/Month</t>
        </is>
      </c>
      <c r="F4" s="50" t="n">
        <v>0</v>
      </c>
      <c r="G4" s="50">
        <f>D4*F4*12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Included with Enterprise Cloud</t>
        </is>
      </c>
    </row>
    <row r="5" ht="26" customHeight="1">
      <c r="A5" s="43" t="inlineStr">
        <is>
          <t>Software Licenses</t>
        </is>
      </c>
      <c r="B5" s="44" t="inlineStr">
        <is>
          <t>GitHub Packages Storage</t>
        </is>
      </c>
      <c r="C5" s="44" t="inlineStr">
        <is>
          <t>Package registry storage for artifacts (100 GB)</t>
        </is>
      </c>
      <c r="D5" s="45" t="n">
        <v>100</v>
      </c>
      <c r="E5" s="44" t="inlineStr">
        <is>
          <t>GB/Month</t>
        </is>
      </c>
      <c r="F5" s="46" t="n">
        <v>0.25</v>
      </c>
      <c r="G5" s="46">
        <f>D5*F5*12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Docker npm Maven NuGet packages</t>
        </is>
      </c>
    </row>
    <row r="6" ht="26" customHeight="1">
      <c r="A6" s="47" t="inlineStr">
        <is>
          <t>Software Licenses</t>
        </is>
      </c>
      <c r="B6" s="48" t="inlineStr">
        <is>
          <t>GitHub LFS Storage</t>
        </is>
      </c>
      <c r="C6" s="48" t="inlineStr">
        <is>
          <t>Large file storage for binaries (50 GB)</t>
        </is>
      </c>
      <c r="D6" s="49" t="n">
        <v>50</v>
      </c>
      <c r="E6" s="48" t="inlineStr">
        <is>
          <t>GB/Month</t>
        </is>
      </c>
      <c r="F6" s="50" t="n">
        <v>0.07000000000000001</v>
      </c>
      <c r="G6" s="50">
        <f>D6*F6*12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Binary assets and large files</t>
        </is>
      </c>
    </row>
    <row r="7" ht="26" customHeight="1">
      <c r="A7" s="43" t="inlineStr">
        <is>
          <t>Professional Services</t>
        </is>
      </c>
      <c r="B7" s="44" t="inlineStr">
        <is>
          <t>Security Assessment</t>
        </is>
      </c>
      <c r="C7" s="44" t="inlineStr">
        <is>
          <t>Current state security posture assessment</t>
        </is>
      </c>
      <c r="D7" s="45" t="n">
        <v>40</v>
      </c>
      <c r="E7" s="44" t="inlineStr">
        <is>
          <t>Hours</t>
        </is>
      </c>
      <c r="F7" s="46" t="n">
        <v>225</v>
      </c>
      <c r="G7" s="46">
        <f>D7*F7</f>
        <v/>
      </c>
      <c r="H7" s="46">
        <f>0</f>
        <v/>
      </c>
      <c r="I7" s="46">
        <f>0</f>
        <v/>
      </c>
      <c r="J7" s="46">
        <f>G7+H7+I7</f>
        <v/>
      </c>
      <c r="K7" s="44" t="inlineStr">
        <is>
          <t>Vulnerability landscape analysis</t>
        </is>
      </c>
    </row>
    <row r="8" ht="26" customHeight="1">
      <c r="A8" s="47" t="inlineStr">
        <is>
          <t>Professional Services</t>
        </is>
      </c>
      <c r="B8" s="48" t="inlineStr">
        <is>
          <t>GHAS Implementation</t>
        </is>
      </c>
      <c r="C8" s="48" t="inlineStr">
        <is>
          <t>GitHub Advanced Security setup and configuration</t>
        </is>
      </c>
      <c r="D8" s="49" t="n">
        <v>60</v>
      </c>
      <c r="E8" s="48" t="inlineStr">
        <is>
          <t>Hours</t>
        </is>
      </c>
      <c r="F8" s="50" t="n">
        <v>225</v>
      </c>
      <c r="G8" s="50">
        <f>D8*F8</f>
        <v/>
      </c>
      <c r="H8" s="50">
        <f>0</f>
        <v/>
      </c>
      <c r="I8" s="50">
        <f>0</f>
        <v/>
      </c>
      <c r="J8" s="50">
        <f>G8+H8+I8</f>
        <v/>
      </c>
      <c r="K8" s="48" t="inlineStr">
        <is>
          <t>Code scanning secret scanning setup</t>
        </is>
      </c>
    </row>
    <row r="9" ht="26" customHeight="1">
      <c r="A9" s="43" t="inlineStr">
        <is>
          <t>Professional Services</t>
        </is>
      </c>
      <c r="B9" s="44" t="inlineStr">
        <is>
          <t>CodeQL Custom Queries</t>
        </is>
      </c>
      <c r="C9" s="44" t="inlineStr">
        <is>
          <t>Custom CodeQL query development for org-specific patterns</t>
        </is>
      </c>
      <c r="D9" s="45" t="n">
        <v>60</v>
      </c>
      <c r="E9" s="44" t="inlineStr">
        <is>
          <t>Hours</t>
        </is>
      </c>
      <c r="F9" s="46" t="n">
        <v>225</v>
      </c>
      <c r="G9" s="46">
        <f>D9*F9</f>
        <v/>
      </c>
      <c r="H9" s="46">
        <f>0</f>
        <v/>
      </c>
      <c r="I9" s="46">
        <f>0</f>
        <v/>
      </c>
      <c r="J9" s="46">
        <f>G9+H9+I9</f>
        <v/>
      </c>
      <c r="K9" s="44" t="inlineStr">
        <is>
          <t>Company security policies</t>
        </is>
      </c>
    </row>
    <row r="10" ht="26" customHeight="1">
      <c r="A10" s="47" t="inlineStr">
        <is>
          <t>Professional Services</t>
        </is>
      </c>
      <c r="B10" s="48" t="inlineStr">
        <is>
          <t>Policy Configuration</t>
        </is>
      </c>
      <c r="C10" s="48" t="inlineStr">
        <is>
          <t>Security policies branch protection PR checks</t>
        </is>
      </c>
      <c r="D10" s="49" t="n">
        <v>30</v>
      </c>
      <c r="E10" s="48" t="inlineStr">
        <is>
          <t>Hours</t>
        </is>
      </c>
      <c r="F10" s="50" t="n">
        <v>200</v>
      </c>
      <c r="G10" s="50">
        <f>D10*F10</f>
        <v/>
      </c>
      <c r="H10" s="50">
        <f>0</f>
        <v/>
      </c>
      <c r="I10" s="50">
        <f>0</f>
        <v/>
      </c>
      <c r="J10" s="50">
        <f>G10+H10+I10</f>
        <v/>
      </c>
      <c r="K10" s="48" t="inlineStr">
        <is>
          <t>Merge blocking and approval rules</t>
        </is>
      </c>
    </row>
    <row r="11" ht="26" customHeight="1">
      <c r="A11" s="43" t="inlineStr">
        <is>
          <t>Professional Services</t>
        </is>
      </c>
      <c r="B11" s="44" t="inlineStr">
        <is>
          <t>CI/CD Integration</t>
        </is>
      </c>
      <c r="C11" s="44" t="inlineStr">
        <is>
          <t>GitHub Actions workflow integration with scanning</t>
        </is>
      </c>
      <c r="D11" s="45" t="n">
        <v>40</v>
      </c>
      <c r="E11" s="44" t="inlineStr">
        <is>
          <t>Hours</t>
        </is>
      </c>
      <c r="F11" s="46" t="n">
        <v>200</v>
      </c>
      <c r="G11" s="46">
        <f>D11*F11</f>
        <v/>
      </c>
      <c r="H11" s="46">
        <f>0</f>
        <v/>
      </c>
      <c r="I11" s="46">
        <f>0</f>
        <v/>
      </c>
      <c r="J11" s="46">
        <f>G11+H11+I11</f>
        <v/>
      </c>
      <c r="K11" s="44" t="inlineStr">
        <is>
          <t>Automated security in pipelines</t>
        </is>
      </c>
    </row>
    <row r="12" ht="26" customHeight="1">
      <c r="A12" s="47" t="inlineStr">
        <is>
          <t>Professional Services</t>
        </is>
      </c>
      <c r="B12" s="48" t="inlineStr">
        <is>
          <t>SIEM Integration</t>
        </is>
      </c>
      <c r="C12" s="48" t="inlineStr">
        <is>
          <t>Integration with Splunk Azure Sentinel</t>
        </is>
      </c>
      <c r="D12" s="49" t="n">
        <v>24</v>
      </c>
      <c r="E12" s="48" t="inlineStr">
        <is>
          <t>Hours</t>
        </is>
      </c>
      <c r="F12" s="50" t="n">
        <v>225</v>
      </c>
      <c r="G12" s="50">
        <f>D12*F12</f>
        <v/>
      </c>
      <c r="H12" s="50">
        <f>0</f>
        <v/>
      </c>
      <c r="I12" s="50">
        <f>0</f>
        <v/>
      </c>
      <c r="J12" s="50">
        <f>G12+H12+I12</f>
        <v/>
      </c>
      <c r="K12" s="48" t="inlineStr">
        <is>
          <t>Security event forwarding</t>
        </is>
      </c>
    </row>
    <row r="13" ht="26" customHeight="1">
      <c r="A13" s="43" t="inlineStr">
        <is>
          <t>Professional Services</t>
        </is>
      </c>
      <c r="B13" s="44" t="inlineStr">
        <is>
          <t>Security Champion Training</t>
        </is>
      </c>
      <c r="C13" s="44" t="inlineStr">
        <is>
          <t>Train security champions on GHAS (8 champions)</t>
        </is>
      </c>
      <c r="D13" s="45" t="n">
        <v>16</v>
      </c>
      <c r="E13" s="44" t="inlineStr">
        <is>
          <t>Hours</t>
        </is>
      </c>
      <c r="F13" s="46" t="n">
        <v>175</v>
      </c>
      <c r="G13" s="46">
        <f>D13*F13</f>
        <v/>
      </c>
      <c r="H13" s="46">
        <f>0</f>
        <v/>
      </c>
      <c r="I13" s="46">
        <f>0</f>
        <v/>
      </c>
      <c r="J13" s="46">
        <f>G13+H13+I13</f>
        <v/>
      </c>
      <c r="K13" s="44" t="inlineStr">
        <is>
          <t>2 days training for champions</t>
        </is>
      </c>
    </row>
    <row r="14" ht="26" customHeight="1">
      <c r="A14" s="47" t="inlineStr">
        <is>
          <t>Professional Services</t>
        </is>
      </c>
      <c r="B14" s="48" t="inlineStr">
        <is>
          <t>Developer Training</t>
        </is>
      </c>
      <c r="C14" s="48" t="inlineStr">
        <is>
          <t>Developer workshops on fixing vulnerabilities</t>
        </is>
      </c>
      <c r="D14" s="49" t="n">
        <v>24</v>
      </c>
      <c r="E14" s="48" t="inlineStr">
        <is>
          <t>Hours</t>
        </is>
      </c>
      <c r="F14" s="50" t="n">
        <v>175</v>
      </c>
      <c r="G14" s="50">
        <f>D14*F14</f>
        <v/>
      </c>
      <c r="H14" s="50">
        <f>0</f>
        <v/>
      </c>
      <c r="I14" s="50">
        <f>0</f>
        <v/>
      </c>
      <c r="J14" s="50">
        <f>G14+H14+I14</f>
        <v/>
      </c>
      <c r="K14" s="48" t="inlineStr">
        <is>
          <t>3 days training for dev teams</t>
        </is>
      </c>
    </row>
    <row r="15" ht="26" customHeight="1">
      <c r="A15" s="43" t="inlineStr">
        <is>
          <t>Professional Services</t>
        </is>
      </c>
      <c r="B15" s="44" t="inlineStr">
        <is>
          <t>Administrator Training</t>
        </is>
      </c>
      <c r="C15" s="44" t="inlineStr">
        <is>
          <t>Platform admin training for GHAS management</t>
        </is>
      </c>
      <c r="D15" s="45" t="n">
        <v>8</v>
      </c>
      <c r="E15" s="44" t="inlineStr">
        <is>
          <t>Hours</t>
        </is>
      </c>
      <c r="F15" s="46" t="n">
        <v>175</v>
      </c>
      <c r="G15" s="46">
        <f>D15*F15</f>
        <v/>
      </c>
      <c r="H15" s="46">
        <f>0</f>
        <v/>
      </c>
      <c r="I15" s="46">
        <f>0</f>
        <v/>
      </c>
      <c r="J15" s="46">
        <f>G15+H15+I15</f>
        <v/>
      </c>
      <c r="K15" s="44" t="inlineStr">
        <is>
          <t>1 day training for admins</t>
        </is>
      </c>
    </row>
    <row r="16" ht="26" customHeight="1">
      <c r="A16" s="47" t="inlineStr">
        <is>
          <t>Third-Party Tools</t>
        </is>
      </c>
      <c r="B16" s="48" t="inlineStr">
        <is>
          <t>Vulnerability Database</t>
        </is>
      </c>
      <c r="C16" s="48" t="inlineStr">
        <is>
          <t>CVE database and threat intelligence feeds</t>
        </is>
      </c>
      <c r="D16" s="49" t="n">
        <v>1</v>
      </c>
      <c r="E16" s="48" t="inlineStr">
        <is>
          <t>Subscription/Year</t>
        </is>
      </c>
      <c r="F16" s="50" t="n">
        <v>5000</v>
      </c>
      <c r="G16" s="50">
        <f>D16*F16</f>
        <v/>
      </c>
      <c r="H16" s="50">
        <f>G16</f>
        <v/>
      </c>
      <c r="I16" s="50">
        <f>G16</f>
        <v/>
      </c>
      <c r="J16" s="50">
        <f>G16+H16+I16</f>
        <v/>
      </c>
      <c r="K16" s="48" t="inlineStr">
        <is>
          <t>Enhanced vulnerability data</t>
        </is>
      </c>
    </row>
    <row r="17" ht="26" customHeight="1">
      <c r="A17" s="43" t="inlineStr">
        <is>
          <t>Third-Party Tools</t>
        </is>
      </c>
      <c r="B17" s="44" t="inlineStr">
        <is>
          <t>Code Quality Analysis</t>
        </is>
      </c>
      <c r="C17" s="44" t="inlineStr">
        <is>
          <t>SonarQube Developer Edition (100 users)</t>
        </is>
      </c>
      <c r="D17" s="45" t="n">
        <v>100</v>
      </c>
      <c r="E17" s="44" t="inlineStr">
        <is>
          <t>Users/Year</t>
        </is>
      </c>
      <c r="F17" s="46" t="n">
        <v>150</v>
      </c>
      <c r="G17" s="46">
        <f>D17*F17</f>
        <v/>
      </c>
      <c r="H17" s="46">
        <f>G17</f>
        <v/>
      </c>
      <c r="I17" s="46">
        <f>G17</f>
        <v/>
      </c>
      <c r="J17" s="46">
        <f>G17+H17+I17</f>
        <v/>
      </c>
      <c r="K17" s="44" t="inlineStr">
        <is>
          <t>Complementary code quality</t>
        </is>
      </c>
    </row>
    <row r="18" ht="26" customHeight="1">
      <c r="A18" s="47" t="inlineStr">
        <is>
          <t>Support &amp; Maintenance</t>
        </is>
      </c>
      <c r="B18" s="48" t="inlineStr">
        <is>
          <t>GitHub Premium Support</t>
        </is>
      </c>
      <c r="C18" s="48" t="inlineStr">
        <is>
          <t>24x7 premium support with 1-hour response SLA</t>
        </is>
      </c>
      <c r="D18" s="49" t="n">
        <v>1</v>
      </c>
      <c r="E18" s="48" t="inlineStr">
        <is>
          <t>Service/Year</t>
        </is>
      </c>
      <c r="F18" s="50" t="n">
        <v>25000</v>
      </c>
      <c r="G18" s="50">
        <f>D18*F18</f>
        <v/>
      </c>
      <c r="H18" s="50">
        <f>G18</f>
        <v/>
      </c>
      <c r="I18" s="50">
        <f>G18</f>
        <v/>
      </c>
      <c r="J18" s="50">
        <f>G18+H18+I18</f>
        <v/>
      </c>
      <c r="K18" s="48" t="inlineStr">
        <is>
          <t>Enterprise-grade support</t>
        </is>
      </c>
    </row>
    <row r="19" ht="26" customHeight="1">
      <c r="A19" s="43" t="inlineStr">
        <is>
          <t>Support &amp; Maintenance</t>
        </is>
      </c>
      <c r="B19" s="44" t="inlineStr">
        <is>
          <t>Managed Services</t>
        </is>
      </c>
      <c r="C19" s="44" t="inlineStr">
        <is>
          <t>Ongoing GHAS management and optimization (10% of licenses)</t>
        </is>
      </c>
      <c r="D19" s="45" t="n">
        <v>1</v>
      </c>
      <c r="E19" s="44" t="inlineStr">
        <is>
          <t>Service/Year</t>
        </is>
      </c>
      <c r="F19" s="46" t="n">
        <v>42000</v>
      </c>
      <c r="G19" s="46">
        <f>D19*F19</f>
        <v/>
      </c>
      <c r="H19" s="46">
        <f>G19</f>
        <v/>
      </c>
      <c r="I19" s="46">
        <f>G19</f>
        <v/>
      </c>
      <c r="J19" s="46">
        <f>G19+H19+I19</f>
        <v/>
      </c>
      <c r="K19" s="44" t="inlineStr">
        <is>
          <t>Quarterly security reviews</t>
        </is>
      </c>
    </row>
    <row r="20" ht="26" customHeight="1">
      <c r="A20" s="51" t="inlineStr">
        <is>
          <t>TOTAL</t>
        </is>
      </c>
      <c r="B20" s="52" t="n"/>
      <c r="C20" s="52" t="n"/>
      <c r="D20" s="52" t="n"/>
      <c r="E20" s="52" t="n"/>
      <c r="F20" s="52" t="n"/>
      <c r="G20" s="53">
        <f>SUM(G3:G19)</f>
        <v/>
      </c>
      <c r="H20" s="53">
        <f>SUM(H3:H19)</f>
        <v/>
      </c>
      <c r="I20" s="53">
        <f>SUM(I3:I19)</f>
        <v/>
      </c>
      <c r="J20" s="53">
        <f>SUM(J3:J19)</f>
        <v/>
      </c>
      <c r="K20" s="52" t="n"/>
    </row>
  </sheetData>
  <autoFilter ref="A2:K20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Software Licenses</t>
        </is>
      </c>
      <c r="B3" s="44" t="inlineStr">
        <is>
          <t>GitHub Enterprise Credit</t>
        </is>
      </c>
      <c r="C3" s="46" t="n">
        <v>0</v>
      </c>
      <c r="D3" s="44" t="inlineStr">
        <is>
          <t>No discounts applied - list pricing</t>
        </is>
      </c>
    </row>
    <row r="4" ht="26" customHeight="1">
      <c r="A4" s="47" t="inlineStr">
        <is>
          <t>Professional Services</t>
        </is>
      </c>
      <c r="B4" s="48" t="inlineStr">
        <is>
          <t>Implementation Credit</t>
        </is>
      </c>
      <c r="C4" s="50" t="n">
        <v>0</v>
      </c>
      <c r="D4" s="48" t="inlineStr">
        <is>
          <t>No professional services credits</t>
        </is>
      </c>
    </row>
    <row r="5" ht="26" customHeight="1">
      <c r="A5" s="43" t="inlineStr">
        <is>
          <t>Third-Party Tools</t>
        </is>
      </c>
      <c r="B5" s="44" t="inlineStr">
        <is>
          <t>Partner Credit</t>
        </is>
      </c>
      <c r="C5" s="46" t="n">
        <v>0</v>
      </c>
      <c r="D5" s="44" t="inlineStr">
        <is>
          <t>No third-party tool credits</t>
        </is>
      </c>
    </row>
    <row r="6" ht="26" customHeight="1">
      <c r="A6" s="47" t="inlineStr">
        <is>
          <t>Support &amp; Maintenance</t>
        </is>
      </c>
      <c r="B6" s="48" t="inlineStr">
        <is>
          <t>Support Credit</t>
        </is>
      </c>
      <c r="C6" s="50" t="n">
        <v>0</v>
      </c>
      <c r="D6" s="48" t="inlineStr">
        <is>
          <t>No support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Software Licenses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Professional Services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Third-Party Tools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Support &amp; Maintenance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**TOTAL INVESTMENT**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2025-11-22T18:55:01Z</dcterms:modified>
  <cp:lastModifiedBy>Kishan Siram</cp:lastModifiedBy>
</cp:coreProperties>
</file>