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3-Year Summary" sheetId="5" state="visible" r:id="rId5"/>
  </sheets>
  <definedNames>
    <definedName name="_xlnm._FilterDatabase" localSheetId="1" hidden="1">'Sizing Guidelines'!$A$2:$F$12</definedName>
    <definedName name="_xlnm._FilterDatabase" localSheetId="2" hidden="1">'Infrastructure Costs'!$A$2:$K$11</definedName>
    <definedName name="_xlnm._FilterDatabase" localSheetId="3" hidden="1">'Credits'!$A$2:$D$6</definedName>
    <definedName name="_xlnm._FilterDatabase" localSheetId="4" hidden="1">'3-Year Summary'!$A$2:$G$6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.0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5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left" vertical="center" wrapText="1" indent="1"/>
    </xf>
    <xf numFmtId="0" fontId="17" fillId="4" borderId="5" applyAlignment="1" pivotButton="0" quotePrefix="0" xfId="0">
      <alignment horizontal="left" vertical="center" wrapText="1" indent="1"/>
    </xf>
    <xf numFmtId="3" fontId="17" fillId="4" borderId="5" applyAlignment="1" pivotButton="0" quotePrefix="0" xfId="0">
      <alignment horizontal="right" vertical="center" wrapText="1"/>
    </xf>
    <xf numFmtId="165" fontId="17" fillId="4" borderId="5" applyAlignment="1" pivotButton="0" quotePrefix="0" xfId="0">
      <alignment horizontal="right" vertical="center" wrapText="1"/>
    </xf>
    <xf numFmtId="0" fontId="18" fillId="10" borderId="5" applyAlignment="1" pivotButton="0" quotePrefix="0" xfId="0">
      <alignment horizontal="left" vertical="center" wrapText="1" indent="1"/>
    </xf>
    <xf numFmtId="0" fontId="17" fillId="10" borderId="5" applyAlignment="1" pivotButton="0" quotePrefix="0" xfId="0">
      <alignment horizontal="left" vertical="center" wrapText="1" indent="1"/>
    </xf>
    <xf numFmtId="3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right" vertical="center" wrapText="1"/>
    </xf>
    <xf numFmtId="0" fontId="19" fillId="5" borderId="5" applyAlignment="1" pivotButton="0" quotePrefix="0" xfId="0">
      <alignment horizontal="left" vertical="center"/>
    </xf>
    <xf numFmtId="0" fontId="19" fillId="5" borderId="5" applyAlignment="1" pivotButton="0" quotePrefix="0" xfId="0">
      <alignment horizontal="center" vertical="center"/>
    </xf>
    <xf numFmtId="165" fontId="19" fillId="5" borderId="5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Infrastructure Costs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24, 2025</t>
        </is>
      </c>
    </row>
    <row r="8" ht="18" customHeight="1">
      <c r="B8" s="2" t="inlineStr">
        <is>
          <t>Customer:</t>
        </is>
      </c>
      <c r="C8" s="3" t="inlineStr">
        <is>
          <t>Advanced Security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28" customWidth="1" min="5" max="5"/>
    <col width="51" customWidth="1" min="6" max="6"/>
  </cols>
  <sheetData>
    <row r="1" ht="32" customHeight="1">
      <c r="A1" s="35" t="inlineStr">
        <is>
          <t>Sizing Guidelines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Small</t>
        </is>
      </c>
      <c r="D2" s="36" t="inlineStr">
        <is>
          <t>Medium</t>
        </is>
      </c>
      <c r="E2" s="36" t="inlineStr">
        <is>
          <t>Large</t>
        </is>
      </c>
      <c r="F2" s="36" t="inlineStr">
        <is>
          <t>Notes</t>
        </is>
      </c>
    </row>
    <row r="3" ht="26" customHeight="1">
      <c r="A3" s="37" t="inlineStr">
        <is>
          <t>Developer Licenses</t>
        </is>
      </c>
      <c r="B3" s="38" t="inlineStr">
        <is>
          <t>Active Developers</t>
        </is>
      </c>
      <c r="C3" s="39" t="inlineStr">
        <is>
          <t>25 developers</t>
        </is>
      </c>
      <c r="D3" s="39" t="inlineStr">
        <is>
          <t>100 developers</t>
        </is>
      </c>
      <c r="E3" s="39" t="inlineStr">
        <is>
          <t>500 developers</t>
        </is>
      </c>
      <c r="F3" s="38" t="inlineStr">
        <is>
          <t>GitHub Enterprise + GHAS pricing</t>
        </is>
      </c>
    </row>
    <row r="4" ht="26" customHeight="1">
      <c r="A4" s="40" t="inlineStr">
        <is>
          <t>Developer Licenses</t>
        </is>
      </c>
      <c r="B4" s="41" t="inlineStr">
        <is>
          <t>Active Committers</t>
        </is>
      </c>
      <c r="C4" s="42" t="inlineStr">
        <is>
          <t>20 committers</t>
        </is>
      </c>
      <c r="D4" s="42" t="inlineStr">
        <is>
          <t>80 committers</t>
        </is>
      </c>
      <c r="E4" s="42" t="inlineStr">
        <is>
          <t>400 committers</t>
        </is>
      </c>
      <c r="F4" s="41" t="inlineStr">
        <is>
          <t>GHAS pricing based on 90-day commit activity</t>
        </is>
      </c>
    </row>
    <row r="5" ht="26" customHeight="1">
      <c r="A5" s="37" t="inlineStr">
        <is>
          <t>Repository Scope</t>
        </is>
      </c>
      <c r="B5" s="38" t="inlineStr">
        <is>
          <t>Total Repositories</t>
        </is>
      </c>
      <c r="C5" s="39" t="inlineStr">
        <is>
          <t>50 repositories</t>
        </is>
      </c>
      <c r="D5" s="39" t="inlineStr">
        <is>
          <t>200 repositories</t>
        </is>
      </c>
      <c r="E5" s="39" t="inlineStr">
        <is>
          <t>1000 repositories</t>
        </is>
      </c>
      <c r="F5" s="38" t="inlineStr">
        <is>
          <t>Code scanning coverage</t>
        </is>
      </c>
    </row>
    <row r="6" ht="26" customHeight="1">
      <c r="A6" s="40" t="inlineStr">
        <is>
          <t>Security Scanning</t>
        </is>
      </c>
      <c r="B6" s="41" t="inlineStr">
        <is>
          <t>Code Scanning Frequency</t>
        </is>
      </c>
      <c r="C6" s="42" t="inlineStr">
        <is>
          <t>Per pull request</t>
        </is>
      </c>
      <c r="D6" s="42" t="inlineStr">
        <is>
          <t>Per commit</t>
        </is>
      </c>
      <c r="E6" s="42" t="inlineStr">
        <is>
          <t>Continuous</t>
        </is>
      </c>
      <c r="F6" s="41" t="inlineStr">
        <is>
          <t>CodeQL analysis frequency</t>
        </is>
      </c>
    </row>
    <row r="7" ht="26" customHeight="1">
      <c r="A7" s="37" t="inlineStr">
        <is>
          <t>Security Scanning</t>
        </is>
      </c>
      <c r="B7" s="38" t="inlineStr">
        <is>
          <t>Languages Supported</t>
        </is>
      </c>
      <c r="C7" s="39" t="inlineStr">
        <is>
          <t>2-3 languages</t>
        </is>
      </c>
      <c r="D7" s="39" t="inlineStr">
        <is>
          <t>5-7 languages</t>
        </is>
      </c>
      <c r="E7" s="39" t="inlineStr">
        <is>
          <t>10+ languages</t>
        </is>
      </c>
      <c r="F7" s="38" t="inlineStr">
        <is>
          <t>JavaScript Python Java C# Go Ruby etc</t>
        </is>
      </c>
    </row>
    <row r="8" ht="26" customHeight="1">
      <c r="A8" s="40" t="inlineStr">
        <is>
          <t>Security Features</t>
        </is>
      </c>
      <c r="B8" s="41" t="inlineStr">
        <is>
          <t>CodeQL Queries</t>
        </is>
      </c>
      <c r="C8" s="42" t="inlineStr">
        <is>
          <t>Standard queries</t>
        </is>
      </c>
      <c r="D8" s="42" t="inlineStr">
        <is>
          <t>+ Custom queries</t>
        </is>
      </c>
      <c r="E8" s="42" t="inlineStr">
        <is>
          <t>+ Advanced patterns</t>
        </is>
      </c>
      <c r="F8" s="41" t="inlineStr">
        <is>
          <t>Security policy enforcement</t>
        </is>
      </c>
    </row>
    <row r="9" ht="26" customHeight="1">
      <c r="A9" s="37" t="inlineStr">
        <is>
          <t>Security Features</t>
        </is>
      </c>
      <c r="B9" s="38" t="inlineStr">
        <is>
          <t>Secret Scanning</t>
        </is>
      </c>
      <c r="C9" s="39" t="inlineStr">
        <is>
          <t>Partner patterns</t>
        </is>
      </c>
      <c r="D9" s="39" t="inlineStr">
        <is>
          <t>+ Custom patterns</t>
        </is>
      </c>
      <c r="E9" s="39" t="inlineStr">
        <is>
          <t>+ Push protection</t>
        </is>
      </c>
      <c r="F9" s="38" t="inlineStr">
        <is>
          <t>API keys tokens credentials</t>
        </is>
      </c>
    </row>
    <row r="10" ht="26" customHeight="1">
      <c r="A10" s="40" t="inlineStr">
        <is>
          <t>Security Features</t>
        </is>
      </c>
      <c r="B10" s="41" t="inlineStr">
        <is>
          <t>Dependency Scanning</t>
        </is>
      </c>
      <c r="C10" s="42" t="inlineStr">
        <is>
          <t>Basic SCA</t>
        </is>
      </c>
      <c r="D10" s="42" t="inlineStr">
        <is>
          <t>+ Policy enforcement</t>
        </is>
      </c>
      <c r="E10" s="42" t="inlineStr">
        <is>
          <t>+ Auto-remediation</t>
        </is>
      </c>
      <c r="F10" s="41" t="inlineStr">
        <is>
          <t>Dependabot alerts and updates</t>
        </is>
      </c>
    </row>
    <row r="11" ht="26" customHeight="1">
      <c r="A11" s="37" t="inlineStr">
        <is>
          <t>CI/CD Integration</t>
        </is>
      </c>
      <c r="B11" s="38" t="inlineStr">
        <is>
          <t>GitHub Actions Minutes</t>
        </is>
      </c>
      <c r="C11" s="39" t="inlineStr">
        <is>
          <t>10K minutes/month</t>
        </is>
      </c>
      <c r="D11" s="39" t="inlineStr">
        <is>
          <t>50K minutes/month</t>
        </is>
      </c>
      <c r="E11" s="39" t="inlineStr">
        <is>
          <t>200K+ minutes/month</t>
        </is>
      </c>
      <c r="F11" s="38" t="inlineStr">
        <is>
          <t>Included in Enterprise Cloud</t>
        </is>
      </c>
    </row>
    <row r="12" ht="26" customHeight="1">
      <c r="A12" s="40" t="inlineStr">
        <is>
          <t>Professional Services</t>
        </is>
      </c>
      <c r="B12" s="41" t="inlineStr">
        <is>
          <t>Implementation Hours</t>
        </is>
      </c>
      <c r="C12" s="42" t="inlineStr">
        <is>
          <t>40 hours</t>
        </is>
      </c>
      <c r="D12" s="42" t="inlineStr">
        <is>
          <t>120 hours</t>
        </is>
      </c>
      <c r="E12" s="42" t="inlineStr">
        <is>
          <t>300 hours</t>
        </is>
      </c>
      <c r="F12" s="41" t="inlineStr">
        <is>
          <t>Assessment integration training</t>
        </is>
      </c>
    </row>
  </sheetData>
  <autoFilter ref="A2:F12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30" customWidth="1" min="2" max="2"/>
    <col width="50" customWidth="1" min="3" max="3"/>
    <col width="12" customWidth="1" min="4" max="4"/>
    <col width="15" customWidth="1" min="5" max="5"/>
    <col width="12" customWidth="1" min="6" max="6"/>
    <col width="15" customWidth="1" min="7" max="7"/>
    <col width="12" customWidth="1" min="8" max="8"/>
    <col width="12" customWidth="1" min="9" max="9"/>
    <col width="15" customWidth="1" min="10" max="10"/>
    <col width="30" customWidth="1" min="11" max="11"/>
  </cols>
  <sheetData>
    <row r="1" ht="32" customHeight="1">
      <c r="A1" s="35" t="inlineStr">
        <is>
          <t>Infrastructure Costs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Description</t>
        </is>
      </c>
      <c r="D2" s="36" t="inlineStr">
        <is>
          <t>Quantity</t>
        </is>
      </c>
      <c r="E2" s="36" t="inlineStr">
        <is>
          <t>Unit</t>
        </is>
      </c>
      <c r="F2" s="36" t="inlineStr">
        <is>
          <t>Unit Price</t>
        </is>
      </c>
      <c r="G2" s="36" t="inlineStr">
        <is>
          <t>Annual Cost</t>
        </is>
      </c>
      <c r="H2" s="36" t="inlineStr">
        <is>
          <t>Year 2</t>
        </is>
      </c>
      <c r="I2" s="36" t="inlineStr">
        <is>
          <t>Year 3</t>
        </is>
      </c>
      <c r="J2" s="36" t="inlineStr">
        <is>
          <t>3-Year Total</t>
        </is>
      </c>
      <c r="K2" s="36" t="inlineStr">
        <is>
          <t>Notes</t>
        </is>
      </c>
    </row>
    <row r="3" ht="26" customHeight="1">
      <c r="A3" s="43" t="inlineStr">
        <is>
          <t>Software Licenses</t>
        </is>
      </c>
      <c r="B3" s="44" t="inlineStr">
        <is>
          <t>GitHub Enterprise Cloud</t>
        </is>
      </c>
      <c r="C3" s="44" t="inlineStr">
        <is>
          <t>Enterprise Cloud with Advanced Security (100 users)</t>
        </is>
      </c>
      <c r="D3" s="45" t="n">
        <v>100</v>
      </c>
      <c r="E3" s="44" t="inlineStr">
        <is>
          <t>Users/Year</t>
        </is>
      </c>
      <c r="F3" s="46" t="n">
        <v>4200</v>
      </c>
      <c r="G3" s="46">
        <f>D3*F3</f>
        <v/>
      </c>
      <c r="H3" s="46">
        <f>G3</f>
        <v/>
      </c>
      <c r="I3" s="46">
        <f>G3</f>
        <v/>
      </c>
      <c r="J3" s="46">
        <f>G3+H3+I3</f>
        <v/>
      </c>
      <c r="K3" s="44" t="inlineStr">
        <is>
          <t>Includes GHAS code scanning secret scanning</t>
        </is>
      </c>
    </row>
    <row r="4" ht="26" customHeight="1">
      <c r="A4" s="47" t="inlineStr">
        <is>
          <t>Software Licenses</t>
        </is>
      </c>
      <c r="B4" s="48" t="inlineStr">
        <is>
          <t>GitHub Actions Minutes</t>
        </is>
      </c>
      <c r="C4" s="48" t="inlineStr">
        <is>
          <t>Included compute minutes for CI/CD workflows</t>
        </is>
      </c>
      <c r="D4" s="49" t="n">
        <v>50000</v>
      </c>
      <c r="E4" s="48" t="inlineStr">
        <is>
          <t>Minutes/Month</t>
        </is>
      </c>
      <c r="F4" s="50" t="n">
        <v>0</v>
      </c>
      <c r="G4" s="50">
        <f>D4*F4*12</f>
        <v/>
      </c>
      <c r="H4" s="50">
        <f>G4</f>
        <v/>
      </c>
      <c r="I4" s="50">
        <f>G4</f>
        <v/>
      </c>
      <c r="J4" s="50">
        <f>G4+H4+I4</f>
        <v/>
      </c>
      <c r="K4" s="48" t="inlineStr">
        <is>
          <t>Included with Enterprise Cloud</t>
        </is>
      </c>
    </row>
    <row r="5" ht="26" customHeight="1">
      <c r="A5" s="43" t="inlineStr">
        <is>
          <t>Software Licenses</t>
        </is>
      </c>
      <c r="B5" s="44" t="inlineStr">
        <is>
          <t>GitHub Packages Storage</t>
        </is>
      </c>
      <c r="C5" s="44" t="inlineStr">
        <is>
          <t>Package registry storage for artifacts (100 GB)</t>
        </is>
      </c>
      <c r="D5" s="45" t="n">
        <v>100</v>
      </c>
      <c r="E5" s="44" t="inlineStr">
        <is>
          <t>GB/Month</t>
        </is>
      </c>
      <c r="F5" s="46" t="n">
        <v>0.25</v>
      </c>
      <c r="G5" s="46">
        <f>D5*F5*12</f>
        <v/>
      </c>
      <c r="H5" s="46">
        <f>G5</f>
        <v/>
      </c>
      <c r="I5" s="46">
        <f>G5</f>
        <v/>
      </c>
      <c r="J5" s="46">
        <f>G5+H5+I5</f>
        <v/>
      </c>
      <c r="K5" s="44" t="inlineStr">
        <is>
          <t>Docker npm Maven NuGet packages</t>
        </is>
      </c>
    </row>
    <row r="6" ht="26" customHeight="1">
      <c r="A6" s="47" t="inlineStr">
        <is>
          <t>Software Licenses</t>
        </is>
      </c>
      <c r="B6" s="48" t="inlineStr">
        <is>
          <t>GitHub LFS Storage</t>
        </is>
      </c>
      <c r="C6" s="48" t="inlineStr">
        <is>
          <t>Large file storage for binaries (50 GB)</t>
        </is>
      </c>
      <c r="D6" s="49" t="n">
        <v>50</v>
      </c>
      <c r="E6" s="48" t="inlineStr">
        <is>
          <t>GB/Month</t>
        </is>
      </c>
      <c r="F6" s="50" t="n">
        <v>0.07000000000000001</v>
      </c>
      <c r="G6" s="50">
        <f>D6*F6*12</f>
        <v/>
      </c>
      <c r="H6" s="50">
        <f>G6</f>
        <v/>
      </c>
      <c r="I6" s="50">
        <f>G6</f>
        <v/>
      </c>
      <c r="J6" s="50">
        <f>G6+H6+I6</f>
        <v/>
      </c>
      <c r="K6" s="48" t="inlineStr">
        <is>
          <t>Binary assets and large files</t>
        </is>
      </c>
    </row>
    <row r="7" ht="26" customHeight="1">
      <c r="A7" s="43" t="inlineStr">
        <is>
          <t>Software Licenses</t>
        </is>
      </c>
      <c r="B7" s="44" t="inlineStr">
        <is>
          <t>Vulnerability Database</t>
        </is>
      </c>
      <c r="C7" s="44" t="inlineStr">
        <is>
          <t>CVE database and threat intelligence feeds</t>
        </is>
      </c>
      <c r="D7" s="45" t="n">
        <v>1</v>
      </c>
      <c r="E7" s="44" t="inlineStr">
        <is>
          <t>Subscription/Year</t>
        </is>
      </c>
      <c r="F7" s="46" t="n">
        <v>5000</v>
      </c>
      <c r="G7" s="46">
        <f>D7*F7</f>
        <v/>
      </c>
      <c r="H7" s="46">
        <f>G7</f>
        <v/>
      </c>
      <c r="I7" s="46">
        <f>G7</f>
        <v/>
      </c>
      <c r="J7" s="46">
        <f>G7+H7+I7</f>
        <v/>
      </c>
      <c r="K7" s="44" t="inlineStr">
        <is>
          <t>Enhanced vulnerability data</t>
        </is>
      </c>
    </row>
    <row r="8" ht="26" customHeight="1">
      <c r="A8" s="47" t="inlineStr">
        <is>
          <t>Software Licenses</t>
        </is>
      </c>
      <c r="B8" s="48" t="inlineStr">
        <is>
          <t>Code Quality Analysis</t>
        </is>
      </c>
      <c r="C8" s="48" t="inlineStr">
        <is>
          <t>SonarQube Developer Edition (100 users)</t>
        </is>
      </c>
      <c r="D8" s="49" t="n">
        <v>100</v>
      </c>
      <c r="E8" s="48" t="inlineStr">
        <is>
          <t>Users/Year</t>
        </is>
      </c>
      <c r="F8" s="50" t="n">
        <v>150</v>
      </c>
      <c r="G8" s="50">
        <f>D8*F8</f>
        <v/>
      </c>
      <c r="H8" s="50">
        <f>G8</f>
        <v/>
      </c>
      <c r="I8" s="50">
        <f>G8</f>
        <v/>
      </c>
      <c r="J8" s="50">
        <f>G8+H8+I8</f>
        <v/>
      </c>
      <c r="K8" s="48" t="inlineStr">
        <is>
          <t>Complementary code quality</t>
        </is>
      </c>
    </row>
    <row r="9" ht="26" customHeight="1">
      <c r="A9" s="43" t="inlineStr">
        <is>
          <t>Support &amp; Maintenance</t>
        </is>
      </c>
      <c r="B9" s="44" t="inlineStr">
        <is>
          <t>GitHub Premium Support</t>
        </is>
      </c>
      <c r="C9" s="44" t="inlineStr">
        <is>
          <t>24x7 premium support with 1-hour response SLA</t>
        </is>
      </c>
      <c r="D9" s="45" t="n">
        <v>1</v>
      </c>
      <c r="E9" s="44" t="inlineStr">
        <is>
          <t>Service/Year</t>
        </is>
      </c>
      <c r="F9" s="46" t="n">
        <v>25000</v>
      </c>
      <c r="G9" s="46">
        <f>D9*F9</f>
        <v/>
      </c>
      <c r="H9" s="46">
        <f>G9</f>
        <v/>
      </c>
      <c r="I9" s="46">
        <f>G9</f>
        <v/>
      </c>
      <c r="J9" s="46">
        <f>G9+H9+I9</f>
        <v/>
      </c>
      <c r="K9" s="44" t="inlineStr">
        <is>
          <t>Enterprise-grade support</t>
        </is>
      </c>
    </row>
    <row r="10" ht="26" customHeight="1">
      <c r="A10" s="47" t="inlineStr">
        <is>
          <t>Support &amp; Maintenance</t>
        </is>
      </c>
      <c r="B10" s="48" t="inlineStr">
        <is>
          <t>Managed Services</t>
        </is>
      </c>
      <c r="C10" s="48" t="inlineStr">
        <is>
          <t>Ongoing GHAS management and optimization (10% of licenses)</t>
        </is>
      </c>
      <c r="D10" s="49" t="n">
        <v>1</v>
      </c>
      <c r="E10" s="48" t="inlineStr">
        <is>
          <t>Service/Year</t>
        </is>
      </c>
      <c r="F10" s="50" t="n">
        <v>42000</v>
      </c>
      <c r="G10" s="50">
        <f>D10*F10</f>
        <v/>
      </c>
      <c r="H10" s="50">
        <f>G10</f>
        <v/>
      </c>
      <c r="I10" s="50">
        <f>G10</f>
        <v/>
      </c>
      <c r="J10" s="50">
        <f>G10+H10+I10</f>
        <v/>
      </c>
      <c r="K10" s="48" t="inlineStr">
        <is>
          <t>Quarterly security reviews</t>
        </is>
      </c>
    </row>
    <row r="11" ht="26" customHeight="1">
      <c r="A11" s="51" t="inlineStr">
        <is>
          <t>TOTAL</t>
        </is>
      </c>
      <c r="B11" s="52" t="n"/>
      <c r="C11" s="52" t="n"/>
      <c r="D11" s="52" t="n"/>
      <c r="E11" s="52" t="n"/>
      <c r="F11" s="52" t="n"/>
      <c r="G11" s="53">
        <f>SUM(G3:G10)</f>
        <v/>
      </c>
      <c r="H11" s="53">
        <f>SUM(H3:H10)</f>
        <v/>
      </c>
      <c r="I11" s="53">
        <f>SUM(I3:I10)</f>
        <v/>
      </c>
      <c r="J11" s="53">
        <f>SUM(J3:J10)</f>
        <v/>
      </c>
      <c r="K11" s="52" t="n"/>
    </row>
  </sheetData>
  <autoFilter ref="A2:K11"/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43" t="inlineStr">
        <is>
          <t>Software Licenses</t>
        </is>
      </c>
      <c r="B3" s="44" t="inlineStr">
        <is>
          <t>GitHub Enterprise Credit</t>
        </is>
      </c>
      <c r="C3" s="46" t="n">
        <v>0</v>
      </c>
      <c r="D3" s="44" t="inlineStr">
        <is>
          <t>No discounts applied - list pricing</t>
        </is>
      </c>
    </row>
    <row r="4" ht="26" customHeight="1">
      <c r="A4" s="47" t="inlineStr">
        <is>
          <t>Professional Services</t>
        </is>
      </c>
      <c r="B4" s="48" t="inlineStr">
        <is>
          <t>Implementation Credit</t>
        </is>
      </c>
      <c r="C4" s="50" t="n">
        <v>0</v>
      </c>
      <c r="D4" s="48" t="inlineStr">
        <is>
          <t>No professional services credits</t>
        </is>
      </c>
    </row>
    <row r="5" ht="26" customHeight="1">
      <c r="A5" s="43" t="inlineStr">
        <is>
          <t>Software Licenses</t>
        </is>
      </c>
      <c r="B5" s="44" t="inlineStr">
        <is>
          <t>Partner Credit</t>
        </is>
      </c>
      <c r="C5" s="46" t="n">
        <v>0</v>
      </c>
      <c r="D5" s="44" t="inlineStr">
        <is>
          <t>No third-party tool credits</t>
        </is>
      </c>
    </row>
    <row r="6" ht="26" customHeight="1">
      <c r="A6" s="47" t="inlineStr">
        <is>
          <t>Support &amp; Maintenance</t>
        </is>
      </c>
      <c r="B6" s="48" t="inlineStr">
        <is>
          <t>Support Credit</t>
        </is>
      </c>
      <c r="C6" s="50" t="n">
        <v>0</v>
      </c>
      <c r="D6" s="48" t="inlineStr">
        <is>
          <t>No support credits available</t>
        </is>
      </c>
    </row>
  </sheetData>
  <autoFilter ref="A2:D6"/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2" customWidth="1" min="5" max="5"/>
    <col width="12" customWidth="1" min="6" max="6"/>
    <col width="15" customWidth="1" min="7" max="7"/>
  </cols>
  <sheetData>
    <row r="1" ht="32" customHeight="1">
      <c r="A1" s="35" t="inlineStr">
        <is>
          <t>3-Year Summary</t>
        </is>
      </c>
    </row>
    <row r="2" ht="32" customHeight="1">
      <c r="A2" s="36" t="inlineStr">
        <is>
          <t>Category</t>
        </is>
      </c>
      <c r="B2" s="36" t="inlineStr">
        <is>
          <t>Year 1 List</t>
        </is>
      </c>
      <c r="C2" s="36" t="inlineStr">
        <is>
          <t>Year 1 Credits</t>
        </is>
      </c>
      <c r="D2" s="36" t="inlineStr">
        <is>
          <t>Year 1 Net</t>
        </is>
      </c>
      <c r="E2" s="36" t="inlineStr">
        <is>
          <t>Year 2</t>
        </is>
      </c>
      <c r="F2" s="36" t="inlineStr">
        <is>
          <t>Year 3</t>
        </is>
      </c>
      <c r="G2" s="36" t="inlineStr">
        <is>
          <t>3-Year Total</t>
        </is>
      </c>
    </row>
    <row r="3" ht="26" customHeight="1">
      <c r="A3" s="43" t="inlineStr">
        <is>
          <t>Software Licenses</t>
        </is>
      </c>
      <c r="B3" s="46">
        <f>SUMIF('Infrastructure Costs'!$A:$A,A3,'Infrastructure Costs'!$G:$G)</f>
        <v/>
      </c>
      <c r="C3" s="46">
        <f>SUMIF(Credits!$A:$A,A3,Credits!$C:$C)</f>
        <v/>
      </c>
      <c r="D3" s="46">
        <f>B3+C3</f>
        <v/>
      </c>
      <c r="E3" s="46">
        <f>SUMIF('Infrastructure Costs'!$A:$A,A3,'Infrastructure Costs'!$H:$H)</f>
        <v/>
      </c>
      <c r="F3" s="46">
        <f>SUMIF('Infrastructure Costs'!$A:$A,A3,'Infrastructure Costs'!$I:$I)</f>
        <v/>
      </c>
      <c r="G3" s="46">
        <f>D3+E3+F3</f>
        <v/>
      </c>
    </row>
    <row r="4" ht="26" customHeight="1">
      <c r="A4" s="47" t="inlineStr">
        <is>
          <t>Support &amp; Maintenance</t>
        </is>
      </c>
      <c r="B4" s="50">
        <f>SUMIF('Infrastructure Costs'!$A:$A,A4,'Infrastructure Costs'!$G:$G)</f>
        <v/>
      </c>
      <c r="C4" s="50">
        <f>SUMIF(Credits!$A:$A,A4,Credits!$C:$C)</f>
        <v/>
      </c>
      <c r="D4" s="50">
        <f>B4+C4</f>
        <v/>
      </c>
      <c r="E4" s="50">
        <f>SUMIF('Infrastructure Costs'!$A:$A,A4,'Infrastructure Costs'!$H:$H)</f>
        <v/>
      </c>
      <c r="F4" s="50">
        <f>SUMIF('Infrastructure Costs'!$A:$A,A4,'Infrastructure Costs'!$I:$I)</f>
        <v/>
      </c>
      <c r="G4" s="50">
        <f>D4+E4+F4</f>
        <v/>
      </c>
    </row>
    <row r="5" ht="26" customHeight="1">
      <c r="A5" s="43" t="inlineStr">
        <is>
          <t>Professional Services</t>
        </is>
      </c>
      <c r="B5" s="46">
        <f>SUMIF('Infrastructure Costs'!$A:$A,A5,'Infrastructure Costs'!$G:$G)</f>
        <v/>
      </c>
      <c r="C5" s="46">
        <f>SUMIF(Credits!$A:$A,A5,Credits!$C:$C)</f>
        <v/>
      </c>
      <c r="D5" s="46">
        <f>B5+C5</f>
        <v/>
      </c>
      <c r="E5" s="46">
        <f>SUMIF('Infrastructure Costs'!$A:$A,A5,'Infrastructure Costs'!$H:$H)</f>
        <v/>
      </c>
      <c r="F5" s="46">
        <f>SUMIF('Infrastructure Costs'!$A:$A,A5,'Infrastructure Costs'!$I:$I)</f>
        <v/>
      </c>
      <c r="G5" s="46">
        <f>D5+E5+F5</f>
        <v/>
      </c>
    </row>
    <row r="6" ht="26" customHeight="1">
      <c r="A6" s="51" t="inlineStr">
        <is>
          <t>TOTAL</t>
        </is>
      </c>
      <c r="B6" s="53">
        <f>SUM(B3:B5)</f>
        <v/>
      </c>
      <c r="C6" s="53">
        <f>SUM(C3:C5)</f>
        <v/>
      </c>
      <c r="D6" s="53">
        <f>SUM(D3:D5)</f>
        <v/>
      </c>
      <c r="E6" s="53">
        <f>SUM(E3:E5)</f>
        <v/>
      </c>
      <c r="F6" s="53">
        <f>SUM(F3:F5)</f>
        <v/>
      </c>
      <c r="G6" s="53">
        <f>SUM(G3:G5)</f>
        <v/>
      </c>
    </row>
    <row r="7"/>
  </sheetData>
  <autoFilter ref="A2:G6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2025-11-26T16:03:59Z</dcterms:modified>
  <cp:lastModifiedBy>Kishan Siram</cp:lastModifiedBy>
</cp:coreProperties>
</file>