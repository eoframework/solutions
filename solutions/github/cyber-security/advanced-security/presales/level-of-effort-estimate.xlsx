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Assumptions'!$A$2:$H$16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GITHUB - Cyber-Security - Advanced Security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Active Developers</t>
        </is>
      </c>
      <c r="C3" s="39" t="inlineStr">
        <is>
          <t>100 developers</t>
        </is>
      </c>
      <c r="D3" s="38" t="inlineStr">
        <is>
          <t>100 developers</t>
        </is>
      </c>
      <c r="E3" s="38" t="inlineStr">
        <is>
          <t>250 developers</t>
        </is>
      </c>
      <c r="F3" s="38" t="inlineStr">
        <is>
          <t>500+ developers</t>
        </is>
      </c>
      <c r="G3" s="38" t="inlineStr">
        <is>
          <t>GitHub Enterprise user count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Active Committers (GHAS)</t>
        </is>
      </c>
      <c r="C4" s="39" t="inlineStr">
        <is>
          <t>80 committers (90-day)</t>
        </is>
      </c>
      <c r="D4" s="41" t="inlineStr">
        <is>
          <t>80 committers</t>
        </is>
      </c>
      <c r="E4" s="41" t="inlineStr">
        <is>
          <t>200 committers</t>
        </is>
      </c>
      <c r="F4" s="41" t="inlineStr">
        <is>
          <t>400+ committers</t>
        </is>
      </c>
      <c r="G4" s="41" t="inlineStr">
        <is>
          <t>GHAS pricing based on commit activity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Total Repositories</t>
        </is>
      </c>
      <c r="C5" s="39" t="inlineStr">
        <is>
          <t>200 repositories</t>
        </is>
      </c>
      <c r="D5" s="38" t="inlineStr">
        <is>
          <t>200 repositories</t>
        </is>
      </c>
      <c r="E5" s="38" t="inlineStr">
        <is>
          <t>500 repositories</t>
        </is>
      </c>
      <c r="F5" s="38" t="inlineStr">
        <is>
          <t>1000+ repositories</t>
        </is>
      </c>
      <c r="G5" s="38" t="inlineStr">
        <is>
          <t>Code scanning coverage scope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Programming Languages</t>
        </is>
      </c>
      <c r="C6" s="39" t="inlineStr">
        <is>
          <t>5-7 languages</t>
        </is>
      </c>
      <c r="D6" s="41" t="inlineStr">
        <is>
          <t>5-7 languages</t>
        </is>
      </c>
      <c r="E6" s="41" t="inlineStr">
        <is>
          <t>8-12 languages</t>
        </is>
      </c>
      <c r="F6" s="41" t="inlineStr">
        <is>
          <t>15+ languages</t>
        </is>
      </c>
      <c r="G6" s="41" t="inlineStr">
        <is>
          <t>CodeQL language support required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CI/CD Platform</t>
        </is>
      </c>
      <c r="C7" s="39" t="inlineStr">
        <is>
          <t>GitHub Actions</t>
        </is>
      </c>
      <c r="D7" s="38" t="inlineStr">
        <is>
          <t>GitHub Actions only</t>
        </is>
      </c>
      <c r="E7" s="38" t="inlineStr">
        <is>
          <t>GitHub Actions + Jenkins</t>
        </is>
      </c>
      <c r="F7" s="38" t="inlineStr">
        <is>
          <t>Multi-platform CI/CD</t>
        </is>
      </c>
      <c r="G7" s="38" t="inlineStr">
        <is>
          <t>Pipeline integration complexity</t>
        </is>
      </c>
      <c r="H7" s="38" t="inlineStr"/>
    </row>
    <row r="8" ht="26" customHeight="1">
      <c r="A8" s="40" t="inlineStr">
        <is>
          <t>Integration</t>
        </is>
      </c>
      <c r="B8" s="41" t="inlineStr">
        <is>
          <t>SIEM Integration</t>
        </is>
      </c>
      <c r="C8" s="39" t="inlineStr">
        <is>
          <t>Splunk Azure Sentinel</t>
        </is>
      </c>
      <c r="D8" s="41" t="inlineStr">
        <is>
          <t>1 SIEM</t>
        </is>
      </c>
      <c r="E8" s="41" t="inlineStr">
        <is>
          <t>2 SIEMs</t>
        </is>
      </c>
      <c r="F8" s="41" t="inlineStr">
        <is>
          <t>3+ security platforms</t>
        </is>
      </c>
      <c r="G8" s="41" t="inlineStr">
        <is>
          <t>Security event aggregation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Security Team Size</t>
        </is>
      </c>
      <c r="C9" s="39" t="inlineStr">
        <is>
          <t>3-5 security engineers</t>
        </is>
      </c>
      <c r="D9" s="38" t="inlineStr">
        <is>
          <t>3-5 engineers</t>
        </is>
      </c>
      <c r="E9" s="38" t="inlineStr">
        <is>
          <t>8-12 engineers</t>
        </is>
      </c>
      <c r="F9" s="38" t="inlineStr">
        <is>
          <t>20+ engineers</t>
        </is>
      </c>
      <c r="G9" s="38" t="inlineStr">
        <is>
          <t>AppSec and security operations</t>
        </is>
      </c>
      <c r="H9" s="38" t="inlineStr"/>
    </row>
    <row r="10" ht="26" customHeight="1">
      <c r="A10" s="40" t="inlineStr">
        <is>
          <t>User Base</t>
        </is>
      </c>
      <c r="B10" s="41" t="inlineStr">
        <is>
          <t>Development Teams</t>
        </is>
      </c>
      <c r="C10" s="39" t="inlineStr">
        <is>
          <t>8-10 teams</t>
        </is>
      </c>
      <c r="D10" s="41" t="inlineStr">
        <is>
          <t>8-10 teams</t>
        </is>
      </c>
      <c r="E10" s="41" t="inlineStr">
        <is>
          <t>15-20 teams</t>
        </is>
      </c>
      <c r="F10" s="41" t="inlineStr">
        <is>
          <t>30+ teams</t>
        </is>
      </c>
      <c r="G10" s="41" t="inlineStr">
        <is>
          <t>Team onboarding and training scope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Code Scanning Frequency</t>
        </is>
      </c>
      <c r="C11" s="39" t="inlineStr">
        <is>
          <t>Per pull request</t>
        </is>
      </c>
      <c r="D11" s="38" t="inlineStr">
        <is>
          <t>Per PR</t>
        </is>
      </c>
      <c r="E11" s="38" t="inlineStr">
        <is>
          <t>Per commit</t>
        </is>
      </c>
      <c r="F11" s="38" t="inlineStr">
        <is>
          <t>Continuous scanning</t>
        </is>
      </c>
      <c r="G11" s="38" t="inlineStr">
        <is>
          <t>CodeQL analysis frequency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CodeQL Custom Queries</t>
        </is>
      </c>
      <c r="C12" s="39" t="inlineStr">
        <is>
          <t>10-15 custom queries</t>
        </is>
      </c>
      <c r="D12" s="41" t="inlineStr">
        <is>
          <t>10-15 queries</t>
        </is>
      </c>
      <c r="E12" s="41" t="inlineStr">
        <is>
          <t>25-40 queries</t>
        </is>
      </c>
      <c r="F12" s="41" t="inlineStr">
        <is>
          <t>60+ queries</t>
        </is>
      </c>
      <c r="G12" s="41" t="inlineStr">
        <is>
          <t>Org-specific security patterns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GitHub Platform</t>
        </is>
      </c>
      <c r="C13" s="39" t="inlineStr">
        <is>
          <t>Enterprise Cloud</t>
        </is>
      </c>
      <c r="D13" s="38" t="inlineStr">
        <is>
          <t>Enterprise Cloud</t>
        </is>
      </c>
      <c r="E13" s="38" t="inlineStr">
        <is>
          <t>Enterprise Server</t>
        </is>
      </c>
      <c r="F13" s="38" t="inlineStr">
        <is>
          <t>Hybrid Cloud + Server</t>
        </is>
      </c>
      <c r="G13" s="38" t="inlineStr">
        <is>
          <t>Deployment model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Compliance Frameworks</t>
        </is>
      </c>
      <c r="C14" s="39" t="inlineStr">
        <is>
          <t>SOC 2 PCI-DSS</t>
        </is>
      </c>
      <c r="D14" s="41" t="inlineStr">
        <is>
          <t>2 frameworks</t>
        </is>
      </c>
      <c r="E14" s="41" t="inlineStr">
        <is>
          <t>3-4 frameworks</t>
        </is>
      </c>
      <c r="F14" s="41" t="inlineStr">
        <is>
          <t>5+ frameworks</t>
        </is>
      </c>
      <c r="G14" s="41" t="inlineStr">
        <is>
          <t>Regulatory compliance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Secret Scanning</t>
        </is>
      </c>
      <c r="C15" s="39" t="inlineStr">
        <is>
          <t>Partner + custom patterns</t>
        </is>
      </c>
      <c r="D15" s="38" t="inlineStr">
        <is>
          <t>Standard patterns</t>
        </is>
      </c>
      <c r="E15" s="38" t="inlineStr">
        <is>
          <t>Advanced patterns</t>
        </is>
      </c>
      <c r="F15" s="38" t="inlineStr">
        <is>
          <t>Enterprise + ML patterns</t>
        </is>
      </c>
      <c r="G15" s="38" t="inlineStr">
        <is>
          <t>Secret detection scope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Deployment Environments</t>
        </is>
      </c>
      <c r="C16" s="39" t="inlineStr">
        <is>
          <t>Dev staging production</t>
        </is>
      </c>
      <c r="D16" s="41" t="inlineStr">
        <is>
          <t>3 environments</t>
        </is>
      </c>
      <c r="E16" s="41" t="inlineStr">
        <is>
          <t>4 environments</t>
        </is>
      </c>
      <c r="F16" s="41" t="inlineStr">
        <is>
          <t>6+ environments</t>
        </is>
      </c>
      <c r="G16" s="41" t="inlineStr">
        <is>
          <t>Environment management complexity</t>
        </is>
      </c>
      <c r="H16" s="41" t="inlineStr"/>
    </row>
  </sheetData>
  <autoFilter ref="A2:H16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Assessment, Repository Analysis, GHAS Evaluation,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(GHAS Architecture, CodeQL Strategy, Integration Design,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(GHAS Setup, CodeQL Configuration, Custom Queries, CI/CD Integration,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(CodeQL Testing, False Positive Analysis, Performance Testing, Security Validation)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Repository Enablement,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(Security Champion Training, Developer Training, Administrator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Security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Assessment</t>
        </is>
      </c>
      <c r="C3" s="46" t="inlineStr">
        <is>
          <t>Conduct current state security posture and vulnerability assessment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Includes security debt analysis and current tooling evaluation</t>
        </is>
      </c>
    </row>
    <row r="4" ht="26" customHeight="1">
      <c r="A4" s="51" t="inlineStr">
        <is>
          <t>Discovery</t>
        </is>
      </c>
      <c r="B4" s="52" t="inlineStr">
        <is>
          <t>Repository Analysis</t>
        </is>
      </c>
      <c r="C4" s="52" t="inlineStr">
        <is>
          <t>Analyze repository structure languages and scanning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repository inventory and access</t>
        </is>
      </c>
    </row>
    <row r="5" ht="26" customHeight="1">
      <c r="A5" s="45" t="inlineStr">
        <is>
          <t>Discovery</t>
        </is>
      </c>
      <c r="B5" s="46" t="inlineStr">
        <is>
          <t>GHAS Evaluation</t>
        </is>
      </c>
      <c r="C5" s="46" t="inlineStr">
        <is>
          <t>Evaluate GitHub Advanced Security features and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CodeQL secret scanning dependency scanning needs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security compliance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SOC 2 PCI-DSS HIPAA compliance drivers</t>
        </is>
      </c>
    </row>
    <row r="7" ht="26" customHeight="1">
      <c r="A7" s="45" t="inlineStr">
        <is>
          <t>Planning</t>
        </is>
      </c>
      <c r="B7" s="46" t="inlineStr">
        <is>
          <t>GHAS Architecture Design</t>
        </is>
      </c>
      <c r="C7" s="46" t="inlineStr">
        <is>
          <t>Design GitHub Advanced Security architecture and workflow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Assessment</t>
        </is>
      </c>
      <c r="K7" s="46" t="inlineStr">
        <is>
          <t>Deliverable: GHAS architecture with scanning workflow design</t>
        </is>
      </c>
    </row>
    <row r="8" ht="26" customHeight="1">
      <c r="A8" s="51" t="inlineStr">
        <is>
          <t>Planning</t>
        </is>
      </c>
      <c r="B8" s="52" t="inlineStr">
        <is>
          <t>CodeQL Strategy Design</t>
        </is>
      </c>
      <c r="C8" s="52" t="inlineStr">
        <is>
          <t>Design CodeQL configuration and custom query requirements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Repository Analysis</t>
        </is>
      </c>
      <c r="K8" s="52" t="inlineStr">
        <is>
          <t>Custom queries for org-specific security patterns</t>
        </is>
      </c>
    </row>
    <row r="9" ht="26" customHeight="1">
      <c r="A9" s="45" t="inlineStr">
        <is>
          <t>Planning</t>
        </is>
      </c>
      <c r="B9" s="46" t="inlineStr">
        <is>
          <t>Integration Design</t>
        </is>
      </c>
      <c r="C9" s="46" t="inlineStr">
        <is>
          <t>Design CI/CD integration and SIEM security event routing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GHAS Evaluation</t>
        </is>
      </c>
      <c r="K9" s="46" t="inlineStr">
        <is>
          <t>GitHub Actions workflows and Splunk/Sentinel integration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phased rollout plan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GHAS Architecture Design</t>
        </is>
      </c>
      <c r="K10" s="52" t="inlineStr">
        <is>
          <t>Deliverable: Phased rollout by team and repository priority</t>
        </is>
      </c>
    </row>
    <row r="11" ht="26" customHeight="1">
      <c r="A11" s="45" t="inlineStr">
        <is>
          <t>Development</t>
        </is>
      </c>
      <c r="B11" s="46" t="inlineStr">
        <is>
          <t>GHAS Platform Setup</t>
        </is>
      </c>
      <c r="C11" s="46" t="inlineStr">
        <is>
          <t>Configure GitHub Advanced Security and organization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225</v>
      </c>
      <c r="I11" s="49">
        <f>TEXT($G11*$H11,"$#,##0")</f>
        <v/>
      </c>
      <c r="J11" s="46" t="inlineStr">
        <is>
          <t>GHAS Architecture Design</t>
        </is>
      </c>
      <c r="K11" s="46" t="inlineStr">
        <is>
          <t>Enable GHAS code scanning secret scanning for organization</t>
        </is>
      </c>
    </row>
    <row r="12" ht="26" customHeight="1">
      <c r="A12" s="51" t="inlineStr">
        <is>
          <t>Development</t>
        </is>
      </c>
      <c r="B12" s="52" t="inlineStr">
        <is>
          <t>CodeQL Configuration</t>
        </is>
      </c>
      <c r="C12" s="52" t="inlineStr">
        <is>
          <t>Configure CodeQL analysis for JavaScript Python Java C# Go</t>
        </is>
      </c>
      <c r="D12" s="52" t="inlineStr">
        <is>
          <t>EO Engineer</t>
        </is>
      </c>
      <c r="E12" s="53" t="n">
        <v>48</v>
      </c>
      <c r="F12" s="54">
        <f>'Estimate Settings'!$C$5</f>
        <v/>
      </c>
      <c r="G12" s="55">
        <f>$E12*$F12</f>
        <v/>
      </c>
      <c r="H12" s="56" t="n">
        <v>225</v>
      </c>
      <c r="I12" s="55">
        <f>TEXT($G12*$H12,"$#,##0")</f>
        <v/>
      </c>
      <c r="J12" s="52" t="inlineStr">
        <is>
          <t>GHAS Platform Setup</t>
        </is>
      </c>
      <c r="K12" s="52" t="inlineStr">
        <is>
          <t>CodeQL setup for 5-7 languages with standard queries</t>
        </is>
      </c>
    </row>
    <row r="13" ht="26" customHeight="1">
      <c r="A13" s="45" t="inlineStr">
        <is>
          <t>Development</t>
        </is>
      </c>
      <c r="B13" s="46" t="inlineStr">
        <is>
          <t>Custom Query Development</t>
        </is>
      </c>
      <c r="C13" s="46" t="inlineStr">
        <is>
          <t>Develop 10-15 custom CodeQL queries for org security policies</t>
        </is>
      </c>
      <c r="D13" s="46" t="inlineStr">
        <is>
          <t>EO Engineer</t>
        </is>
      </c>
      <c r="E13" s="47" t="n">
        <v>60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CodeQL Configuration</t>
        </is>
      </c>
      <c r="K13" s="46" t="inlineStr">
        <is>
          <t>Company-specific patterns framework rules business logic</t>
        </is>
      </c>
    </row>
    <row r="14" ht="26" customHeight="1">
      <c r="A14" s="51" t="inlineStr">
        <is>
          <t>Development</t>
        </is>
      </c>
      <c r="B14" s="52" t="inlineStr">
        <is>
          <t>Secret Scanning Setup</t>
        </is>
      </c>
      <c r="C14" s="52" t="inlineStr">
        <is>
          <t>Configure secret scanning with partner and custom patterns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GHAS Platform Setup</t>
        </is>
      </c>
      <c r="K14" s="52" t="inlineStr">
        <is>
          <t>API keys tokens credentials with push protection</t>
        </is>
      </c>
    </row>
    <row r="15" ht="26" customHeight="1">
      <c r="A15" s="45" t="inlineStr">
        <is>
          <t>Development</t>
        </is>
      </c>
      <c r="B15" s="46" t="inlineStr">
        <is>
          <t>Dependency Scanning</t>
        </is>
      </c>
      <c r="C15" s="46" t="inlineStr">
        <is>
          <t>Configure Dependabot alerts and automated updates</t>
        </is>
      </c>
      <c r="D15" s="46" t="inlineStr">
        <is>
          <t>EO Engineer</t>
        </is>
      </c>
      <c r="E15" s="47" t="n">
        <v>24</v>
      </c>
      <c r="F15" s="48">
        <f>'Estimate Settings'!$C$5</f>
        <v/>
      </c>
      <c r="G15" s="49">
        <f>$E15*$F15</f>
        <v/>
      </c>
      <c r="H15" s="50" t="n">
        <v>180</v>
      </c>
      <c r="I15" s="49">
        <f>TEXT($G15*$H15,"$#,##0")</f>
        <v/>
      </c>
      <c r="J15" s="46" t="inlineStr">
        <is>
          <t>GHAS Platform Setup</t>
        </is>
      </c>
      <c r="K15" s="46" t="inlineStr">
        <is>
          <t>Software composition analysis and CVE monitoring</t>
        </is>
      </c>
    </row>
    <row r="16" ht="26" customHeight="1">
      <c r="A16" s="51" t="inlineStr">
        <is>
          <t>Development</t>
        </is>
      </c>
      <c r="B16" s="52" t="inlineStr">
        <is>
          <t>Policy Configuration</t>
        </is>
      </c>
      <c r="C16" s="52" t="inlineStr">
        <is>
          <t>Configure branch protection PR checks and merge blocking</t>
        </is>
      </c>
      <c r="D16" s="52" t="inlineStr">
        <is>
          <t>EO Engineer</t>
        </is>
      </c>
      <c r="E16" s="53" t="n">
        <v>30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Custom Query Development</t>
        </is>
      </c>
      <c r="K16" s="52" t="inlineStr">
        <is>
          <t>Security policies and required status checks</t>
        </is>
      </c>
    </row>
    <row r="17" ht="26" customHeight="1">
      <c r="A17" s="45" t="inlineStr">
        <is>
          <t>Development</t>
        </is>
      </c>
      <c r="B17" s="46" t="inlineStr">
        <is>
          <t>CI/CD Integration</t>
        </is>
      </c>
      <c r="C17" s="46" t="inlineStr">
        <is>
          <t>Integrate security scanning into GitHub Actions workflows</t>
        </is>
      </c>
      <c r="D17" s="46" t="inlineStr">
        <is>
          <t>EO Engineer</t>
        </is>
      </c>
      <c r="E17" s="47" t="n">
        <v>40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Policy Configuration</t>
        </is>
      </c>
      <c r="K17" s="46" t="inlineStr">
        <is>
          <t>Automated scanning in build and deployment pipelines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GHAS with Splunk Azure Sentinel for events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CI/CD Integration</t>
        </is>
      </c>
      <c r="K18" s="52" t="inlineStr">
        <is>
          <t>Security event forwarding and alert aggregation</t>
        </is>
      </c>
    </row>
    <row r="19" ht="26" customHeight="1">
      <c r="A19" s="45" t="inlineStr">
        <is>
          <t>Testing</t>
        </is>
      </c>
      <c r="B19" s="46" t="inlineStr">
        <is>
          <t>CodeQL Testing</t>
        </is>
      </c>
      <c r="C19" s="46" t="inlineStr">
        <is>
          <t>Test CodeQL queries across repository sample set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Custom Query Development</t>
        </is>
      </c>
      <c r="K19" s="46" t="inlineStr">
        <is>
          <t>Validate detection accuracy across languages</t>
        </is>
      </c>
    </row>
    <row r="20" ht="26" customHeight="1">
      <c r="A20" s="51" t="inlineStr">
        <is>
          <t>Testing</t>
        </is>
      </c>
      <c r="B20" s="52" t="inlineStr">
        <is>
          <t>False Positive Analysis</t>
        </is>
      </c>
      <c r="C20" s="52" t="inlineStr">
        <is>
          <t>Analyze and tune CodeQL queries to reduce false positives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CodeQL Testing</t>
        </is>
      </c>
      <c r="K20" s="52" t="inlineStr">
        <is>
          <t>Customer must provide feedback on alert accuracy</t>
        </is>
      </c>
    </row>
    <row r="21" ht="26" customHeight="1">
      <c r="A21" s="45" t="inlineStr">
        <is>
          <t>Testing</t>
        </is>
      </c>
      <c r="B21" s="46" t="inlineStr">
        <is>
          <t>Performance Testing</t>
        </is>
      </c>
      <c r="C21" s="46" t="inlineStr">
        <is>
          <t>Test scanning performance and pipeline impact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False Positive Analysis</t>
        </is>
      </c>
      <c r="K21" s="46" t="inlineStr">
        <is>
          <t>Ensure scans complete within acceptable timeframes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vulnerability detection and policy enforcement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Performance Testing</t>
        </is>
      </c>
      <c r="K22" s="52" t="inlineStr">
        <is>
          <t>Test coverage across CWE patterns and secret types</t>
        </is>
      </c>
    </row>
    <row r="23" ht="26" customHeight="1">
      <c r="A23" s="45" t="inlineStr">
        <is>
          <t>Deployment</t>
        </is>
      </c>
      <c r="B23" s="46" t="inlineStr">
        <is>
          <t>Repository Enablement</t>
        </is>
      </c>
      <c r="C23" s="46" t="inlineStr">
        <is>
          <t>Enable GHAS on 200 repositories in phased rollout</t>
        </is>
      </c>
      <c r="D23" s="46" t="inlineStr">
        <is>
          <t>EO Engineer</t>
        </is>
      </c>
      <c r="E23" s="47" t="n">
        <v>32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Phased by team with monitoring and support</t>
        </is>
      </c>
    </row>
    <row r="24" ht="26" customHeight="1">
      <c r="A24" s="51" t="inlineStr">
        <is>
          <t>Deployment</t>
        </is>
      </c>
      <c r="B24" s="52" t="inlineStr">
        <is>
          <t>Production Rollout</t>
        </is>
      </c>
      <c r="C24" s="52" t="inlineStr">
        <is>
          <t>Deploy GHAS to production with full scanning enabled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Repository Enablement</t>
        </is>
      </c>
      <c r="K24" s="52" t="inlineStr">
        <is>
          <t>Enable code scanning secret scanning dependency scanning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GHAS rollout and adoption</t>
        </is>
      </c>
      <c r="D25" s="46" t="inlineStr">
        <is>
          <t>EO Engineer</t>
        </is>
      </c>
      <c r="E25" s="47" t="n">
        <v>48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Production Rollout</t>
        </is>
      </c>
      <c r="K25" s="46" t="inlineStr">
        <is>
          <t>Daily monitoring alert triage developer support</t>
        </is>
      </c>
    </row>
    <row r="26" ht="26" customHeight="1">
      <c r="A26" s="51" t="inlineStr">
        <is>
          <t>Training</t>
        </is>
      </c>
      <c r="B26" s="52" t="inlineStr">
        <is>
          <t>Security Champion Training</t>
        </is>
      </c>
      <c r="C26" s="52" t="inlineStr">
        <is>
          <t>Train 8 security champions on GHAS administration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Production Rollout</t>
        </is>
      </c>
      <c r="K26" s="52" t="inlineStr">
        <is>
          <t>2 days training for security champions per team</t>
        </is>
      </c>
    </row>
    <row r="27" ht="26" customHeight="1">
      <c r="A27" s="45" t="inlineStr">
        <is>
          <t>Training</t>
        </is>
      </c>
      <c r="B27" s="46" t="inlineStr">
        <is>
          <t>Developer Training</t>
        </is>
      </c>
      <c r="C27" s="46" t="inlineStr">
        <is>
          <t>Train developers on interpreting and fixing vulnerabilities</t>
        </is>
      </c>
      <c r="D27" s="46" t="inlineStr">
        <is>
          <t>EO Engineer</t>
        </is>
      </c>
      <c r="E27" s="47" t="n">
        <v>24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Security Champion Training</t>
        </is>
      </c>
      <c r="K27" s="46" t="inlineStr">
        <is>
          <t>3 days workshops for development teams</t>
        </is>
      </c>
    </row>
    <row r="28" ht="26" customHeight="1">
      <c r="A28" s="51" t="inlineStr">
        <is>
          <t>Training</t>
        </is>
      </c>
      <c r="B28" s="52" t="inlineStr">
        <is>
          <t>Administrator Training</t>
        </is>
      </c>
      <c r="C28" s="52" t="inlineStr">
        <is>
          <t>Train platform admins on GHAS management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Developer Training</t>
        </is>
      </c>
      <c r="K28" s="52" t="inlineStr">
        <is>
          <t>GHAS configuration policy management monitoring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GHAS runbooks user guides and best practices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Administrator Training</t>
        </is>
      </c>
      <c r="K29" s="46" t="inlineStr">
        <is>
          <t>Deliverable: Operations documentation and troubleshooting guides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GHAS ownership to security and platform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of configuration and processes</t>
        </is>
      </c>
    </row>
    <row r="31" ht="26" customHeight="1">
      <c r="A31" s="45" t="inlineStr">
        <is>
          <t>Closeout</t>
        </is>
      </c>
      <c r="B31" s="46" t="inlineStr">
        <is>
          <t>Security Baseline</t>
        </is>
      </c>
      <c r="C31" s="46" t="inlineStr">
        <is>
          <t>Establish security metrics and monitoring baselines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175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for vulnerability trends MTTR scan coverage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security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Security architecture review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stakeholder management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/>
      <c r="K33" s="46" t="inlineStr">
        <is>
          <t>Includes weekly status risk management vendor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 multipliers in Estimate Settings based on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GitHub Partner Services Credit</t>
        </is>
      </c>
      <c r="B3" s="59" t="n">
        <v>0</v>
      </c>
      <c r="C3" s="38" t="inlineStr">
        <is>
          <t>No partner credits available for GHAS implementation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</f>
        <v/>
      </c>
      <c r="C5" s="63" t="inlineStr">
        <is>
          <t>Total professional services cost for GHAS implementation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2025-11-22T18:55:01Z</dcterms:modified>
  <cp:lastModifiedBy>Kishan Siram</cp:lastModifiedBy>
</cp:coreProperties>
</file>