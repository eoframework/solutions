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ntegration Requirements" sheetId="7" state="visible" r:id="rId7"/>
    <sheet xmlns:r="http://schemas.openxmlformats.org/officeDocument/2006/relationships" name="Implementation Plann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Advanced Security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55</v>
      </c>
      <c r="B2" s="36">
        <f>SUMPRODUCT(--(LEN(F5:F59)&gt;0))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IF('Security &amp; Compliance'!A2="","",'Security &amp; Compliance'!A2)</f>
        <v/>
      </c>
      <c r="B31" s="39">
        <f>IF('Security &amp; Compliance'!B2="","",'Security &amp; Compliance'!B2)</f>
        <v/>
      </c>
      <c r="C31" s="39">
        <f>IF('Security &amp; Compliance'!C2="","",'Security &amp; Compliance'!C2)</f>
        <v/>
      </c>
      <c r="D31" s="39">
        <f>IF('Security &amp; Compliance'!D2="","",'Security &amp; Compliance'!D2)</f>
        <v/>
      </c>
      <c r="E31" s="39">
        <f>IF('Security &amp; Compliance'!E2="","",'Security &amp; Compliance'!E2)</f>
        <v/>
      </c>
      <c r="F31" s="40">
        <f>IF('Security &amp; Compliance'!F2="","",'Security &amp; Compliance'!F2)</f>
        <v/>
      </c>
      <c r="G31" s="39">
        <f>IF('Security &amp; Compliance'!G2="","",'Security &amp; Compliance'!G2)</f>
        <v/>
      </c>
    </row>
    <row r="32">
      <c r="A32" s="41">
        <f>IF('Security &amp; Compliance'!A3="","",'Security &amp; Compliance'!A3)</f>
        <v/>
      </c>
      <c r="B32" s="41">
        <f>IF('Security &amp; Compliance'!B3="","",'Security &amp; Compliance'!B3)</f>
        <v/>
      </c>
      <c r="C32" s="41">
        <f>IF('Security &amp; Compliance'!C3="","",'Security &amp; Compliance'!C3)</f>
        <v/>
      </c>
      <c r="D32" s="41">
        <f>IF('Security &amp; Compliance'!D3="","",'Security &amp; Compliance'!D3)</f>
        <v/>
      </c>
      <c r="E32" s="41">
        <f>IF('Security &amp; Compliance'!E3="","",'Security &amp; Compliance'!E3)</f>
        <v/>
      </c>
      <c r="F32" s="40">
        <f>IF('Security &amp; Compliance'!F3="","",'Security &amp; Compliance'!F3)</f>
        <v/>
      </c>
      <c r="G32" s="41">
        <f>IF('Security &amp; Compliance'!G3="","",'Security &amp; Compliance'!G3)</f>
        <v/>
      </c>
    </row>
    <row r="33">
      <c r="A33" s="39">
        <f>IF('Security &amp; Compliance'!A4="","",'Security &amp; Compliance'!A4)</f>
        <v/>
      </c>
      <c r="B33" s="39">
        <f>IF('Security &amp; Compliance'!B4="","",'Security &amp; Compliance'!B4)</f>
        <v/>
      </c>
      <c r="C33" s="39">
        <f>IF('Security &amp; Compliance'!C4="","",'Security &amp; Compliance'!C4)</f>
        <v/>
      </c>
      <c r="D33" s="39">
        <f>IF('Security &amp; Compliance'!D4="","",'Security &amp; Compliance'!D4)</f>
        <v/>
      </c>
      <c r="E33" s="39">
        <f>IF('Security &amp; Compliance'!E4="","",'Security &amp; Compliance'!E4)</f>
        <v/>
      </c>
      <c r="F33" s="40">
        <f>IF('Security &amp; Compliance'!F4="","",'Security &amp; Compliance'!F4)</f>
        <v/>
      </c>
      <c r="G33" s="39">
        <f>IF('Security &amp; Compliance'!G4="","",'Security &amp; Compliance'!G4)</f>
        <v/>
      </c>
    </row>
    <row r="34">
      <c r="A34" s="41">
        <f>IF('Security &amp; Compliance'!A5="","",'Security &amp; Compliance'!A5)</f>
        <v/>
      </c>
      <c r="B34" s="41">
        <f>IF('Security &amp; Compliance'!B5="","",'Security &amp; Compliance'!B5)</f>
        <v/>
      </c>
      <c r="C34" s="41">
        <f>IF('Security &amp; Compliance'!C5="","",'Security &amp; Compliance'!C5)</f>
        <v/>
      </c>
      <c r="D34" s="41">
        <f>IF('Security &amp; Compliance'!D5="","",'Security &amp; Compliance'!D5)</f>
        <v/>
      </c>
      <c r="E34" s="41">
        <f>IF('Security &amp; Compliance'!E5="","",'Security &amp; Compliance'!E5)</f>
        <v/>
      </c>
      <c r="F34" s="40">
        <f>IF('Security &amp; Compliance'!F5="","",'Security &amp; Compliance'!F5)</f>
        <v/>
      </c>
      <c r="G34" s="41">
        <f>IF('Security &amp; Compliance'!G5="","",'Security &amp; Compliance'!G5)</f>
        <v/>
      </c>
    </row>
    <row r="35">
      <c r="A35" s="39">
        <f>IF('Security &amp; Compliance'!A6="","",'Security &amp; Compliance'!A6)</f>
        <v/>
      </c>
      <c r="B35" s="39">
        <f>IF('Security &amp; Compliance'!B6="","",'Security &amp; Compliance'!B6)</f>
        <v/>
      </c>
      <c r="C35" s="39">
        <f>IF('Security &amp; Compliance'!C6="","",'Security &amp; Compliance'!C6)</f>
        <v/>
      </c>
      <c r="D35" s="39">
        <f>IF('Security &amp; Compliance'!D6="","",'Security &amp; Compliance'!D6)</f>
        <v/>
      </c>
      <c r="E35" s="39">
        <f>IF('Security &amp; Compliance'!E6="","",'Security &amp; Compliance'!E6)</f>
        <v/>
      </c>
      <c r="F35" s="40">
        <f>IF('Security &amp; Compliance'!F6="","",'Security &amp; Compliance'!F6)</f>
        <v/>
      </c>
      <c r="G35" s="39">
        <f>IF('Security &amp; Compliance'!G6="","",'Security &amp; Compliance'!G6)</f>
        <v/>
      </c>
    </row>
    <row r="36">
      <c r="A36" s="41">
        <f>IF('Security &amp; Compliance'!A7="","",'Security &amp; Compliance'!A7)</f>
        <v/>
      </c>
      <c r="B36" s="41">
        <f>IF('Security &amp; Compliance'!B7="","",'Security &amp; Compliance'!B7)</f>
        <v/>
      </c>
      <c r="C36" s="41">
        <f>IF('Security &amp; Compliance'!C7="","",'Security &amp; Compliance'!C7)</f>
        <v/>
      </c>
      <c r="D36" s="41">
        <f>IF('Security &amp; Compliance'!D7="","",'Security &amp; Compliance'!D7)</f>
        <v/>
      </c>
      <c r="E36" s="41">
        <f>IF('Security &amp; Compliance'!E7="","",'Security &amp; Compliance'!E7)</f>
        <v/>
      </c>
      <c r="F36" s="40">
        <f>IF('Security &amp; Compliance'!F7="","",'Security &amp; Compliance'!F7)</f>
        <v/>
      </c>
      <c r="G36" s="41">
        <f>IF('Security &amp; Compliance'!G7="","",'Security &amp; Compliance'!G7)</f>
        <v/>
      </c>
    </row>
    <row r="37">
      <c r="A37" s="39">
        <f>IF('Security &amp; Compliance'!A8="","",'Security &amp; Compliance'!A8)</f>
        <v/>
      </c>
      <c r="B37" s="39">
        <f>IF('Security &amp; Compliance'!B8="","",'Security &amp; Compliance'!B8)</f>
        <v/>
      </c>
      <c r="C37" s="39">
        <f>IF('Security &amp; Compliance'!C8="","",'Security &amp; Compliance'!C8)</f>
        <v/>
      </c>
      <c r="D37" s="39">
        <f>IF('Security &amp; Compliance'!D8="","",'Security &amp; Compliance'!D8)</f>
        <v/>
      </c>
      <c r="E37" s="39">
        <f>IF('Security &amp; Compliance'!E8="","",'Security &amp; Compliance'!E8)</f>
        <v/>
      </c>
      <c r="F37" s="40">
        <f>IF('Security &amp; Compliance'!F8="","",'Security &amp; Compliance'!F8)</f>
        <v/>
      </c>
      <c r="G37" s="39">
        <f>IF('Security &amp; Compliance'!G8="","",'Security &amp; Compliance'!G8)</f>
        <v/>
      </c>
    </row>
    <row r="38">
      <c r="A38" s="41">
        <f>IF('Security &amp; Compliance'!A9="","",'Security &amp; Compliance'!A9)</f>
        <v/>
      </c>
      <c r="B38" s="41">
        <f>IF('Security &amp; Compliance'!B9="","",'Security &amp; Compliance'!B9)</f>
        <v/>
      </c>
      <c r="C38" s="41">
        <f>IF('Security &amp; Compliance'!C9="","",'Security &amp; Compliance'!C9)</f>
        <v/>
      </c>
      <c r="D38" s="41">
        <f>IF('Security &amp; Compliance'!D9="","",'Security &amp; Compliance'!D9)</f>
        <v/>
      </c>
      <c r="E38" s="41">
        <f>IF('Security &amp; Compliance'!E9="","",'Security &amp; Compliance'!E9)</f>
        <v/>
      </c>
      <c r="F38" s="40">
        <f>IF('Security &amp; Compliance'!F9="","",'Security &amp; Compliance'!F9)</f>
        <v/>
      </c>
      <c r="G38" s="41">
        <f>IF('Security &amp; Compliance'!G9="","",'Security &amp; Compliance'!G9)</f>
        <v/>
      </c>
    </row>
    <row r="39">
      <c r="A39" s="39">
        <f>IF('Operations &amp; Support'!A2="","",'Operations &amp; Support'!A2)</f>
        <v/>
      </c>
      <c r="B39" s="39">
        <f>IF('Operations &amp; Support'!B2="","",'Operations &amp; Support'!B2)</f>
        <v/>
      </c>
      <c r="C39" s="39">
        <f>IF('Operations &amp; Support'!C2="","",'Operations &amp; Support'!C2)</f>
        <v/>
      </c>
      <c r="D39" s="39">
        <f>IF('Operations &amp; Support'!D2="","",'Operations &amp; Support'!D2)</f>
        <v/>
      </c>
      <c r="E39" s="39">
        <f>IF('Operations &amp; Support'!E2="","",'Operations &amp; Support'!E2)</f>
        <v/>
      </c>
      <c r="F39" s="40">
        <f>IF('Operations &amp; Support'!F2="","",'Operations &amp; Support'!F2)</f>
        <v/>
      </c>
      <c r="G39" s="39">
        <f>IF('Operations &amp; Support'!G2="","",'Operations &amp; Support'!G2)</f>
        <v/>
      </c>
    </row>
    <row r="40">
      <c r="A40" s="41">
        <f>IF('Operations &amp; Support'!A3="","",'Operations &amp; Support'!A3)</f>
        <v/>
      </c>
      <c r="B40" s="41">
        <f>IF('Operations &amp; Support'!B3="","",'Operations &amp; Support'!B3)</f>
        <v/>
      </c>
      <c r="C40" s="41">
        <f>IF('Operations &amp; Support'!C3="","",'Operations &amp; Support'!C3)</f>
        <v/>
      </c>
      <c r="D40" s="41">
        <f>IF('Operations &amp; Support'!D3="","",'Operations &amp; Support'!D3)</f>
        <v/>
      </c>
      <c r="E40" s="41">
        <f>IF('Operations &amp; Support'!E3="","",'Operations &amp; Support'!E3)</f>
        <v/>
      </c>
      <c r="F40" s="40">
        <f>IF('Operations &amp; Support'!F3="","",'Operations &amp; Support'!F3)</f>
        <v/>
      </c>
      <c r="G40" s="41">
        <f>IF('Operations &amp; Support'!G3="","",'Operations &amp; Support'!G3)</f>
        <v/>
      </c>
    </row>
    <row r="41">
      <c r="A41" s="39">
        <f>IF('Operations &amp; Support'!A4="","",'Operations &amp; Support'!A4)</f>
        <v/>
      </c>
      <c r="B41" s="39">
        <f>IF('Operations &amp; Support'!B4="","",'Operations &amp; Support'!B4)</f>
        <v/>
      </c>
      <c r="C41" s="39">
        <f>IF('Operations &amp; Support'!C4="","",'Operations &amp; Support'!C4)</f>
        <v/>
      </c>
      <c r="D41" s="39">
        <f>IF('Operations &amp; Support'!D4="","",'Operations &amp; Support'!D4)</f>
        <v/>
      </c>
      <c r="E41" s="39">
        <f>IF('Operations &amp; Support'!E4="","",'Operations &amp; Support'!E4)</f>
        <v/>
      </c>
      <c r="F41" s="40">
        <f>IF('Operations &amp; Support'!F4="","",'Operations &amp; Support'!F4)</f>
        <v/>
      </c>
      <c r="G41" s="39">
        <f>IF('Operations &amp; Support'!G4="","",'Operations &amp; Support'!G4)</f>
        <v/>
      </c>
    </row>
    <row r="42">
      <c r="A42" s="41">
        <f>IF('Operations &amp; Support'!A5="","",'Operations &amp; Support'!A5)</f>
        <v/>
      </c>
      <c r="B42" s="41">
        <f>IF('Operations &amp; Support'!B5="","",'Operations &amp; Support'!B5)</f>
        <v/>
      </c>
      <c r="C42" s="41">
        <f>IF('Operations &amp; Support'!C5="","",'Operations &amp; Support'!C5)</f>
        <v/>
      </c>
      <c r="D42" s="41">
        <f>IF('Operations &amp; Support'!D5="","",'Operations &amp; Support'!D5)</f>
        <v/>
      </c>
      <c r="E42" s="41">
        <f>IF('Operations &amp; Support'!E5="","",'Operations &amp; Support'!E5)</f>
        <v/>
      </c>
      <c r="F42" s="40">
        <f>IF('Operations &amp; Support'!F5="","",'Operations &amp; Support'!F5)</f>
        <v/>
      </c>
      <c r="G42" s="41">
        <f>IF('Operations &amp; Support'!G5="","",'Operations &amp; Support'!G5)</f>
        <v/>
      </c>
    </row>
    <row r="43">
      <c r="A43" s="39">
        <f>IF('Operations &amp; Support'!A6="","",'Operations &amp; Support'!A6)</f>
        <v/>
      </c>
      <c r="B43" s="39">
        <f>IF('Operations &amp; Support'!B6="","",'Operations &amp; Support'!B6)</f>
        <v/>
      </c>
      <c r="C43" s="39">
        <f>IF('Operations &amp; Support'!C6="","",'Operations &amp; Support'!C6)</f>
        <v/>
      </c>
      <c r="D43" s="39">
        <f>IF('Operations &amp; Support'!D6="","",'Operations &amp; Support'!D6)</f>
        <v/>
      </c>
      <c r="E43" s="39">
        <f>IF('Operations &amp; Support'!E6="","",'Operations &amp; Support'!E6)</f>
        <v/>
      </c>
      <c r="F43" s="40">
        <f>IF('Operations &amp; Support'!F6="","",'Operations &amp; Support'!F6)</f>
        <v/>
      </c>
      <c r="G43" s="39">
        <f>IF('Operations &amp; Support'!G6="","",'Operations &amp; Support'!G6)</f>
        <v/>
      </c>
    </row>
    <row r="44">
      <c r="A44" s="41">
        <f>IF('Operations &amp; Support'!A7="","",'Operations &amp; Support'!A7)</f>
        <v/>
      </c>
      <c r="B44" s="41">
        <f>IF('Operations &amp; Support'!B7="","",'Operations &amp; Support'!B7)</f>
        <v/>
      </c>
      <c r="C44" s="41">
        <f>IF('Operations &amp; Support'!C7="","",'Operations &amp; Support'!C7)</f>
        <v/>
      </c>
      <c r="D44" s="41">
        <f>IF('Operations &amp; Support'!D7="","",'Operations &amp; Support'!D7)</f>
        <v/>
      </c>
      <c r="E44" s="41">
        <f>IF('Operations &amp; Support'!E7="","",'Operations &amp; Support'!E7)</f>
        <v/>
      </c>
      <c r="F44" s="40">
        <f>IF('Operations &amp; Support'!F7="","",'Operations &amp; Support'!F7)</f>
        <v/>
      </c>
      <c r="G44" s="41">
        <f>IF('Operations &amp; Support'!G7="","",'Operations &amp; Support'!G7)</f>
        <v/>
      </c>
    </row>
    <row r="45">
      <c r="A45" s="39">
        <f>IF('Operations &amp; Support'!A8="","",'Operations &amp; Support'!A8)</f>
        <v/>
      </c>
      <c r="B45" s="39">
        <f>IF('Operations &amp; Support'!B8="","",'Operations &amp; Support'!B8)</f>
        <v/>
      </c>
      <c r="C45" s="39">
        <f>IF('Operations &amp; Support'!C8="","",'Operations &amp; Support'!C8)</f>
        <v/>
      </c>
      <c r="D45" s="39">
        <f>IF('Operations &amp; Support'!D8="","",'Operations &amp; Support'!D8)</f>
        <v/>
      </c>
      <c r="E45" s="39">
        <f>IF('Operations &amp; Support'!E8="","",'Operations &amp; Support'!E8)</f>
        <v/>
      </c>
      <c r="F45" s="40">
        <f>IF('Operations &amp; Support'!F8="","",'Operations &amp; Support'!F8)</f>
        <v/>
      </c>
      <c r="G45" s="39">
        <f>IF('Operations &amp; Support'!G8="","",'Operations &amp; Support'!G8)</f>
        <v/>
      </c>
    </row>
    <row r="46">
      <c r="A46" s="41">
        <f>IF('Operations &amp; Support'!A9="","",'Operations &amp; Support'!A9)</f>
        <v/>
      </c>
      <c r="B46" s="41">
        <f>IF('Operations &amp; Support'!B9="","",'Operations &amp; Support'!B9)</f>
        <v/>
      </c>
      <c r="C46" s="41">
        <f>IF('Operations &amp; Support'!C9="","",'Operations &amp; Support'!C9)</f>
        <v/>
      </c>
      <c r="D46" s="41">
        <f>IF('Operations &amp; Support'!D9="","",'Operations &amp; Support'!D9)</f>
        <v/>
      </c>
      <c r="E46" s="41">
        <f>IF('Operations &amp; Support'!E9="","",'Operations &amp; Support'!E9)</f>
        <v/>
      </c>
      <c r="F46" s="40">
        <f>IF('Operations &amp; Support'!F9="","",'Operations &amp; Support'!F9)</f>
        <v/>
      </c>
      <c r="G46" s="41">
        <f>IF('Operations &amp; Support'!G9="","",'Operations &amp; Support'!G9)</f>
        <v/>
      </c>
    </row>
    <row r="47">
      <c r="A47" s="39">
        <f>IF('Operations &amp; Support'!A10="","",'Operations &amp; Support'!A10)</f>
        <v/>
      </c>
      <c r="B47" s="39">
        <f>IF('Operations &amp; Support'!B10="","",'Operations &amp; Support'!B10)</f>
        <v/>
      </c>
      <c r="C47" s="39">
        <f>IF('Operations &amp; Support'!C10="","",'Operations &amp; Support'!C10)</f>
        <v/>
      </c>
      <c r="D47" s="39">
        <f>IF('Operations &amp; Support'!D10="","",'Operations &amp; Support'!D10)</f>
        <v/>
      </c>
      <c r="E47" s="39">
        <f>IF('Operations &amp; Support'!E10="","",'Operations &amp; Support'!E10)</f>
        <v/>
      </c>
      <c r="F47" s="40">
        <f>IF('Operations &amp; Support'!F10="","",'Operations &amp; Support'!F10)</f>
        <v/>
      </c>
      <c r="G47" s="39">
        <f>IF('Operations &amp; Support'!G10="","",'Operations &amp; Support'!G10)</f>
        <v/>
      </c>
    </row>
    <row r="48">
      <c r="A48" s="41">
        <f>IF('Operations &amp; Support'!A11="","",'Operations &amp; Support'!A11)</f>
        <v/>
      </c>
      <c r="B48" s="41">
        <f>IF('Operations &amp; Support'!B11="","",'Operations &amp; Support'!B11)</f>
        <v/>
      </c>
      <c r="C48" s="41">
        <f>IF('Operations &amp; Support'!C11="","",'Operations &amp; Support'!C11)</f>
        <v/>
      </c>
      <c r="D48" s="41">
        <f>IF('Operations &amp; Support'!D11="","",'Operations &amp; Support'!D11)</f>
        <v/>
      </c>
      <c r="E48" s="41">
        <f>IF('Operations &amp; Support'!E11="","",'Operations &amp; Support'!E11)</f>
        <v/>
      </c>
      <c r="F48" s="40">
        <f>IF('Operations &amp; Support'!F11="","",'Operations &amp; Support'!F11)</f>
        <v/>
      </c>
      <c r="G48" s="41">
        <f>IF('Operations &amp; Support'!G11="","",'Operations &amp; Support'!G11)</f>
        <v/>
      </c>
    </row>
    <row r="49">
      <c r="A49" s="39">
        <f>IF('Integration Requirements'!A2="","",'Integration Requirements'!A2)</f>
        <v/>
      </c>
      <c r="B49" s="39">
        <f>IF('Integration Requirements'!B2="","",'Integration Requirements'!B2)</f>
        <v/>
      </c>
      <c r="C49" s="39">
        <f>IF('Integration Requirements'!C2="","",'Integration Requirements'!C2)</f>
        <v/>
      </c>
      <c r="D49" s="39">
        <f>IF('Integration Requirements'!D2="","",'Integration Requirements'!D2)</f>
        <v/>
      </c>
      <c r="E49" s="39">
        <f>IF('Integration Requirements'!E2="","",'Integration Requirements'!E2)</f>
        <v/>
      </c>
      <c r="F49" s="40">
        <f>IF('Integration Requirements'!F2="","",'Integration Requirements'!F2)</f>
        <v/>
      </c>
      <c r="G49" s="39">
        <f>IF('Integration Requirements'!G2="","",'Integration Requirements'!G2)</f>
        <v/>
      </c>
    </row>
    <row r="50">
      <c r="A50" s="41">
        <f>IF('Integration Requirements'!A3="","",'Integration Requirements'!A3)</f>
        <v/>
      </c>
      <c r="B50" s="41">
        <f>IF('Integration Requirements'!B3="","",'Integration Requirements'!B3)</f>
        <v/>
      </c>
      <c r="C50" s="41">
        <f>IF('Integration Requirements'!C3="","",'Integration Requirements'!C3)</f>
        <v/>
      </c>
      <c r="D50" s="41">
        <f>IF('Integration Requirements'!D3="","",'Integration Requirements'!D3)</f>
        <v/>
      </c>
      <c r="E50" s="41">
        <f>IF('Integration Requirements'!E3="","",'Integration Requirements'!E3)</f>
        <v/>
      </c>
      <c r="F50" s="40">
        <f>IF('Integration Requirements'!F3="","",'Integration Requirements'!F3)</f>
        <v/>
      </c>
      <c r="G50" s="41">
        <f>IF('Integration Requirements'!G3="","",'Integration Requirements'!G3)</f>
        <v/>
      </c>
    </row>
    <row r="51">
      <c r="A51" s="39">
        <f>IF('Integration Requirements'!A4="","",'Integration Requirements'!A4)</f>
        <v/>
      </c>
      <c r="B51" s="39">
        <f>IF('Integration Requirements'!B4="","",'Integration Requirements'!B4)</f>
        <v/>
      </c>
      <c r="C51" s="39">
        <f>IF('Integration Requirements'!C4="","",'Integration Requirements'!C4)</f>
        <v/>
      </c>
      <c r="D51" s="39">
        <f>IF('Integration Requirements'!D4="","",'Integration Requirements'!D4)</f>
        <v/>
      </c>
      <c r="E51" s="39">
        <f>IF('Integration Requirements'!E4="","",'Integration Requirements'!E4)</f>
        <v/>
      </c>
      <c r="F51" s="40">
        <f>IF('Integration Requirements'!F4="","",'Integration Requirements'!F4)</f>
        <v/>
      </c>
      <c r="G51" s="39">
        <f>IF('Integration Requirements'!G4="","",'Integration Requirements'!G4)</f>
        <v/>
      </c>
    </row>
    <row r="52">
      <c r="A52" s="41">
        <f>IF('Integration Requirements'!A5="","",'Integration Requirements'!A5)</f>
        <v/>
      </c>
      <c r="B52" s="41">
        <f>IF('Integration Requirements'!B5="","",'Integration Requirements'!B5)</f>
        <v/>
      </c>
      <c r="C52" s="41">
        <f>IF('Integration Requirements'!C5="","",'Integration Requirements'!C5)</f>
        <v/>
      </c>
      <c r="D52" s="41">
        <f>IF('Integration Requirements'!D5="","",'Integration Requirements'!D5)</f>
        <v/>
      </c>
      <c r="E52" s="41">
        <f>IF('Integration Requirements'!E5="","",'Integration Requirements'!E5)</f>
        <v/>
      </c>
      <c r="F52" s="40">
        <f>IF('Integration Requirements'!F5="","",'Integration Requirements'!F5)</f>
        <v/>
      </c>
      <c r="G52" s="41">
        <f>IF('Integration Requirements'!G5="","",'Integration Requirements'!G5)</f>
        <v/>
      </c>
    </row>
    <row r="53">
      <c r="A53" s="39">
        <f>IF('Implementation Planning'!A2="","",'Implementation Planning'!A2)</f>
        <v/>
      </c>
      <c r="B53" s="39">
        <f>IF('Implementation Planning'!B2="","",'Implementation Planning'!B2)</f>
        <v/>
      </c>
      <c r="C53" s="39">
        <f>IF('Implementation Planning'!C2="","",'Implementation Planning'!C2)</f>
        <v/>
      </c>
      <c r="D53" s="39">
        <f>IF('Implementation Planning'!D2="","",'Implementation Planning'!D2)</f>
        <v/>
      </c>
      <c r="E53" s="39">
        <f>IF('Implementation Planning'!E2="","",'Implementation Planning'!E2)</f>
        <v/>
      </c>
      <c r="F53" s="40">
        <f>IF('Implementation Planning'!F2="","",'Implementation Planning'!F2)</f>
        <v/>
      </c>
      <c r="G53" s="39">
        <f>IF('Implementation Planning'!G2="","",'Implementation Planning'!G2)</f>
        <v/>
      </c>
    </row>
    <row r="54">
      <c r="A54" s="41">
        <f>IF('Implementation Planning'!A3="","",'Implementation Planning'!A3)</f>
        <v/>
      </c>
      <c r="B54" s="41">
        <f>IF('Implementation Planning'!B3="","",'Implementation Planning'!B3)</f>
        <v/>
      </c>
      <c r="C54" s="41">
        <f>IF('Implementation Planning'!C3="","",'Implementation Planning'!C3)</f>
        <v/>
      </c>
      <c r="D54" s="41">
        <f>IF('Implementation Planning'!D3="","",'Implementation Planning'!D3)</f>
        <v/>
      </c>
      <c r="E54" s="41">
        <f>IF('Implementation Planning'!E3="","",'Implementation Planning'!E3)</f>
        <v/>
      </c>
      <c r="F54" s="40">
        <f>IF('Implementation Planning'!F3="","",'Implementation Planning'!F3)</f>
        <v/>
      </c>
      <c r="G54" s="41">
        <f>IF('Implementation Planning'!G3="","",'Implementation Planning'!G3)</f>
        <v/>
      </c>
    </row>
    <row r="55">
      <c r="A55" s="39">
        <f>IF('Implementation Planning'!A4="","",'Implementation Planning'!A4)</f>
        <v/>
      </c>
      <c r="B55" s="39">
        <f>IF('Implementation Planning'!B4="","",'Implementation Planning'!B4)</f>
        <v/>
      </c>
      <c r="C55" s="39">
        <f>IF('Implementation Planning'!C4="","",'Implementation Planning'!C4)</f>
        <v/>
      </c>
      <c r="D55" s="39">
        <f>IF('Implementation Planning'!D4="","",'Implementation Planning'!D4)</f>
        <v/>
      </c>
      <c r="E55" s="39">
        <f>IF('Implementation Planning'!E4="","",'Implementation Planning'!E4)</f>
        <v/>
      </c>
      <c r="F55" s="40">
        <f>IF('Implementation Planning'!F4="","",'Implementation Planning'!F4)</f>
        <v/>
      </c>
      <c r="G55" s="39">
        <f>IF('Implementation Planning'!G4="","",'Implementation Planning'!G4)</f>
        <v/>
      </c>
    </row>
    <row r="56">
      <c r="A56" s="41">
        <f>IF('Implementation Planning'!A5="","",'Implementation Planning'!A5)</f>
        <v/>
      </c>
      <c r="B56" s="41">
        <f>IF('Implementation Planning'!B5="","",'Implementation Planning'!B5)</f>
        <v/>
      </c>
      <c r="C56" s="41">
        <f>IF('Implementation Planning'!C5="","",'Implementation Planning'!C5)</f>
        <v/>
      </c>
      <c r="D56" s="41">
        <f>IF('Implementation Planning'!D5="","",'Implementation Planning'!D5)</f>
        <v/>
      </c>
      <c r="E56" s="41">
        <f>IF('Implementation Planning'!E5="","",'Implementation Planning'!E5)</f>
        <v/>
      </c>
      <c r="F56" s="40">
        <f>IF('Implementation Planning'!F5="","",'Implementation Planning'!F5)</f>
        <v/>
      </c>
      <c r="G56" s="41">
        <f>IF('Implementation Planning'!G5="","",'Implementation Planning'!G5)</f>
        <v/>
      </c>
    </row>
    <row r="57">
      <c r="A57" s="39">
        <f>IF('Implementation Planning'!A6="","",'Implementation Planning'!A6)</f>
        <v/>
      </c>
      <c r="B57" s="39">
        <f>IF('Implementation Planning'!B6="","",'Implementation Planning'!B6)</f>
        <v/>
      </c>
      <c r="C57" s="39">
        <f>IF('Implementation Planning'!C6="","",'Implementation Planning'!C6)</f>
        <v/>
      </c>
      <c r="D57" s="39">
        <f>IF('Implementation Planning'!D6="","",'Implementation Planning'!D6)</f>
        <v/>
      </c>
      <c r="E57" s="39">
        <f>IF('Implementation Planning'!E6="","",'Implementation Planning'!E6)</f>
        <v/>
      </c>
      <c r="F57" s="40">
        <f>IF('Implementation Planning'!F6="","",'Implementation Planning'!F6)</f>
        <v/>
      </c>
      <c r="G57" s="39">
        <f>IF('Implementation Planning'!G6="","",'Implementation Planning'!G6)</f>
        <v/>
      </c>
    </row>
    <row r="58">
      <c r="A58" s="41">
        <f>IF('Implementation Planning'!A7="","",'Implementation Planning'!A7)</f>
        <v/>
      </c>
      <c r="B58" s="41">
        <f>IF('Implementation Planning'!B7="","",'Implementation Planning'!B7)</f>
        <v/>
      </c>
      <c r="C58" s="41">
        <f>IF('Implementation Planning'!C7="","",'Implementation Planning'!C7)</f>
        <v/>
      </c>
      <c r="D58" s="41">
        <f>IF('Implementation Planning'!D7="","",'Implementation Planning'!D7)</f>
        <v/>
      </c>
      <c r="E58" s="41">
        <f>IF('Implementation Planning'!E7="","",'Implementation Planning'!E7)</f>
        <v/>
      </c>
      <c r="F58" s="40">
        <f>IF('Implementation Planning'!F7="","",'Implementation Planning'!F7)</f>
        <v/>
      </c>
      <c r="G58" s="41">
        <f>IF('Implementation Planning'!G7="","",'Implementation Planning'!G7)</f>
        <v/>
      </c>
    </row>
    <row r="59">
      <c r="A59" s="39">
        <f>IF('Implementation Planning'!A8="","",'Implementation Planning'!A8)</f>
        <v/>
      </c>
      <c r="B59" s="39">
        <f>IF('Implementation Planning'!B8="","",'Implementation Planning'!B8)</f>
        <v/>
      </c>
      <c r="C59" s="39">
        <f>IF('Implementation Planning'!C8="","",'Implementation Planning'!C8)</f>
        <v/>
      </c>
      <c r="D59" s="39">
        <f>IF('Implementation Planning'!D8="","",'Implementation Planning'!D8)</f>
        <v/>
      </c>
      <c r="E59" s="39">
        <f>IF('Implementation Planning'!E8="","",'Implementation Planning'!E8)</f>
        <v/>
      </c>
      <c r="F59" s="40">
        <f>IF('Implementation Planning'!F8="","",'Implementation Planning'!F8)</f>
        <v/>
      </c>
      <c r="G59" s="39">
        <f>IF('Implementation Planning'!G8="","",'Implementation Planning'!G8)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GitHub Advanced Security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security initiative?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security challenges are you trying to solve?</t>
        </is>
      </c>
      <c r="E4" s="41" t="inlineStr">
        <is>
          <t>Common challenges: Security vulnerabilities in production, Compliance gaps, Manual code reviews, Third-party dependency risks, Secret leaks, Lack of security automation</t>
        </is>
      </c>
      <c r="F4" s="40" t="n"/>
      <c r="G4" s="41" t="inlineStr">
        <is>
          <t>Primary business driver for GHAS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application security workflow?</t>
        </is>
      </c>
      <c r="E5" s="39" t="inlineStr">
        <is>
          <t>Describe manual reviews, security tools,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Current State</t>
        </is>
      </c>
      <c r="D6" s="41" t="inlineStr">
        <is>
          <t>What security tools are you currently using?</t>
        </is>
      </c>
      <c r="E6" s="41" t="inlineStr">
        <is>
          <t>Common tools: Snyk, Checkmarx, Veracode, SonarQube, BlackDuck, Manual code review</t>
        </is>
      </c>
      <c r="F6" s="40" t="n"/>
      <c r="G6" s="41" t="inlineStr">
        <is>
          <t>Existing security tooling landscape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Incidents</t>
        </is>
      </c>
      <c r="D7" s="39" t="inlineStr">
        <is>
          <t>Have you experienced security breaches or vulnerabilities in production?</t>
        </is>
      </c>
      <c r="E7" s="39" t="inlineStr">
        <is>
          <t>Describe incidents, impact, and cost of remediation</t>
        </is>
      </c>
      <c r="F7" s="40" t="n"/>
      <c r="G7" s="39" t="inlineStr">
        <is>
          <t>Security risk assessment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GitHub Advanced Security?</t>
        </is>
      </c>
      <c r="E8" s="41" t="inlineStr">
        <is>
          <t>Common goals: Shift-left security, Reduce vulnerabilities, Meet compliance, Automate SAST/SCA, Prevent secret leaks, Reduce security debt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GHAS success?</t>
        </is>
      </c>
      <c r="E9" s="39" t="inlineStr">
        <is>
          <t>Define KPIs: vulnerabilities detected in PRs, mean time to fix, security debt reduction, compliance audit pass rate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GHAS implementation?</t>
        </is>
      </c>
      <c r="E10" s="41" t="inlineStr">
        <is>
          <t>Typical ranges: 0-3 months, 3-6 months, 6-12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security solution?</t>
        </is>
      </c>
      <c r="E11" s="39" t="inlineStr">
        <is>
          <t>Include GitHub Enterprise + GHAS licenses, professional services, training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application security?</t>
        </is>
      </c>
      <c r="E12" s="41" t="inlineStr">
        <is>
          <t>Consider expansion to more repos, custom policies, security training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Compliance</t>
        </is>
      </c>
      <c r="D13" s="39" t="inlineStr">
        <is>
          <t>What compliance standards must you meet?</t>
        </is>
      </c>
      <c r="E13" s="39" t="inlineStr">
        <is>
          <t>Common: SOC 2, PCI-DSS, HIPAA, FedRAMP, ISO 27001, GDPR</t>
        </is>
      </c>
      <c r="F13" s="40" t="n"/>
      <c r="G13" s="39" t="inlineStr">
        <is>
          <t>Compliance requirements driving security investment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GitHub Environment</t>
        </is>
      </c>
      <c r="D2" s="41" t="inlineStr">
        <is>
          <t>What GitHub platform are you using?</t>
        </is>
      </c>
      <c r="E2" s="41" t="inlineStr">
        <is>
          <t>Options: GitHub.com (public/private), GitHub Enterprise Cloud, GitHub Enterprise Server</t>
        </is>
      </c>
      <c r="F2" s="40" t="n"/>
      <c r="G2" s="41" t="inlineStr">
        <is>
          <t>Current GitHub deployment model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GitHub Environment</t>
        </is>
      </c>
      <c r="D3" s="39" t="inlineStr">
        <is>
          <t>How many GitHub organizations and repositories do you have?</t>
        </is>
      </c>
      <c r="E3" s="39" t="inlineStr">
        <is>
          <t>Provide org count, total repos, and repos requiring security scanning</t>
        </is>
      </c>
      <c r="F3" s="40" t="n"/>
      <c r="G3" s="39" t="inlineStr">
        <is>
          <t>Repository scope and coverage planning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Developer Count</t>
        </is>
      </c>
      <c r="D4" s="41" t="inlineStr">
        <is>
          <t>How many active developers/committers do you have?</t>
        </is>
      </c>
      <c r="E4" s="41" t="inlineStr">
        <is>
          <t>Active committers = unique users with commits in past 90 days (GHAS pricing)</t>
        </is>
      </c>
      <c r="F4" s="40" t="n"/>
      <c r="G4" s="41" t="inlineStr">
        <is>
          <t>License count for GHAS pricing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Development Teams</t>
        </is>
      </c>
      <c r="D5" s="39" t="inlineStr">
        <is>
          <t>How many development teams will use GHAS?</t>
        </is>
      </c>
      <c r="E5" s="39" t="inlineStr">
        <is>
          <t>List teams, repos per team, and primary languages</t>
        </is>
      </c>
      <c r="F5" s="40" t="n"/>
      <c r="G5" s="39" t="inlineStr">
        <is>
          <t>Team structure and rollout planning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Programming Languages</t>
        </is>
      </c>
      <c r="D6" s="41" t="inlineStr">
        <is>
          <t>What programming languages are used in your codebase?</t>
        </is>
      </c>
      <c r="E6" s="41" t="inlineStr">
        <is>
          <t>Languages: JavaScript/TypeScript, Python, Java, C#, Go, Ruby, C/C++, PHP, Swift, Kotlin</t>
        </is>
      </c>
      <c r="F6" s="40" t="n"/>
      <c r="G6" s="41" t="inlineStr">
        <is>
          <t>CodeQL language support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Application Types</t>
        </is>
      </c>
      <c r="D7" s="39" t="inlineStr">
        <is>
          <t>What types of applications do you build?</t>
        </is>
      </c>
      <c r="E7" s="39" t="inlineStr">
        <is>
          <t>Types: Web apps, APIs, Mobile apps, Desktop apps, Serverless, Microservices</t>
        </is>
      </c>
      <c r="F7" s="40" t="n"/>
      <c r="G7" s="39" t="inlineStr">
        <is>
          <t>Application security scanning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Code Repositories</t>
        </is>
      </c>
      <c r="D8" s="41" t="inlineStr">
        <is>
          <t>What is the size and complexity of your repositories?</t>
        </is>
      </c>
      <c r="E8" s="41" t="inlineStr">
        <is>
          <t>Metrics: lines of code, file count, monorepo vs multi-repo</t>
        </is>
      </c>
      <c r="F8" s="40" t="n"/>
      <c r="G8" s="41" t="inlineStr">
        <is>
          <t>Scanning duration and resource planning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CI/CD Platform</t>
        </is>
      </c>
      <c r="D9" s="39" t="inlineStr">
        <is>
          <t>What CI/CD platform do you use?</t>
        </is>
      </c>
      <c r="E9" s="39" t="inlineStr">
        <is>
          <t>Platforms: GitHub Actions, Jenkins, GitLab CI, CircleCI, Azure DevOps, TeamCity</t>
        </is>
      </c>
      <c r="F9" s="40" t="n"/>
      <c r="G9" s="39" t="inlineStr">
        <is>
          <t>Integration and workflow automation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Deployment Frequency</t>
        </is>
      </c>
      <c r="D10" s="41" t="inlineStr">
        <is>
          <t>How often do you deploy to production?</t>
        </is>
      </c>
      <c r="E10" s="41" t="inlineStr">
        <is>
          <t>Options: Multiple times per day, Daily, Weekly, Monthly</t>
        </is>
      </c>
      <c r="F10" s="40" t="n"/>
      <c r="G10" s="41" t="inlineStr">
        <is>
          <t>Scan frequency and automation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Branch Strategy</t>
        </is>
      </c>
      <c r="D11" s="39" t="inlineStr">
        <is>
          <t>What branching strategy do you follow?</t>
        </is>
      </c>
      <c r="E11" s="39" t="inlineStr">
        <is>
          <t>Strategies: GitHub Flow, Git Flow, Trunk-based development</t>
        </is>
      </c>
      <c r="F11" s="40" t="n"/>
      <c r="G11" s="39" t="inlineStr">
        <is>
          <t>Security checkpoint and PR integration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Dependency Management</t>
        </is>
      </c>
      <c r="D12" s="41" t="inlineStr">
        <is>
          <t>What package managers do you use?</t>
        </is>
      </c>
      <c r="E12" s="41" t="inlineStr">
        <is>
          <t>Managers: npm, pip, Maven, NuGet, RubyGems, Go modules, Composer</t>
        </is>
      </c>
      <c r="F12" s="40" t="n"/>
      <c r="G12" s="41" t="inlineStr">
        <is>
          <t>Dependency scanning configuration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Dependency Count</t>
        </is>
      </c>
      <c r="D13" s="39" t="inlineStr">
        <is>
          <t>How many third-party dependencies do you use per application?</t>
        </is>
      </c>
      <c r="E13" s="39" t="inlineStr">
        <is>
          <t>Typical ranges: 10-50, 50-200, 200-500, 500+</t>
        </is>
      </c>
      <c r="F13" s="40" t="n"/>
      <c r="G13" s="39" t="inlineStr">
        <is>
          <t>Software composition analysis scope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Custom CodeQL</t>
        </is>
      </c>
      <c r="D14" s="41" t="inlineStr">
        <is>
          <t>Do you need custom CodeQL queries for your security policies?</t>
        </is>
      </c>
      <c r="E14" s="41" t="inlineStr">
        <is>
          <t>Examples: Company-specific patterns, framework-specific rules, business logic bugs</t>
        </is>
      </c>
      <c r="F14" s="40" t="n"/>
      <c r="G14" s="41" t="inlineStr">
        <is>
          <t>Custom query development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Security Policies</t>
        </is>
      </c>
      <c r="D15" s="39" t="inlineStr">
        <is>
          <t>What security policies need enforcement in pull requests?</t>
        </is>
      </c>
      <c r="E15" s="39" t="inlineStr">
        <is>
          <t>Examples: Critical vulnerabilities block merge, require security reviews, dependency version constraints</t>
        </is>
      </c>
      <c r="F15" s="40" t="n"/>
      <c r="G15" s="39" t="inlineStr">
        <is>
          <t>Policy configuration and enforcement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Vulnerability Types</t>
        </is>
      </c>
      <c r="D2" s="41" t="inlineStr">
        <is>
          <t>What vulnerability types are most critical for your organization?</t>
        </is>
      </c>
      <c r="E2" s="41" t="inlineStr">
        <is>
          <t>Common CWEs: SQL injection, XSS, CSRF, authentication bypass, path traversal, deserialization</t>
        </is>
      </c>
      <c r="F2" s="40" t="n"/>
      <c r="G2" s="41" t="inlineStr">
        <is>
          <t>Security scanning priorities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Secret Types</t>
        </is>
      </c>
      <c r="D3" s="39" t="inlineStr">
        <is>
          <t>What types of secrets appear in your code?</t>
        </is>
      </c>
      <c r="E3" s="39" t="inlineStr">
        <is>
          <t>Secret types: API keys, AWS credentials, database passwords, GitHub tokens, SSH keys, certificates</t>
        </is>
      </c>
      <c r="F3" s="40" t="n"/>
      <c r="G3" s="39" t="inlineStr">
        <is>
          <t>Secret scanning configuration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Secret Remediation</t>
        </is>
      </c>
      <c r="D4" s="41" t="inlineStr">
        <is>
          <t>How do you handle secrets detected in code?</t>
        </is>
      </c>
      <c r="E4" s="41" t="inlineStr">
        <is>
          <t>Options: Immediate revocation, Alert developer, Security team review, Automated rotation</t>
        </is>
      </c>
      <c r="F4" s="40" t="n"/>
      <c r="G4" s="41" t="inlineStr">
        <is>
          <t>Secret leak response workflow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Dependency Vulnerabilities</t>
        </is>
      </c>
      <c r="D5" s="39" t="inlineStr">
        <is>
          <t>What severity levels require immediate action?</t>
        </is>
      </c>
      <c r="E5" s="39" t="inlineStr">
        <is>
          <t>Severity: Critical, High, Medium, Low - define SLAs for each</t>
        </is>
      </c>
      <c r="F5" s="40" t="n"/>
      <c r="G5" s="39" t="inlineStr">
        <is>
          <t>Vulnerability management and SLA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Security Team</t>
        </is>
      </c>
      <c r="D6" s="41" t="inlineStr">
        <is>
          <t>What is your security team structure?</t>
        </is>
      </c>
      <c r="E6" s="41" t="inlineStr">
        <is>
          <t>Roles: AppSec engineers, Security champions, CISO, SOC analysts</t>
        </is>
      </c>
      <c r="F6" s="40" t="n"/>
      <c r="G6" s="41" t="inlineStr">
        <is>
          <t>Security team roles and responsibilities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Security Training</t>
        </is>
      </c>
      <c r="D7" s="39" t="inlineStr">
        <is>
          <t>Do developers receive security training?</t>
        </is>
      </c>
      <c r="E7" s="39" t="inlineStr">
        <is>
          <t>Topics: OWASP Top 10, secure coding, vulnerability remediation</t>
        </is>
      </c>
      <c r="F7" s="40" t="n"/>
      <c r="G7" s="39" t="inlineStr">
        <is>
          <t>Developer security awareness level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Audit Requirements</t>
        </is>
      </c>
      <c r="D8" s="41" t="inlineStr">
        <is>
          <t>What audit and reporting requirements do you have?</t>
        </is>
      </c>
      <c r="E8" s="41" t="inlineStr">
        <is>
          <t>Requirements: Vulnerability reports, Audit logs, Compliance dashboards, Executive summaries</t>
        </is>
      </c>
      <c r="F8" s="40" t="n"/>
      <c r="G8" s="41" t="inlineStr">
        <is>
          <t>Reporting and compliance needs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Classification</t>
        </is>
      </c>
      <c r="D9" s="39" t="inlineStr">
        <is>
          <t>What is the highest data classification in your applications?</t>
        </is>
      </c>
      <c r="E9" s="39" t="inlineStr">
        <is>
          <t>Levels: Public, Internal, Confidential, Restricted/Regulated</t>
        </is>
      </c>
      <c r="F9" s="40" t="n"/>
      <c r="G9" s="39" t="inlineStr">
        <is>
          <t>Risk level and compliance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Code Scanning Frequency</t>
        </is>
      </c>
      <c r="D2" s="41" t="inlineStr">
        <is>
          <t>How often should code scanning run?</t>
        </is>
      </c>
      <c r="E2" s="41" t="inlineStr">
        <is>
          <t>Options: Every commit, Every pull request, Daily, Weekly</t>
        </is>
      </c>
      <c r="F2" s="40" t="n"/>
      <c r="G2" s="41" t="inlineStr">
        <is>
          <t>Scan automation and frequency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Scan Duration</t>
        </is>
      </c>
      <c r="D3" s="39" t="inlineStr">
        <is>
          <t>What is acceptable scan duration for pull requests?</t>
        </is>
      </c>
      <c r="E3" s="39" t="inlineStr">
        <is>
          <t>Typical ranges: 5-15 minutes, 15-30 minutes, 30-60 minutes</t>
        </is>
      </c>
      <c r="F3" s="40" t="n"/>
      <c r="G3" s="39" t="inlineStr">
        <is>
          <t>CI/CD performance requirements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Alert Management</t>
        </is>
      </c>
      <c r="D4" s="41" t="inlineStr">
        <is>
          <t>How should security alerts be managed?</t>
        </is>
      </c>
      <c r="E4" s="41" t="inlineStr">
        <is>
          <t>Options: GitHub Security tab, Email notifications, Slack/Teams integration, SIEM integration</t>
        </is>
      </c>
      <c r="F4" s="40" t="n"/>
      <c r="G4" s="41" t="inlineStr">
        <is>
          <t>Notification and alert routing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Vulnerability Triage</t>
        </is>
      </c>
      <c r="D5" s="39" t="inlineStr">
        <is>
          <t>What is your vulnerability triage process?</t>
        </is>
      </c>
      <c r="E5" s="39" t="inlineStr">
        <is>
          <t>Process: Security team review, assign to developers, track in Jira/GitHub Issues, verify fix</t>
        </is>
      </c>
      <c r="F5" s="40" t="n"/>
      <c r="G5" s="39" t="inlineStr">
        <is>
          <t>Workflow and issue management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False Positives</t>
        </is>
      </c>
      <c r="D6" s="41" t="inlineStr">
        <is>
          <t>How will you handle false positive alerts?</t>
        </is>
      </c>
      <c r="E6" s="41" t="inlineStr">
        <is>
          <t>Options: Dismiss with justification, Custom CodeQL suppressions, Severity adjustment</t>
        </is>
      </c>
      <c r="F6" s="40" t="n"/>
      <c r="G6" s="41" t="inlineStr">
        <is>
          <t>Alert quality and noise reduction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Pull Request Blocking</t>
        </is>
      </c>
      <c r="D7" s="39" t="inlineStr">
        <is>
          <t>Should security findings block pull request merges?</t>
        </is>
      </c>
      <c r="E7" s="39" t="inlineStr">
        <is>
          <t>Options: Block on critical, Block on high+, Advisory only, Custom policy</t>
        </is>
      </c>
      <c r="F7" s="40" t="n"/>
      <c r="G7" s="39" t="inlineStr">
        <is>
          <t>Merge protection and enforcement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Remediation SLA</t>
        </is>
      </c>
      <c r="D8" s="41" t="inlineStr">
        <is>
          <t>What are your SLAs for fixing vulnerabilities?</t>
        </is>
      </c>
      <c r="E8" s="41" t="inlineStr">
        <is>
          <t>Example SLAs: Critical - 24 hours, High - 7 days, Medium - 30 days, Low - 90 days</t>
        </is>
      </c>
      <c r="F8" s="40" t="n"/>
      <c r="G8" s="41" t="inlineStr">
        <is>
          <t>Vulnerability management timelines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Monitoring</t>
        </is>
      </c>
      <c r="D9" s="39" t="inlineStr">
        <is>
          <t>What security metrics do you need to track?</t>
        </is>
      </c>
      <c r="E9" s="39" t="inlineStr">
        <is>
          <t>Metrics: Vulnerabilities by severity, MTTR, Scan coverage, Dependency freshness, Secret leak count</t>
        </is>
      </c>
      <c r="F9" s="40" t="n"/>
      <c r="G9" s="39" t="inlineStr">
        <is>
          <t>Security dashboard and KPIs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Reporting Frequency</t>
        </is>
      </c>
      <c r="D10" s="41" t="inlineStr">
        <is>
          <t>How often do you need security reports?</t>
        </is>
      </c>
      <c r="E10" s="41" t="inlineStr">
        <is>
          <t>Options: Real-time dashboard, Daily, Weekly, Monthly executive summary</t>
        </is>
      </c>
      <c r="F10" s="40" t="n"/>
      <c r="G10" s="41" t="inlineStr">
        <is>
          <t>Reporting cadence for stakeholders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Integration Requirements</t>
        </is>
      </c>
      <c r="D11" s="39" t="inlineStr">
        <is>
          <t>What systems need integration with GHAS?</t>
        </is>
      </c>
      <c r="E11" s="39" t="inlineStr">
        <is>
          <t>Systems: JIRA, ServiceNow, Slack, PagerDuty, Splunk, Azure Sentinel</t>
        </is>
      </c>
      <c r="F11" s="40" t="n"/>
      <c r="G11" s="39" t="inlineStr">
        <is>
          <t>Third-party integrations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INT-001</t>
        </is>
      </c>
      <c r="B2" s="41" t="inlineStr">
        <is>
          <t>Integration Requirements</t>
        </is>
      </c>
      <c r="C2" s="41" t="inlineStr">
        <is>
          <t>CI/CD Integration</t>
        </is>
      </c>
      <c r="D2" s="41" t="inlineStr">
        <is>
          <t>Do you use GitHub Actions for CI/CD?</t>
        </is>
      </c>
      <c r="E2" s="41" t="inlineStr">
        <is>
          <t>If yes, security scanning can be fully automated in workflows</t>
        </is>
      </c>
      <c r="F2" s="40" t="n"/>
      <c r="G2" s="41" t="inlineStr">
        <is>
          <t>GitHub Actions workflow automation</t>
        </is>
      </c>
    </row>
    <row r="3">
      <c r="A3" s="39" t="inlineStr">
        <is>
          <t>INT-002</t>
        </is>
      </c>
      <c r="B3" s="39" t="inlineStr">
        <is>
          <t>Integration Requirements</t>
        </is>
      </c>
      <c r="C3" s="39" t="inlineStr">
        <is>
          <t>Issue Tracking</t>
        </is>
      </c>
      <c r="D3" s="39" t="inlineStr">
        <is>
          <t>What issue tracking system do you use?</t>
        </is>
      </c>
      <c r="E3" s="39" t="inlineStr">
        <is>
          <t>Systems: GitHub Issues, JIRA, Azure Boards, ServiceNow</t>
        </is>
      </c>
      <c r="F3" s="40" t="n"/>
      <c r="G3" s="39" t="inlineStr">
        <is>
          <t>Vulnerability tracking integration</t>
        </is>
      </c>
    </row>
    <row r="4">
      <c r="A4" s="41" t="inlineStr">
        <is>
          <t>INT-003</t>
        </is>
      </c>
      <c r="B4" s="41" t="inlineStr">
        <is>
          <t>Integration Requirements</t>
        </is>
      </c>
      <c r="C4" s="41" t="inlineStr">
        <is>
          <t>SIEM Integration</t>
        </is>
      </c>
      <c r="D4" s="41" t="inlineStr">
        <is>
          <t>Do you need SIEM integration for security events?</t>
        </is>
      </c>
      <c r="E4" s="41" t="inlineStr">
        <is>
          <t>SIEM platforms: Splunk, Azure Sentinel, Datadog, Sumo Logic</t>
        </is>
      </c>
      <c r="F4" s="40" t="n"/>
      <c r="G4" s="41" t="inlineStr">
        <is>
          <t>Security event aggregation</t>
        </is>
      </c>
    </row>
    <row r="5">
      <c r="A5" s="39" t="inlineStr">
        <is>
          <t>INT-004</t>
        </is>
      </c>
      <c r="B5" s="39" t="inlineStr">
        <is>
          <t>Integration Requirements</t>
        </is>
      </c>
      <c r="C5" s="39" t="inlineStr">
        <is>
          <t>Notification Channels</t>
        </is>
      </c>
      <c r="D5" s="39" t="inlineStr">
        <is>
          <t>What notification channels do you use?</t>
        </is>
      </c>
      <c r="E5" s="39" t="inlineStr">
        <is>
          <t>Channels: Email, Slack, Microsoft Teams, PagerDuty, Webhooks</t>
        </is>
      </c>
      <c r="F5" s="40" t="n"/>
      <c r="G5" s="39" t="inlineStr">
        <is>
          <t>Alert delivery mechanisms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Existing Tools</t>
        </is>
      </c>
      <c r="D2" s="41" t="inlineStr">
        <is>
          <t>What security tools will GHAS replace?</t>
        </is>
      </c>
      <c r="E2" s="41" t="inlineStr">
        <is>
          <t>Tools: Snyk, Checkmarx, Veracode, SonarQube - plan migration and comparison</t>
        </is>
      </c>
      <c r="F2" s="40" t="n"/>
      <c r="G2" s="41" t="inlineStr">
        <is>
          <t>Tool migration and transition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Historical Data</t>
        </is>
      </c>
      <c r="D3" s="39" t="inlineStr">
        <is>
          <t>Do you need to import historical security findings?</t>
        </is>
      </c>
      <c r="E3" s="39" t="inlineStr">
        <is>
          <t>Options: Fresh start, Import open vulnerabilities, Full historical import</t>
        </is>
      </c>
      <c r="F3" s="40" t="n"/>
      <c r="G3" s="39" t="inlineStr">
        <is>
          <t>Data migration requirements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Rollout Strategy</t>
        </is>
      </c>
      <c r="D4" s="41" t="inlineStr">
        <is>
          <t>What is your preferred rollout approach?</t>
        </is>
      </c>
      <c r="E4" s="41" t="inlineStr">
        <is>
          <t>Strategies: Pilot with 1-2 repos, Phased by team, All repos at once</t>
        </is>
      </c>
      <c r="F4" s="40" t="n"/>
      <c r="G4" s="41" t="inlineStr">
        <is>
          <t>Implementation and adoption strategy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Pilot Repositories</t>
        </is>
      </c>
      <c r="D5" s="39" t="inlineStr">
        <is>
          <t>Which repositories will you pilot GHAS on first?</t>
        </is>
      </c>
      <c r="E5" s="39" t="inlineStr">
        <is>
          <t>Select representative repos with different languages and complexity</t>
        </is>
      </c>
      <c r="F5" s="40" t="n"/>
      <c r="G5" s="39" t="inlineStr">
        <is>
          <t>Pilot selection and validation</t>
        </is>
      </c>
    </row>
    <row r="6">
      <c r="A6" s="41" t="inlineStr">
        <is>
          <t>IMPL-0001</t>
        </is>
      </c>
      <c r="B6" s="41" t="inlineStr">
        <is>
          <t>Implementation Planning</t>
        </is>
      </c>
      <c r="C6" s="41" t="inlineStr">
        <is>
          <t>Security Champion Training</t>
        </is>
      </c>
      <c r="D6" s="41" t="inlineStr">
        <is>
          <t>Who will be trained as security champions?</t>
        </is>
      </c>
      <c r="E6" s="41" t="inlineStr">
        <is>
          <t>Identify 1-2 champions per team to lead GHAS adoption</t>
        </is>
      </c>
      <c r="F6" s="40" t="n"/>
      <c r="G6" s="41" t="inlineStr">
        <is>
          <t>Security champion program</t>
        </is>
      </c>
    </row>
    <row r="7">
      <c r="A7" s="39" t="inlineStr">
        <is>
          <t>IMPL-0002</t>
        </is>
      </c>
      <c r="B7" s="39" t="inlineStr">
        <is>
          <t>Implementation Planning</t>
        </is>
      </c>
      <c r="C7" s="39" t="inlineStr">
        <is>
          <t>Developer Training</t>
        </is>
      </c>
      <c r="D7" s="39" t="inlineStr">
        <is>
          <t>What training do developers need?</t>
        </is>
      </c>
      <c r="E7" s="39" t="inlineStr">
        <is>
          <t>Topics: GHAS overview, Interpreting alerts, Fixing vulnerabilities, CodeQL basics</t>
        </is>
      </c>
      <c r="F7" s="40" t="n"/>
      <c r="G7" s="39" t="inlineStr">
        <is>
          <t>Developer enablement and adoption</t>
        </is>
      </c>
    </row>
    <row r="8">
      <c r="A8" s="41" t="inlineStr">
        <is>
          <t>IMPL-0003</t>
        </is>
      </c>
      <c r="B8" s="41" t="inlineStr">
        <is>
          <t>Implementation Planning</t>
        </is>
      </c>
      <c r="C8" s="41" t="inlineStr">
        <is>
          <t>Administrator Training</t>
        </is>
      </c>
      <c r="D8" s="41" t="inlineStr">
        <is>
          <t>Who will administer GHAS policies and configurations?</t>
        </is>
      </c>
      <c r="E8" s="41" t="inlineStr">
        <is>
          <t>Roles: Security team, Platform team, DevOps</t>
        </is>
      </c>
      <c r="F8" s="40" t="n"/>
      <c r="G8" s="41" t="inlineStr">
        <is>
          <t>Administrative training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2025-11-25T04:29:49Z</dcterms:modified>
  <cp:lastModifiedBy>Kishan Siram</cp:lastModifiedBy>
</cp:coreProperties>
</file>