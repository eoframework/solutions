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'LOE'!$A$2:$K$37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GITHUB - Devops - Actions Enterprise Cicd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Active Developers</t>
        </is>
      </c>
      <c r="C3" s="39" t="inlineStr">
        <is>
          <t>100 developers</t>
        </is>
      </c>
      <c r="D3" s="38" t="inlineStr">
        <is>
          <t>100 developers</t>
        </is>
      </c>
      <c r="E3" s="38" t="inlineStr">
        <is>
          <t>250 developers</t>
        </is>
      </c>
      <c r="F3" s="38" t="inlineStr">
        <is>
          <t>500+ developers</t>
        </is>
      </c>
      <c r="G3" s="38" t="inlineStr">
        <is>
          <t>GitHub Enterprise user count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Development Teams</t>
        </is>
      </c>
      <c r="C4" s="39" t="inlineStr">
        <is>
          <t>8-10 teams</t>
        </is>
      </c>
      <c r="D4" s="41" t="inlineStr">
        <is>
          <t>8-10 teams</t>
        </is>
      </c>
      <c r="E4" s="41" t="inlineStr">
        <is>
          <t>15-20 teams</t>
        </is>
      </c>
      <c r="F4" s="41" t="inlineStr">
        <is>
          <t>30+ teams</t>
        </is>
      </c>
      <c r="G4" s="41" t="inlineStr">
        <is>
          <t>Team onboarding and rollout scope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Applications with CI/CD</t>
        </is>
      </c>
      <c r="C5" s="39" t="inlineStr">
        <is>
          <t>20-50 applications</t>
        </is>
      </c>
      <c r="D5" s="38" t="inlineStr">
        <is>
          <t>20-50 apps</t>
        </is>
      </c>
      <c r="E5" s="38" t="inlineStr">
        <is>
          <t>60-100 apps</t>
        </is>
      </c>
      <c r="F5" s="38" t="inlineStr">
        <is>
          <t>150+ apps</t>
        </is>
      </c>
      <c r="G5" s="38" t="inlineStr">
        <is>
          <t>Pipeline development scope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Builds Per Day</t>
        </is>
      </c>
      <c r="C6" s="39" t="inlineStr">
        <is>
          <t>200 builds/day</t>
        </is>
      </c>
      <c r="D6" s="41" t="inlineStr">
        <is>
          <t>200 builds</t>
        </is>
      </c>
      <c r="E6" s="41" t="inlineStr">
        <is>
          <t>500 builds</t>
        </is>
      </c>
      <c r="F6" s="41" t="inlineStr">
        <is>
          <t>1000+ builds</t>
        </is>
      </c>
      <c r="G6" s="41" t="inlineStr">
        <is>
          <t>Daily pipeline execution volume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Migration Source</t>
        </is>
      </c>
      <c r="C7" s="39" t="inlineStr">
        <is>
          <t>Jenkins GitLab CI</t>
        </is>
      </c>
      <c r="D7" s="38" t="inlineStr">
        <is>
          <t>1 platform</t>
        </is>
      </c>
      <c r="E7" s="38" t="inlineStr">
        <is>
          <t>2 platforms</t>
        </is>
      </c>
      <c r="F7" s="38" t="inlineStr">
        <is>
          <t>3+ platforms</t>
        </is>
      </c>
      <c r="G7" s="38" t="inlineStr">
        <is>
          <t>CI/CD platform migration complexity</t>
        </is>
      </c>
      <c r="H7" s="38" t="inlineStr"/>
    </row>
    <row r="8" ht="26" customHeight="1">
      <c r="A8" s="40" t="inlineStr">
        <is>
          <t>Integration</t>
        </is>
      </c>
      <c r="B8" s="41" t="inlineStr">
        <is>
          <t>Deployment Targets</t>
        </is>
      </c>
      <c r="C8" s="39" t="inlineStr">
        <is>
          <t>AWS (EC2 ECS EKS Lambda)</t>
        </is>
      </c>
      <c r="D8" s="41" t="inlineStr">
        <is>
          <t>Single cloud</t>
        </is>
      </c>
      <c r="E8" s="41" t="inlineStr">
        <is>
          <t>Multi-cloud (AWS Azure)</t>
        </is>
      </c>
      <c r="F8" s="41" t="inlineStr">
        <is>
          <t>All clouds (AWS Azure GCP)</t>
        </is>
      </c>
      <c r="G8" s="41" t="inlineStr">
        <is>
          <t>Cloud provider deployment scope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Self-Hosted Runners</t>
        </is>
      </c>
      <c r="C9" s="39" t="inlineStr">
        <is>
          <t>20 runners (c5.2xlarge)</t>
        </is>
      </c>
      <c r="D9" s="38" t="inlineStr">
        <is>
          <t>20 runners</t>
        </is>
      </c>
      <c r="E9" s="38" t="inlineStr">
        <is>
          <t>50 runners</t>
        </is>
      </c>
      <c r="F9" s="38" t="inlineStr">
        <is>
          <t>100+ runners</t>
        </is>
      </c>
      <c r="G9" s="38" t="inlineStr">
        <is>
          <t>Runner infrastructure scale</t>
        </is>
      </c>
      <c r="H9" s="38" t="inlineStr"/>
    </row>
    <row r="10" ht="26" customHeight="1">
      <c r="A10" s="40" t="inlineStr">
        <is>
          <t>User Base</t>
        </is>
      </c>
      <c r="B10" s="41" t="inlineStr">
        <is>
          <t>Runner OS</t>
        </is>
      </c>
      <c r="C10" s="39" t="inlineStr">
        <is>
          <t>Linux + Windows</t>
        </is>
      </c>
      <c r="D10" s="41" t="inlineStr">
        <is>
          <t>2 OS types</t>
        </is>
      </c>
      <c r="E10" s="41" t="inlineStr">
        <is>
          <t>3 OS types (+ macOS)</t>
        </is>
      </c>
      <c r="F10" s="41" t="inlineStr">
        <is>
          <t>Custom OS images</t>
        </is>
      </c>
      <c r="G10" s="41" t="inlineStr">
        <is>
          <t>Multi-platform build support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Average Build Duration</t>
        </is>
      </c>
      <c r="C11" s="39" t="inlineStr">
        <is>
          <t>20 minutes</t>
        </is>
      </c>
      <c r="D11" s="38" t="inlineStr">
        <is>
          <t>20 minutes</t>
        </is>
      </c>
      <c r="E11" s="38" t="inlineStr">
        <is>
          <t>45 minutes</t>
        </is>
      </c>
      <c r="F11" s="38" t="inlineStr">
        <is>
          <t>90+ minutes</t>
        </is>
      </c>
      <c r="G11" s="38" t="inlineStr">
        <is>
          <t>Pipeline execution time and optimization</t>
        </is>
      </c>
      <c r="H11" s="38" t="inlineStr"/>
    </row>
    <row r="12" ht="26" customHeight="1">
      <c r="A12" s="40" t="inlineStr">
        <is>
          <t>Data Volume</t>
        </is>
      </c>
      <c r="B12" s="41" t="inlineStr">
        <is>
          <t>Reusable Workflows</t>
        </is>
      </c>
      <c r="C12" s="39" t="inlineStr">
        <is>
          <t>15 workflow templates</t>
        </is>
      </c>
      <c r="D12" s="41" t="inlineStr">
        <is>
          <t>15 templates</t>
        </is>
      </c>
      <c r="E12" s="41" t="inlineStr">
        <is>
          <t>30 templates</t>
        </is>
      </c>
      <c r="F12" s="41" t="inlineStr">
        <is>
          <t>60+ templates</t>
        </is>
      </c>
      <c r="G12" s="41" t="inlineStr">
        <is>
          <t>Centralized workflow library scope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Technology Stack</t>
        </is>
      </c>
      <c r="C13" s="39" t="inlineStr">
        <is>
          <t>.NET Node.js Python Docker</t>
        </is>
      </c>
      <c r="D13" s="38" t="inlineStr">
        <is>
          <t>3-4 stacks</t>
        </is>
      </c>
      <c r="E13" s="38" t="inlineStr">
        <is>
          <t>5-7 stacks</t>
        </is>
      </c>
      <c r="F13" s="38" t="inlineStr">
        <is>
          <t>10+ stacks</t>
        </is>
      </c>
      <c r="G13" s="38" t="inlineStr">
        <is>
          <t>Application technology diversity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Container Registries</t>
        </is>
      </c>
      <c r="C14" s="39" t="inlineStr">
        <is>
          <t>GitHub Packages + AWS ECR</t>
        </is>
      </c>
      <c r="D14" s="41" t="inlineStr">
        <is>
          <t>2 registries</t>
        </is>
      </c>
      <c r="E14" s="41" t="inlineStr">
        <is>
          <t>3-4 registries</t>
        </is>
      </c>
      <c r="F14" s="41" t="inlineStr">
        <is>
          <t>5+ registries</t>
        </is>
      </c>
      <c r="G14" s="41" t="inlineStr">
        <is>
          <t>Artifact storage integration</t>
        </is>
      </c>
      <c r="H14" s="41" t="inlineStr"/>
    </row>
    <row r="15" ht="26" customHeight="1">
      <c r="A15" s="37" t="inlineStr">
        <is>
          <t>Technical Environment</t>
        </is>
      </c>
      <c r="B15" s="38" t="inlineStr">
        <is>
          <t>Kubernetes</t>
        </is>
      </c>
      <c r="C15" s="39" t="inlineStr">
        <is>
          <t>AWS EKS clusters</t>
        </is>
      </c>
      <c r="D15" s="38" t="inlineStr">
        <is>
          <t>1 K8s platform</t>
        </is>
      </c>
      <c r="E15" s="38" t="inlineStr">
        <is>
          <t>2 K8s platforms</t>
        </is>
      </c>
      <c r="F15" s="38" t="inlineStr">
        <is>
          <t>Multi-cluster multi-cloud</t>
        </is>
      </c>
      <c r="G15" s="38" t="inlineStr">
        <is>
          <t>Kubernetes deployment complexity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OIDC Integration</t>
        </is>
      </c>
      <c r="C16" s="39" t="inlineStr">
        <is>
          <t>AWS Azure keyless auth</t>
        </is>
      </c>
      <c r="D16" s="41" t="inlineStr">
        <is>
          <t>1 cloud OIDC</t>
        </is>
      </c>
      <c r="E16" s="41" t="inlineStr">
        <is>
          <t>2 clouds OIDC</t>
        </is>
      </c>
      <c r="F16" s="41" t="inlineStr">
        <is>
          <t>3+ clouds OIDC</t>
        </is>
      </c>
      <c r="G16" s="41" t="inlineStr">
        <is>
          <t>Federated identity integration</t>
        </is>
      </c>
      <c r="H16" s="41" t="inlineStr"/>
    </row>
    <row r="17" ht="26" customHeight="1">
      <c r="A17" s="37" t="inlineStr">
        <is>
          <t>Security &amp; Compliance</t>
        </is>
      </c>
      <c r="B17" s="38" t="inlineStr">
        <is>
          <t>Security Scanning</t>
        </is>
      </c>
      <c r="C17" s="39" t="inlineStr">
        <is>
          <t>CodeQL Dependabot</t>
        </is>
      </c>
      <c r="D17" s="38" t="inlineStr">
        <is>
          <t>2 scan types</t>
        </is>
      </c>
      <c r="E17" s="38" t="inlineStr">
        <is>
          <t>3 scan types</t>
        </is>
      </c>
      <c r="F17" s="38" t="inlineStr">
        <is>
          <t>4+ scan types</t>
        </is>
      </c>
      <c r="G17" s="38" t="inlineStr">
        <is>
          <t>Security automation in pipelines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Deployment Environments</t>
        </is>
      </c>
      <c r="C18" s="39" t="inlineStr">
        <is>
          <t>Dev test staging production</t>
        </is>
      </c>
      <c r="D18" s="41" t="inlineStr">
        <is>
          <t>4 environments</t>
        </is>
      </c>
      <c r="E18" s="41" t="inlineStr">
        <is>
          <t>5 environments</t>
        </is>
      </c>
      <c r="F18" s="41" t="inlineStr">
        <is>
          <t>7+ environments</t>
        </is>
      </c>
      <c r="G18" s="41" t="inlineStr">
        <is>
          <t>Environment management complexity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(CI/CD Assessment, Pipeline Inventory, Requirements Analysis,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(Actions Architecture, Workflow Design, Runner Infrastructure, Integration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(Runner Setup, Pipeline Migration, Workflow Templates, OIDC Integration, Security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(Pipeline Testing, Performance Testing, Security Testing, Integration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Application Migration,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(DevOps Training, 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CI/CD Platform Assessment</t>
        </is>
      </c>
      <c r="C3" s="46" t="inlineStr">
        <is>
          <t>Conduct current state Jenkins/GitLab CI evaluation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Includes pipeline inventory and complexity analysis</t>
        </is>
      </c>
    </row>
    <row r="4" ht="26" customHeight="1">
      <c r="A4" s="51" t="inlineStr">
        <is>
          <t>Discovery</t>
        </is>
      </c>
      <c r="B4" s="52" t="inlineStr">
        <is>
          <t>Pipeline Inventory</t>
        </is>
      </c>
      <c r="C4" s="52" t="inlineStr">
        <is>
          <t>Analyze existing pipelines builds and deployment workflows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pipeline access and documentation</t>
        </is>
      </c>
    </row>
    <row r="5" ht="26" customHeight="1">
      <c r="A5" s="45" t="inlineStr">
        <is>
          <t>Discovery</t>
        </is>
      </c>
      <c r="B5" s="46" t="inlineStr">
        <is>
          <t>Requirements Analysis</t>
        </is>
      </c>
      <c r="C5" s="46" t="inlineStr">
        <is>
          <t>Evaluate GitHub Actions features and migration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workflow automation deployment and integration needs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CI/CD security compliance and audit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deployment approval and audit logging needs</t>
        </is>
      </c>
    </row>
    <row r="7" ht="26" customHeight="1">
      <c r="A7" s="45" t="inlineStr">
        <is>
          <t>Planning</t>
        </is>
      </c>
      <c r="B7" s="46" t="inlineStr">
        <is>
          <t>Actions Architecture Design</t>
        </is>
      </c>
      <c r="C7" s="46" t="inlineStr">
        <is>
          <t>Design GitHub Actions CI/CD architecture and workflows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CI/CD Platform Assessment</t>
        </is>
      </c>
      <c r="K7" s="46" t="inlineStr">
        <is>
          <t>Deliverable: GitHub Actions architecture with runner design</t>
        </is>
      </c>
    </row>
    <row r="8" ht="26" customHeight="1">
      <c r="A8" s="51" t="inlineStr">
        <is>
          <t>Planning</t>
        </is>
      </c>
      <c r="B8" s="52" t="inlineStr">
        <is>
          <t>Workflow Design</t>
        </is>
      </c>
      <c r="C8" s="52" t="inlineStr">
        <is>
          <t>Design reusable workflow templates for .NET Node.js Python Docker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Pipeline Inventory</t>
        </is>
      </c>
      <c r="K8" s="52" t="inlineStr">
        <is>
          <t>Workflow templates for build test deploy patterns</t>
        </is>
      </c>
    </row>
    <row r="9" ht="26" customHeight="1">
      <c r="A9" s="45" t="inlineStr">
        <is>
          <t>Planning</t>
        </is>
      </c>
      <c r="B9" s="46" t="inlineStr">
        <is>
          <t>Runner Infrastructure Design</t>
        </is>
      </c>
      <c r="C9" s="46" t="inlineStr">
        <is>
          <t>Design self-hosted runner infrastructure in AWS VPC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225</v>
      </c>
      <c r="I9" s="49">
        <f>TEXT($G9*$H9,"$#,##0")</f>
        <v/>
      </c>
      <c r="J9" s="46" t="inlineStr">
        <is>
          <t>Actions Architecture Design</t>
        </is>
      </c>
      <c r="K9" s="46" t="inlineStr">
        <is>
          <t>EC2 auto-scaling groups multi-AZ networking security</t>
        </is>
      </c>
    </row>
    <row r="10" ht="26" customHeight="1">
      <c r="A10" s="51" t="inlineStr">
        <is>
          <t>Planning</t>
        </is>
      </c>
      <c r="B10" s="52" t="inlineStr">
        <is>
          <t>Integration Planning</t>
        </is>
      </c>
      <c r="C10" s="52" t="inlineStr">
        <is>
          <t>Design OIDC AWS integration and artifact registry connections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Workflow Design</t>
        </is>
      </c>
      <c r="K10" s="52" t="inlineStr">
        <is>
          <t>Keyless authentication and ECR/ACR integration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migration timeline and phased rollout plan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Runner Infrastructure Design</t>
        </is>
      </c>
      <c r="K11" s="46" t="inlineStr">
        <is>
          <t>Deliverable: Phased migration plan by application priority</t>
        </is>
      </c>
    </row>
    <row r="12" ht="26" customHeight="1">
      <c r="A12" s="51" t="inlineStr">
        <is>
          <t>Development</t>
        </is>
      </c>
      <c r="B12" s="52" t="inlineStr">
        <is>
          <t>Runner Infrastructure Setup</t>
        </is>
      </c>
      <c r="C12" s="52" t="inlineStr">
        <is>
          <t>Deploy 20 self-hosted runners in AWS VPC with auto-scaling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Runner Infrastructure Design</t>
        </is>
      </c>
      <c r="K12" s="52" t="inlineStr">
        <is>
          <t>EC2 instances ASG VPC security groups monitoring</t>
        </is>
      </c>
    </row>
    <row r="13" ht="26" customHeight="1">
      <c r="A13" s="45" t="inlineStr">
        <is>
          <t>Development</t>
        </is>
      </c>
      <c r="B13" s="46" t="inlineStr">
        <is>
          <t>Runner Configuration</t>
        </is>
      </c>
      <c r="C13" s="46" t="inlineStr">
        <is>
          <t>Configure Linux and Windows runners with required tools</t>
        </is>
      </c>
      <c r="D13" s="46" t="inlineStr">
        <is>
          <t>EO Engineer</t>
        </is>
      </c>
      <c r="E13" s="47" t="n">
        <v>32</v>
      </c>
      <c r="F13" s="48">
        <f>'Estimate Settings'!$C$5</f>
        <v/>
      </c>
      <c r="G13" s="49">
        <f>$E13*$F13</f>
        <v/>
      </c>
      <c r="H13" s="50" t="n">
        <v>180</v>
      </c>
      <c r="I13" s="49">
        <f>TEXT($G13*$H13,"$#,##0")</f>
        <v/>
      </c>
      <c r="J13" s="46" t="inlineStr">
        <is>
          <t>Runner Infrastructure Setup</t>
        </is>
      </c>
      <c r="K13" s="46" t="inlineStr">
        <is>
          <t>Install build tools Docker Node.js .NET Python Go</t>
        </is>
      </c>
    </row>
    <row r="14" ht="26" customHeight="1">
      <c r="A14" s="51" t="inlineStr">
        <is>
          <t>Development</t>
        </is>
      </c>
      <c r="B14" s="52" t="inlineStr">
        <is>
          <t>Workflow Template Development</t>
        </is>
      </c>
      <c r="C14" s="52" t="inlineStr">
        <is>
          <t>Develop 15 reusable workflow templates for standard patterns</t>
        </is>
      </c>
      <c r="D14" s="52" t="inlineStr">
        <is>
          <t>EO Engineer</t>
        </is>
      </c>
      <c r="E14" s="53" t="n">
        <v>100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Workflow Design</t>
        </is>
      </c>
      <c r="K14" s="52" t="inlineStr">
        <is>
          <t>Templates for .NET Node.js Python Docker Terraform builds</t>
        </is>
      </c>
    </row>
    <row r="15" ht="26" customHeight="1">
      <c r="A15" s="45" t="inlineStr">
        <is>
          <t>Development</t>
        </is>
      </c>
      <c r="B15" s="46" t="inlineStr">
        <is>
          <t>Jenkins Pipeline Migration</t>
        </is>
      </c>
      <c r="C15" s="46" t="inlineStr">
        <is>
          <t>Migrate 5-10 pilot pipelines from Jenkins to GitHub Actions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Workflow Template Development</t>
        </is>
      </c>
      <c r="K15" s="46" t="inlineStr">
        <is>
          <t>Convert Groovy pipelines to YAML workflows</t>
        </is>
      </c>
    </row>
    <row r="16" ht="26" customHeight="1">
      <c r="A16" s="51" t="inlineStr">
        <is>
          <t>Development</t>
        </is>
      </c>
      <c r="B16" s="52" t="inlineStr">
        <is>
          <t>Application Pipeline Migration</t>
        </is>
      </c>
      <c r="C16" s="52" t="inlineStr">
        <is>
          <t>Migrate remaining 40-45 application pipelines to Actions</t>
        </is>
      </c>
      <c r="D16" s="52" t="inlineStr">
        <is>
          <t>EO Engineer</t>
        </is>
      </c>
      <c r="E16" s="53" t="n">
        <v>120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Jenkins Pipeline Migration</t>
        </is>
      </c>
      <c r="K16" s="52" t="inlineStr">
        <is>
          <t>Parallel migration with testing and validation</t>
        </is>
      </c>
    </row>
    <row r="17" ht="26" customHeight="1">
      <c r="A17" s="45" t="inlineStr">
        <is>
          <t>Development</t>
        </is>
      </c>
      <c r="B17" s="46" t="inlineStr">
        <is>
          <t>Environment Configuration</t>
        </is>
      </c>
      <c r="C17" s="46" t="inlineStr">
        <is>
          <t>Configure dev test staging production environments</t>
        </is>
      </c>
      <c r="D17" s="46" t="inlineStr">
        <is>
          <t>EO Engineer</t>
        </is>
      </c>
      <c r="E17" s="47" t="n">
        <v>30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Application Pipeline Migration</t>
        </is>
      </c>
      <c r="K17" s="46" t="inlineStr">
        <is>
          <t>Environment secrets protection rules approval gates</t>
        </is>
      </c>
    </row>
    <row r="18" ht="26" customHeight="1">
      <c r="A18" s="51" t="inlineStr">
        <is>
          <t>Development</t>
        </is>
      </c>
      <c r="B18" s="52" t="inlineStr">
        <is>
          <t>OIDC Integration</t>
        </is>
      </c>
      <c r="C18" s="52" t="inlineStr">
        <is>
          <t>Configure OIDC for AWS Azure GCP keyless authentication</t>
        </is>
      </c>
      <c r="D18" s="52" t="inlineStr">
        <is>
          <t>EO Engineer</t>
        </is>
      </c>
      <c r="E18" s="53" t="n">
        <v>40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Environment Configuration</t>
        </is>
      </c>
      <c r="K18" s="52" t="inlineStr">
        <is>
          <t>Federated identity replacing static credentials</t>
        </is>
      </c>
    </row>
    <row r="19" ht="26" customHeight="1">
      <c r="A19" s="45" t="inlineStr">
        <is>
          <t>Development</t>
        </is>
      </c>
      <c r="B19" s="46" t="inlineStr">
        <is>
          <t>Security Integration</t>
        </is>
      </c>
      <c r="C19" s="46" t="inlineStr">
        <is>
          <t>Integrate CodeQL Dependabot container scanning in workflows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225</v>
      </c>
      <c r="I19" s="49">
        <f>TEXT($G19*$H19,"$#,##0")</f>
        <v/>
      </c>
      <c r="J19" s="46" t="inlineStr">
        <is>
          <t>OIDC Integration</t>
        </is>
      </c>
      <c r="K19" s="46" t="inlineStr">
        <is>
          <t>Security automation in build and deployment pipelines</t>
        </is>
      </c>
    </row>
    <row r="20" ht="26" customHeight="1">
      <c r="A20" s="51" t="inlineStr">
        <is>
          <t>Development</t>
        </is>
      </c>
      <c r="B20" s="52" t="inlineStr">
        <is>
          <t>Monitoring Setup</t>
        </is>
      </c>
      <c r="C20" s="52" t="inlineStr">
        <is>
          <t>Configure Datadog New Relic for pipeline monitoring</t>
        </is>
      </c>
      <c r="D20" s="52" t="inlineStr">
        <is>
          <t>EO Engineer</t>
        </is>
      </c>
      <c r="E20" s="53" t="n">
        <v>20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Security Integration</t>
        </is>
      </c>
      <c r="K20" s="52" t="inlineStr">
        <is>
          <t>CI/CD observability and alerting</t>
        </is>
      </c>
    </row>
    <row r="21" ht="26" customHeight="1">
      <c r="A21" s="45" t="inlineStr">
        <is>
          <t>Testing</t>
        </is>
      </c>
      <c r="B21" s="46" t="inlineStr">
        <is>
          <t>Pipeline Testing</t>
        </is>
      </c>
      <c r="C21" s="46" t="inlineStr">
        <is>
          <t>Test workflow templates across application types</t>
        </is>
      </c>
      <c r="D21" s="46" t="inlineStr">
        <is>
          <t>EO Engineer</t>
        </is>
      </c>
      <c r="E21" s="47" t="n">
        <v>32</v>
      </c>
      <c r="F21" s="48">
        <f>'Estimate Settings'!$C$6</f>
        <v/>
      </c>
      <c r="G21" s="49">
        <f>$E21*$F21</f>
        <v/>
      </c>
      <c r="H21" s="50" t="n">
        <v>180</v>
      </c>
      <c r="I21" s="49">
        <f>TEXT($G21*$H21,"$#,##0")</f>
        <v/>
      </c>
      <c r="J21" s="46" t="inlineStr">
        <is>
          <t>Workflow Template Development</t>
        </is>
      </c>
      <c r="K21" s="46" t="inlineStr">
        <is>
          <t>Validate build test deploy workflows</t>
        </is>
      </c>
    </row>
    <row r="22" ht="26" customHeight="1">
      <c r="A22" s="51" t="inlineStr">
        <is>
          <t>Testing</t>
        </is>
      </c>
      <c r="B22" s="52" t="inlineStr">
        <is>
          <t>Performance Testing</t>
        </is>
      </c>
      <c r="C22" s="52" t="inlineStr">
        <is>
          <t>Test pipeline performance and runner scaling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Pipeline Testing</t>
        </is>
      </c>
      <c r="K22" s="52" t="inlineStr">
        <is>
          <t>Load testing with realistic build volumes</t>
        </is>
      </c>
    </row>
    <row r="23" ht="26" customHeight="1">
      <c r="A23" s="45" t="inlineStr">
        <is>
          <t>Testing</t>
        </is>
      </c>
      <c r="B23" s="46" t="inlineStr">
        <is>
          <t>Security Testing</t>
        </is>
      </c>
      <c r="C23" s="46" t="inlineStr">
        <is>
          <t>Test OIDC authentication and security scanning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Testing</t>
        </is>
      </c>
      <c r="K23" s="46" t="inlineStr">
        <is>
          <t>Validate keyless auth and automated security scans</t>
        </is>
      </c>
    </row>
    <row r="24" ht="26" customHeight="1">
      <c r="A24" s="51" t="inlineStr">
        <is>
          <t>Testing</t>
        </is>
      </c>
      <c r="B24" s="52" t="inlineStr">
        <is>
          <t>Integration Testing</t>
        </is>
      </c>
      <c r="C24" s="52" t="inlineStr">
        <is>
          <t>Test artifact publishing and deployment workflows</t>
        </is>
      </c>
      <c r="D24" s="52" t="inlineStr">
        <is>
          <t>EO Engineer</t>
        </is>
      </c>
      <c r="E24" s="53" t="n">
        <v>24</v>
      </c>
      <c r="F24" s="54">
        <f>'Estimate Settings'!$C$6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Security Testing</t>
        </is>
      </c>
      <c r="K24" s="52" t="inlineStr">
        <is>
          <t>End-to-end deployment testing to AWS Azure GCP</t>
        </is>
      </c>
    </row>
    <row r="25" ht="26" customHeight="1">
      <c r="A25" s="45" t="inlineStr">
        <is>
          <t>Deployment</t>
        </is>
      </c>
      <c r="B25" s="46" t="inlineStr">
        <is>
          <t>Pilot Rollout</t>
        </is>
      </c>
      <c r="C25" s="46" t="inlineStr">
        <is>
          <t>Deploy GitHub Actions for 5-10 pilot applications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Integration Testing</t>
        </is>
      </c>
      <c r="K25" s="46" t="inlineStr">
        <is>
          <t>Pilot validation with monitoring and feedback</t>
        </is>
      </c>
    </row>
    <row r="26" ht="26" customHeight="1">
      <c r="A26" s="51" t="inlineStr">
        <is>
          <t>Deployment</t>
        </is>
      </c>
      <c r="B26" s="52" t="inlineStr">
        <is>
          <t>Production Rollout</t>
        </is>
      </c>
      <c r="C26" s="52" t="inlineStr">
        <is>
          <t>Migrate all 50 applications to GitHub Actions</t>
        </is>
      </c>
      <c r="D26" s="52" t="inlineStr">
        <is>
          <t>EO Engineer</t>
        </is>
      </c>
      <c r="E26" s="53" t="n">
        <v>40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Pilot Rollout</t>
        </is>
      </c>
      <c r="K26" s="52" t="inlineStr">
        <is>
          <t>Phased rollout by team with parallel Jenkins operation</t>
        </is>
      </c>
    </row>
    <row r="27" ht="26" customHeight="1">
      <c r="A27" s="45" t="inlineStr">
        <is>
          <t>Deployment</t>
        </is>
      </c>
      <c r="B27" s="46" t="inlineStr">
        <is>
          <t>Legacy Decommission</t>
        </is>
      </c>
      <c r="C27" s="46" t="inlineStr">
        <is>
          <t>Coordinate Jenkins decommissioning after validation</t>
        </is>
      </c>
      <c r="D27" s="46" t="inlineStr">
        <is>
          <t>EO Engineer</t>
        </is>
      </c>
      <c r="E27" s="47" t="n">
        <v>16</v>
      </c>
      <c r="F27" s="48">
        <f>'Estimate Settings'!$C$7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Production Rollout</t>
        </is>
      </c>
      <c r="K27" s="46" t="inlineStr">
        <is>
          <t>Graceful shutdown of Jenkins infrastructure</t>
        </is>
      </c>
    </row>
    <row r="28" ht="26" customHeight="1">
      <c r="A28" s="51" t="inlineStr">
        <is>
          <t>Deployment</t>
        </is>
      </c>
      <c r="B28" s="52" t="inlineStr">
        <is>
          <t>Go-Live Support</t>
        </is>
      </c>
      <c r="C28" s="52" t="inlineStr">
        <is>
          <t>Provide support during GitHub Actions adoption</t>
        </is>
      </c>
      <c r="D28" s="52" t="inlineStr">
        <is>
          <t>EO Engineer</t>
        </is>
      </c>
      <c r="E28" s="53" t="n">
        <v>48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Production Rollout</t>
        </is>
      </c>
      <c r="K28" s="52" t="inlineStr">
        <is>
          <t>Daily monitoring pipeline support developer assistance</t>
        </is>
      </c>
    </row>
    <row r="29" ht="26" customHeight="1">
      <c r="A29" s="45" t="inlineStr">
        <is>
          <t>Training</t>
        </is>
      </c>
      <c r="B29" s="46" t="inlineStr">
        <is>
          <t>DevOps Engineer Training</t>
        </is>
      </c>
      <c r="C29" s="46" t="inlineStr">
        <is>
          <t>Train platform engineers on GitHub Actions workflow authoring</t>
        </is>
      </c>
      <c r="D29" s="46" t="inlineStr">
        <is>
          <t>EO Engineer</t>
        </is>
      </c>
      <c r="E29" s="47" t="n">
        <v>32</v>
      </c>
      <c r="F29" s="48">
        <f>'Estimate Settings'!$C$8</f>
        <v/>
      </c>
      <c r="G29" s="49">
        <f>$E29*$F29</f>
        <v/>
      </c>
      <c r="H29" s="50" t="n">
        <v>175</v>
      </c>
      <c r="I29" s="49">
        <f>TEXT($G29*$H29,"$#,##0")</f>
        <v/>
      </c>
      <c r="J29" s="46" t="inlineStr">
        <is>
          <t>Production Rollout</t>
        </is>
      </c>
      <c r="K29" s="46" t="inlineStr">
        <is>
          <t>4 days hands-on training for DevOps team</t>
        </is>
      </c>
    </row>
    <row r="30" ht="26" customHeight="1">
      <c r="A30" s="51" t="inlineStr">
        <is>
          <t>Training</t>
        </is>
      </c>
      <c r="B30" s="52" t="inlineStr">
        <is>
          <t>Developer Training</t>
        </is>
      </c>
      <c r="C30" s="52" t="inlineStr">
        <is>
          <t>Train developers on using GitHub Actions and workflows</t>
        </is>
      </c>
      <c r="D30" s="52" t="inlineStr">
        <is>
          <t>EO Engineer</t>
        </is>
      </c>
      <c r="E30" s="53" t="n">
        <v>24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DevOps Engineer Training</t>
        </is>
      </c>
      <c r="K30" s="52" t="inlineStr">
        <is>
          <t>3 days enablement workshops for development teams</t>
        </is>
      </c>
    </row>
    <row r="31" ht="26" customHeight="1">
      <c r="A31" s="45" t="inlineStr">
        <is>
          <t>Training</t>
        </is>
      </c>
      <c r="B31" s="46" t="inlineStr">
        <is>
          <t>Administrator Training</t>
        </is>
      </c>
      <c r="C31" s="46" t="inlineStr">
        <is>
          <t>Train platform admins on runner management</t>
        </is>
      </c>
      <c r="D31" s="46" t="inlineStr">
        <is>
          <t>EO Engineer</t>
        </is>
      </c>
      <c r="E31" s="47" t="n">
        <v>16</v>
      </c>
      <c r="F31" s="48">
        <f>'Estimate Settings'!$C$8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>
        <is>
          <t>Developer Training</t>
        </is>
      </c>
      <c r="K31" s="46" t="inlineStr">
        <is>
          <t>Runner infrastructure monitoring troubleshooting</t>
        </is>
      </c>
    </row>
    <row r="32" ht="26" customHeight="1">
      <c r="A32" s="51" t="inlineStr">
        <is>
          <t>Training</t>
        </is>
      </c>
      <c r="B32" s="52" t="inlineStr">
        <is>
          <t>Documentation</t>
        </is>
      </c>
      <c r="C32" s="52" t="inlineStr">
        <is>
          <t>Create workflow templates runbooks and best practices</t>
        </is>
      </c>
      <c r="D32" s="52" t="inlineStr">
        <is>
          <t>EO Engineer</t>
        </is>
      </c>
      <c r="E32" s="53" t="n">
        <v>24</v>
      </c>
      <c r="F32" s="54">
        <f>'Estimate Settings'!$C$8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>
        <is>
          <t>Administrator Training</t>
        </is>
      </c>
      <c r="K32" s="52" t="inlineStr">
        <is>
          <t>Deliverable: Operations documentation and workflow guides</t>
        </is>
      </c>
    </row>
    <row r="33" ht="26" customHeight="1">
      <c r="A33" s="45" t="inlineStr">
        <is>
          <t>Closeout</t>
        </is>
      </c>
      <c r="B33" s="46" t="inlineStr">
        <is>
          <t>Knowledge Transfer</t>
        </is>
      </c>
      <c r="C33" s="46" t="inlineStr">
        <is>
          <t>Transfer GitHub Actions ownership to DevOps team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Documentation</t>
        </is>
      </c>
      <c r="K33" s="46" t="inlineStr">
        <is>
          <t>Comprehensive handover of workflows and infrastructure</t>
        </is>
      </c>
    </row>
    <row r="34" ht="26" customHeight="1">
      <c r="A34" s="51" t="inlineStr">
        <is>
          <t>Closeout</t>
        </is>
      </c>
      <c r="B34" s="52" t="inlineStr">
        <is>
          <t>Performance Baseline</t>
        </is>
      </c>
      <c r="C34" s="52" t="inlineStr">
        <is>
          <t>Establish CI/CD metrics and monitoring baselines</t>
        </is>
      </c>
      <c r="D34" s="52" t="inlineStr">
        <is>
          <t>EO Engineer</t>
        </is>
      </c>
      <c r="E34" s="53" t="n">
        <v>8</v>
      </c>
      <c r="F34" s="54">
        <f>'Estimate Settings'!$C$9</f>
        <v/>
      </c>
      <c r="G34" s="55">
        <f>$E34*$F34</f>
        <v/>
      </c>
      <c r="H34" s="56" t="n">
        <v>175</v>
      </c>
      <c r="I34" s="55">
        <f>TEXT($G34*$H34,"$#,##0")</f>
        <v/>
      </c>
      <c r="J34" s="52" t="inlineStr">
        <is>
          <t>Knowledge Transfer</t>
        </is>
      </c>
      <c r="K34" s="52" t="inlineStr">
        <is>
          <t>Baseline for deployment frequency pipeline duration success rate</t>
        </is>
      </c>
    </row>
    <row r="35" ht="26" customHeight="1">
      <c r="A35" s="45" t="inlineStr">
        <is>
          <t>Management</t>
        </is>
      </c>
      <c r="B35" s="46" t="inlineStr">
        <is>
          <t>Technical Leadership</t>
        </is>
      </c>
      <c r="C35" s="46" t="inlineStr">
        <is>
          <t>Quarterback technical oversight and architecture review</t>
        </is>
      </c>
      <c r="D35" s="46" t="inlineStr">
        <is>
          <t>EO Quarterback</t>
        </is>
      </c>
      <c r="E35" s="49">
        <f>ROUND(SUM($G$3:$G$32)*0.10,0)</f>
        <v/>
      </c>
      <c r="F35" s="48">
        <f>'Estimate Settings'!$C$11</f>
        <v/>
      </c>
      <c r="G35" s="49">
        <f>$E35*$F35</f>
        <v/>
      </c>
      <c r="H35" s="50" t="n">
        <v>225</v>
      </c>
      <c r="I35" s="49">
        <f>TEXT($G35*$H35,"$#,##0")</f>
        <v/>
      </c>
      <c r="J35" s="46" t="inlineStr"/>
      <c r="K35" s="46" t="inlineStr">
        <is>
          <t>CI/CD architecture review and technical escalation</t>
        </is>
      </c>
    </row>
    <row r="36" ht="26" customHeight="1">
      <c r="A36" s="51" t="inlineStr">
        <is>
          <t>Management</t>
        </is>
      </c>
      <c r="B36" s="52" t="inlineStr">
        <is>
          <t>Project Management</t>
        </is>
      </c>
      <c r="C36" s="52" t="inlineStr">
        <is>
          <t>Project coordination planning and stakeholder management</t>
        </is>
      </c>
      <c r="D36" s="52" t="inlineStr">
        <is>
          <t>EO Project Manager</t>
        </is>
      </c>
      <c r="E36" s="55">
        <f>ROUND(SUM($G$3:$G$32)*0.10,0)</f>
        <v/>
      </c>
      <c r="F36" s="54">
        <f>'Estimate Settings'!$C$10</f>
        <v/>
      </c>
      <c r="G36" s="55">
        <f>$E36*$F36</f>
        <v/>
      </c>
      <c r="H36" s="56" t="n">
        <v>200</v>
      </c>
      <c r="I36" s="55">
        <f>TEXT($G36*$H36,"$#,##0")</f>
        <v/>
      </c>
      <c r="J36" s="52" t="inlineStr"/>
      <c r="K36" s="52" t="inlineStr">
        <is>
          <t>Includes weekly status risk management vendor coordination</t>
        </is>
      </c>
    </row>
    <row r="37" ht="26" customHeight="1">
      <c r="A37" s="57" t="inlineStr"/>
      <c r="B37" s="57" t="inlineStr"/>
      <c r="C37" s="57" t="inlineStr"/>
      <c r="D37" s="57" t="inlineStr"/>
      <c r="E37" s="57" t="inlineStr"/>
      <c r="F37" s="58" t="inlineStr">
        <is>
          <t>TOTAL HOURS</t>
        </is>
      </c>
      <c r="G37" s="58">
        <f>SUM($G$3:$G$34)</f>
        <v/>
      </c>
      <c r="H37" s="58" t="inlineStr">
        <is>
          <t>TOTAL COST</t>
        </is>
      </c>
      <c r="I37" s="58">
        <f>TEXT(SUMPRODUCT($G$3:$G$34,$H$3:$H$34),"$#,##0")</f>
        <v/>
      </c>
      <c r="J37" s="57" t="inlineStr"/>
      <c r="K37" s="57" t="inlineStr">
        <is>
          <t>EO Sales Engineer: Update phase multipliers in Estimate Settings based on scope</t>
        </is>
      </c>
    </row>
  </sheetData>
  <autoFilter ref="A2:K37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GitHub Partner Services Credit</t>
        </is>
      </c>
      <c r="B3" s="59" t="n">
        <v>0</v>
      </c>
      <c r="C3" s="38" t="inlineStr">
        <is>
          <t>No partner credits available for GitHub Actions implementation</t>
        </is>
      </c>
    </row>
    <row r="4" ht="26" customHeight="1">
      <c r="A4" s="40" t="inlineStr">
        <is>
          <t>AWS Migration Credit</t>
        </is>
      </c>
      <c r="B4" s="60" t="n">
        <v>-10000</v>
      </c>
      <c r="C4" s="41" t="inlineStr">
        <is>
          <t>One-time AWS credit for self-hosted runner infrastructure</t>
        </is>
      </c>
    </row>
    <row r="5" ht="26" customHeight="1">
      <c r="A5" s="61" t="inlineStr">
        <is>
          <t>TOTAL</t>
        </is>
      </c>
      <c r="B5" s="62">
        <f>SUMPRODUCT($G$3:$G$34,$H$3:$H$34)-10000</f>
        <v/>
      </c>
      <c r="C5" s="63" t="inlineStr">
        <is>
          <t>Total professional services cost minus AWS migration credit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2025-11-22T21:31:39Z</dcterms:modified>
  <cp:lastModifiedBy>Kishan Siram</cp:lastModifiedBy>
</cp:coreProperties>
</file>