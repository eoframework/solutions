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Guidelines'!$A$2:$F$12</definedName>
    <definedName name="_xlnm._FilterDatabase" localSheetId="2" hidden="1">'Infrastructure Costs'!$A$2:$K$29</definedName>
    <definedName name="_xlnm._FilterDatabase" localSheetId="3" hidden="1">'Credits'!$A$2:$D$6</definedName>
    <definedName name="_xlnm._FilterDatabase" localSheetId="4" hidden="1">'3-Year Summary'!$A$2:$G$8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Actions Enterprise Cicd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Developer Licenses</t>
        </is>
      </c>
      <c r="B3" s="38" t="inlineStr">
        <is>
          <t>Active Developers</t>
        </is>
      </c>
      <c r="C3" s="39" t="inlineStr">
        <is>
          <t>25 developers</t>
        </is>
      </c>
      <c r="D3" s="39" t="inlineStr">
        <is>
          <t>100 developers</t>
        </is>
      </c>
      <c r="E3" s="39" t="inlineStr">
        <is>
          <t>500 developers</t>
        </is>
      </c>
      <c r="F3" s="38" t="inlineStr">
        <is>
          <t>GitHub Enterprise Cloud pricing</t>
        </is>
      </c>
    </row>
    <row r="4" ht="26" customHeight="1">
      <c r="A4" s="40" t="inlineStr">
        <is>
          <t>CI/CD Capacity</t>
        </is>
      </c>
      <c r="B4" s="41" t="inlineStr">
        <is>
          <t>Builds Per Day</t>
        </is>
      </c>
      <c r="C4" s="42" t="inlineStr">
        <is>
          <t>50 builds/day</t>
        </is>
      </c>
      <c r="D4" s="42" t="inlineStr">
        <is>
          <t>200 builds/day</t>
        </is>
      </c>
      <c r="E4" s="42" t="inlineStr">
        <is>
          <t>1000 builds/day</t>
        </is>
      </c>
      <c r="F4" s="41" t="inlineStr">
        <is>
          <t>Daily pipeline execution volume</t>
        </is>
      </c>
    </row>
    <row r="5" ht="26" customHeight="1">
      <c r="A5" s="37" t="inlineStr">
        <is>
          <t>CI/CD Capacity</t>
        </is>
      </c>
      <c r="B5" s="38" t="inlineStr">
        <is>
          <t>Average Build Duration</t>
        </is>
      </c>
      <c r="C5" s="39" t="inlineStr">
        <is>
          <t>10 minutes</t>
        </is>
      </c>
      <c r="D5" s="39" t="inlineStr">
        <is>
          <t>20 minutes</t>
        </is>
      </c>
      <c r="E5" s="39" t="inlineStr">
        <is>
          <t>45 minutes</t>
        </is>
      </c>
      <c r="F5" s="38" t="inlineStr">
        <is>
          <t>Typical pipeline execution time</t>
        </is>
      </c>
    </row>
    <row r="6" ht="26" customHeight="1">
      <c r="A6" s="40" t="inlineStr">
        <is>
          <t>Runner Infrastructure</t>
        </is>
      </c>
      <c r="B6" s="41" t="inlineStr">
        <is>
          <t>Self-Hosted Runners</t>
        </is>
      </c>
      <c r="C6" s="42" t="inlineStr">
        <is>
          <t>5 runners (c5.xlarge)</t>
        </is>
      </c>
      <c r="D6" s="42" t="inlineStr">
        <is>
          <t>20 runners (c5.2xlarge)</t>
        </is>
      </c>
      <c r="E6" s="42" t="inlineStr">
        <is>
          <t>100 runners (c5.4xlarge)</t>
        </is>
      </c>
      <c r="F6" s="41" t="inlineStr">
        <is>
          <t>Linux runners in VPC</t>
        </is>
      </c>
    </row>
    <row r="7" ht="26" customHeight="1">
      <c r="A7" s="37" t="inlineStr">
        <is>
          <t>Runner Infrastructure</t>
        </is>
      </c>
      <c r="B7" s="38" t="inlineStr">
        <is>
          <t>Runner OS</t>
        </is>
      </c>
      <c r="C7" s="39" t="inlineStr">
        <is>
          <t>Linux only</t>
        </is>
      </c>
      <c r="D7" s="39" t="inlineStr">
        <is>
          <t>Linux + Windows</t>
        </is>
      </c>
      <c r="E7" s="39" t="inlineStr">
        <is>
          <t>Linux + Windows + macOS</t>
        </is>
      </c>
      <c r="F7" s="38" t="inlineStr">
        <is>
          <t>Multi-platform build support</t>
        </is>
      </c>
    </row>
    <row r="8" ht="26" customHeight="1">
      <c r="A8" s="40" t="inlineStr">
        <is>
          <t>Deployment Targets</t>
        </is>
      </c>
      <c r="B8" s="41" t="inlineStr">
        <is>
          <t>Deployment Environments</t>
        </is>
      </c>
      <c r="C8" s="42" t="inlineStr">
        <is>
          <t>2 environments (dev prod)</t>
        </is>
      </c>
      <c r="D8" s="42" t="inlineStr">
        <is>
          <t>4 environments (dev test staging prod)</t>
        </is>
      </c>
      <c r="E8" s="42" t="inlineStr">
        <is>
          <t>6+ environments</t>
        </is>
      </c>
      <c r="F8" s="41" t="inlineStr">
        <is>
          <t>Environment configuration</t>
        </is>
      </c>
    </row>
    <row r="9" ht="26" customHeight="1">
      <c r="A9" s="37" t="inlineStr">
        <is>
          <t>Application Portfolio</t>
        </is>
      </c>
      <c r="B9" s="38" t="inlineStr">
        <is>
          <t>Applications with CI/CD</t>
        </is>
      </c>
      <c r="C9" s="39" t="inlineStr">
        <is>
          <t>5-10 applications</t>
        </is>
      </c>
      <c r="D9" s="39" t="inlineStr">
        <is>
          <t>20-50 applications</t>
        </is>
      </c>
      <c r="E9" s="39" t="inlineStr">
        <is>
          <t>100+ applications</t>
        </is>
      </c>
      <c r="F9" s="38" t="inlineStr">
        <is>
          <t>Pipeline development scope</t>
        </is>
      </c>
    </row>
    <row r="10" ht="26" customHeight="1">
      <c r="A10" s="40" t="inlineStr">
        <is>
          <t>Workflow Complexity</t>
        </is>
      </c>
      <c r="B10" s="41" t="inlineStr">
        <is>
          <t>Reusable Workflows</t>
        </is>
      </c>
      <c r="C10" s="42" t="inlineStr">
        <is>
          <t>5 templates</t>
        </is>
      </c>
      <c r="D10" s="42" t="inlineStr">
        <is>
          <t>15 templates</t>
        </is>
      </c>
      <c r="E10" s="42" t="inlineStr">
        <is>
          <t>50+ templates</t>
        </is>
      </c>
      <c r="F10" s="41" t="inlineStr">
        <is>
          <t>Centralized workflow library</t>
        </is>
      </c>
    </row>
    <row r="11" ht="26" customHeight="1">
      <c r="A11" s="37" t="inlineStr">
        <is>
          <t>Integration Requirements</t>
        </is>
      </c>
      <c r="B11" s="38" t="inlineStr">
        <is>
          <t>Cloud Providers</t>
        </is>
      </c>
      <c r="C11" s="39" t="inlineStr">
        <is>
          <t>Single cloud (AWS)</t>
        </is>
      </c>
      <c r="D11" s="39" t="inlineStr">
        <is>
          <t>Multi-cloud (AWS + Azure)</t>
        </is>
      </c>
      <c r="E11" s="39" t="inlineStr">
        <is>
          <t>All clouds (AWS Azure GCP)</t>
        </is>
      </c>
      <c r="F11" s="38" t="inlineStr">
        <is>
          <t>Deployment target diversity</t>
        </is>
      </c>
    </row>
    <row r="12" ht="26" customHeight="1">
      <c r="A12" s="40" t="inlineStr">
        <is>
          <t>Professional Services</t>
        </is>
      </c>
      <c r="B12" s="41" t="inlineStr">
        <is>
          <t>Implementation Hours</t>
        </is>
      </c>
      <c r="C12" s="42" t="inlineStr">
        <is>
          <t>60 hours</t>
        </is>
      </c>
      <c r="D12" s="42" t="inlineStr">
        <is>
          <t>150 hours</t>
        </is>
      </c>
      <c r="E12" s="42" t="inlineStr">
        <is>
          <t>400 hours</t>
        </is>
      </c>
      <c r="F12" s="41" t="inlineStr">
        <is>
          <t>Migration training setup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Software Licenses</t>
        </is>
      </c>
      <c r="B3" s="44" t="inlineStr">
        <is>
          <t>GitHub Enterprise Cloud</t>
        </is>
      </c>
      <c r="C3" s="44" t="inlineStr">
        <is>
          <t>Enterprise Cloud with GitHub Actions (100 users)</t>
        </is>
      </c>
      <c r="D3" s="45" t="n">
        <v>100</v>
      </c>
      <c r="E3" s="44" t="inlineStr">
        <is>
          <t>Users/Year</t>
        </is>
      </c>
      <c r="F3" s="46" t="n">
        <v>2100</v>
      </c>
      <c r="G3" s="46">
        <f>D3*F3</f>
        <v/>
      </c>
      <c r="H3" s="46">
        <f>G3</f>
        <v/>
      </c>
      <c r="I3" s="46">
        <f>G3</f>
        <v/>
      </c>
      <c r="J3" s="46">
        <f>G3+H3+I3</f>
        <v/>
      </c>
      <c r="K3" s="44" t="inlineStr">
        <is>
          <t>Includes 50K Actions minutes/month</t>
        </is>
      </c>
    </row>
    <row r="4" ht="26" customHeight="1">
      <c r="A4" s="47" t="inlineStr">
        <is>
          <t>Software Licenses</t>
        </is>
      </c>
      <c r="B4" s="48" t="inlineStr">
        <is>
          <t>GitHub Actions Minutes</t>
        </is>
      </c>
      <c r="C4" s="48" t="inlineStr">
        <is>
          <t>Included compute minutes per month</t>
        </is>
      </c>
      <c r="D4" s="49" t="n">
        <v>50000</v>
      </c>
      <c r="E4" s="48" t="inlineStr">
        <is>
          <t>Minutes/Month</t>
        </is>
      </c>
      <c r="F4" s="50" t="n">
        <v>0</v>
      </c>
      <c r="G4" s="50">
        <f>D4*F4*12</f>
        <v/>
      </c>
      <c r="H4" s="50">
        <f>G4</f>
        <v/>
      </c>
      <c r="I4" s="50">
        <f>G4</f>
        <v/>
      </c>
      <c r="J4" s="50">
        <f>G4+H4+I4</f>
        <v/>
      </c>
      <c r="K4" s="48" t="inlineStr">
        <is>
          <t>Included with Enterprise Cloud</t>
        </is>
      </c>
    </row>
    <row r="5" ht="26" customHeight="1">
      <c r="A5" s="43" t="inlineStr">
        <is>
          <t>Software Licenses</t>
        </is>
      </c>
      <c r="B5" s="44" t="inlineStr">
        <is>
          <t>GitHub Packages Storage</t>
        </is>
      </c>
      <c r="C5" s="44" t="inlineStr">
        <is>
          <t>Package registry storage for Docker npm Maven (200 GB)</t>
        </is>
      </c>
      <c r="D5" s="45" t="n">
        <v>200</v>
      </c>
      <c r="E5" s="44" t="inlineStr">
        <is>
          <t>GB/Month</t>
        </is>
      </c>
      <c r="F5" s="46" t="n">
        <v>0.25</v>
      </c>
      <c r="G5" s="46">
        <f>D5*F5*12</f>
        <v/>
      </c>
      <c r="H5" s="46">
        <f>G5</f>
        <v/>
      </c>
      <c r="I5" s="46">
        <f>G5</f>
        <v/>
      </c>
      <c r="J5" s="46">
        <f>G5+H5+I5</f>
        <v/>
      </c>
      <c r="K5" s="44" t="inlineStr">
        <is>
          <t>Container and package artifacts</t>
        </is>
      </c>
    </row>
    <row r="6" ht="26" customHeight="1">
      <c r="A6" s="47" t="inlineStr">
        <is>
          <t>Software Licenses</t>
        </is>
      </c>
      <c r="B6" s="48" t="inlineStr">
        <is>
          <t>GitHub LFS Storage</t>
        </is>
      </c>
      <c r="C6" s="48" t="inlineStr">
        <is>
          <t>Large file storage for binaries and assets (100 GB)</t>
        </is>
      </c>
      <c r="D6" s="49" t="n">
        <v>100</v>
      </c>
      <c r="E6" s="48" t="inlineStr">
        <is>
          <t>GB/Month</t>
        </is>
      </c>
      <c r="F6" s="50" t="n">
        <v>0.07000000000000001</v>
      </c>
      <c r="G6" s="50">
        <f>D6*F6*12</f>
        <v/>
      </c>
      <c r="H6" s="50">
        <f>G6</f>
        <v/>
      </c>
      <c r="I6" s="50">
        <f>G6</f>
        <v/>
      </c>
      <c r="J6" s="50">
        <f>G6+H6+I6</f>
        <v/>
      </c>
      <c r="K6" s="48" t="inlineStr">
        <is>
          <t>Binary build artifacts</t>
        </is>
      </c>
    </row>
    <row r="7" ht="26" customHeight="1">
      <c r="A7" s="43" t="inlineStr">
        <is>
          <t>Cloud Infrastructure</t>
        </is>
      </c>
      <c r="B7" s="44" t="inlineStr">
        <is>
          <t>Self-Hosted Runners EC2</t>
        </is>
      </c>
      <c r="C7" s="44" t="inlineStr">
        <is>
          <t>c5.2xlarge instances for Linux builds (20 runners 24x7)</t>
        </is>
      </c>
      <c r="D7" s="45" t="n">
        <v>20</v>
      </c>
      <c r="E7" s="44" t="inlineStr">
        <is>
          <t>Instances/Month</t>
        </is>
      </c>
      <c r="F7" s="46" t="n">
        <v>2520</v>
      </c>
      <c r="G7" s="46">
        <f>D7*F7*12</f>
        <v/>
      </c>
      <c r="H7" s="46">
        <f>G7</f>
        <v/>
      </c>
      <c r="I7" s="46">
        <f>G7</f>
        <v/>
      </c>
      <c r="J7" s="46">
        <f>G7+H7+I7</f>
        <v/>
      </c>
      <c r="K7" s="44" t="inlineStr">
        <is>
          <t>8 vCPU 16 GB RAM per runner</t>
        </is>
      </c>
    </row>
    <row r="8" ht="26" customHeight="1">
      <c r="A8" s="47" t="inlineStr">
        <is>
          <t>Cloud Infrastructure</t>
        </is>
      </c>
      <c r="B8" s="48" t="inlineStr">
        <is>
          <t>Runner Storage EBS</t>
        </is>
      </c>
      <c r="C8" s="48" t="inlineStr">
        <is>
          <t>GP3 SSD storage 500 GB per runner</t>
        </is>
      </c>
      <c r="D8" s="49" t="n">
        <v>20</v>
      </c>
      <c r="E8" s="48" t="inlineStr">
        <is>
          <t>Volumes/Month</t>
        </is>
      </c>
      <c r="F8" s="50" t="n">
        <v>120</v>
      </c>
      <c r="G8" s="50">
        <f>D8*F8*12</f>
        <v/>
      </c>
      <c r="H8" s="50">
        <f>G8</f>
        <v/>
      </c>
      <c r="I8" s="50">
        <f>G8</f>
        <v/>
      </c>
      <c r="J8" s="50">
        <f>G8+H8+I8</f>
        <v/>
      </c>
      <c r="K8" s="48" t="inlineStr">
        <is>
          <t>Build cache and workspace storage</t>
        </is>
      </c>
    </row>
    <row r="9" ht="26" customHeight="1">
      <c r="A9" s="43" t="inlineStr">
        <is>
          <t>Cloud Infrastructure</t>
        </is>
      </c>
      <c r="B9" s="44" t="inlineStr">
        <is>
          <t>NAT Gateway</t>
        </is>
      </c>
      <c r="C9" s="44" t="inlineStr">
        <is>
          <t>NAT Gateway for runner internet access (2 AZs)</t>
        </is>
      </c>
      <c r="D9" s="45" t="n">
        <v>2</v>
      </c>
      <c r="E9" s="44" t="inlineStr">
        <is>
          <t>Gateways/Month</t>
        </is>
      </c>
      <c r="F9" s="46" t="n">
        <v>394</v>
      </c>
      <c r="G9" s="46">
        <f>D9*F9*12</f>
        <v/>
      </c>
      <c r="H9" s="46">
        <f>G9</f>
        <v/>
      </c>
      <c r="I9" s="46">
        <f>G9</f>
        <v/>
      </c>
      <c r="J9" s="46">
        <f>G9+H9+I9</f>
        <v/>
      </c>
      <c r="K9" s="44" t="inlineStr">
        <is>
          <t>Outbound connectivity</t>
        </is>
      </c>
    </row>
    <row r="10" ht="26" customHeight="1">
      <c r="A10" s="47" t="inlineStr">
        <is>
          <t>Cloud Infrastructure</t>
        </is>
      </c>
      <c r="B10" s="48" t="inlineStr">
        <is>
          <t>Data Transfer Out</t>
        </is>
      </c>
      <c r="C10" s="48" t="inlineStr">
        <is>
          <t>Outbound data transfer for artifacts and deployments (500 GB)</t>
        </is>
      </c>
      <c r="D10" s="49" t="n">
        <v>500</v>
      </c>
      <c r="E10" s="48" t="inlineStr">
        <is>
          <t>GB/Month</t>
        </is>
      </c>
      <c r="F10" s="50" t="n">
        <v>0.09</v>
      </c>
      <c r="G10" s="50">
        <f>D10*F10*12</f>
        <v/>
      </c>
      <c r="H10" s="50">
        <f>G10</f>
        <v/>
      </c>
      <c r="I10" s="50">
        <f>G10</f>
        <v/>
      </c>
      <c r="J10" s="50">
        <f>G10+H10+I10</f>
        <v/>
      </c>
      <c r="K10" s="48" t="inlineStr">
        <is>
          <t>AWS data egress charges</t>
        </is>
      </c>
    </row>
    <row r="11" ht="26" customHeight="1">
      <c r="A11" s="43" t="inlineStr">
        <is>
          <t>Cloud Infrastructure</t>
        </is>
      </c>
      <c r="B11" s="44" t="inlineStr">
        <is>
          <t>Elastic Load Balancer</t>
        </is>
      </c>
      <c r="C11" s="44" t="inlineStr">
        <is>
          <t>Application Load Balancer for runner management</t>
        </is>
      </c>
      <c r="D11" s="45" t="n">
        <v>1</v>
      </c>
      <c r="E11" s="44" t="inlineStr">
        <is>
          <t>ALB/Month</t>
        </is>
      </c>
      <c r="F11" s="46" t="n">
        <v>223</v>
      </c>
      <c r="G11" s="46">
        <f>D11*F11*12</f>
        <v/>
      </c>
      <c r="H11" s="46">
        <f>G11</f>
        <v/>
      </c>
      <c r="I11" s="46">
        <f>G11</f>
        <v/>
      </c>
      <c r="J11" s="46">
        <f>G11+H11+I11</f>
        <v/>
      </c>
      <c r="K11" s="44" t="inlineStr">
        <is>
          <t>Runner pool load balancing</t>
        </is>
      </c>
    </row>
    <row r="12" ht="26" customHeight="1">
      <c r="A12" s="47" t="inlineStr">
        <is>
          <t>Cloud Infrastructure</t>
        </is>
      </c>
      <c r="B12" s="48" t="inlineStr">
        <is>
          <t>CloudWatch Logs</t>
        </is>
      </c>
      <c r="C12" s="48" t="inlineStr">
        <is>
          <t>Logs and metrics for runner monitoring (100 GB)</t>
        </is>
      </c>
      <c r="D12" s="49" t="n">
        <v>100</v>
      </c>
      <c r="E12" s="48" t="inlineStr">
        <is>
          <t>GB/Month</t>
        </is>
      </c>
      <c r="F12" s="50" t="n">
        <v>0.5</v>
      </c>
      <c r="G12" s="50">
        <f>D12*F12*12</f>
        <v/>
      </c>
      <c r="H12" s="50">
        <f>G12</f>
        <v/>
      </c>
      <c r="I12" s="50">
        <f>G12</f>
        <v/>
      </c>
      <c r="J12" s="50">
        <f>G12+H12+I12</f>
        <v/>
      </c>
      <c r="K12" s="48" t="inlineStr">
        <is>
          <t>Runner operational visibility</t>
        </is>
      </c>
    </row>
    <row r="13" ht="26" customHeight="1">
      <c r="A13" s="43" t="inlineStr">
        <is>
          <t>Professional Services</t>
        </is>
      </c>
      <c r="B13" s="44" t="inlineStr">
        <is>
          <t>CI/CD Platform Assessment</t>
        </is>
      </c>
      <c r="C13" s="44" t="inlineStr">
        <is>
          <t>Current state Jenkins/GitLab CI evaluation</t>
        </is>
      </c>
      <c r="D13" s="45" t="n">
        <v>40</v>
      </c>
      <c r="E13" s="44" t="inlineStr">
        <is>
          <t>Hours</t>
        </is>
      </c>
      <c r="F13" s="46" t="n">
        <v>225</v>
      </c>
      <c r="G13" s="46">
        <f>D13*F13</f>
        <v/>
      </c>
      <c r="H13" s="46">
        <f>0</f>
        <v/>
      </c>
      <c r="I13" s="46">
        <f>0</f>
        <v/>
      </c>
      <c r="J13" s="46">
        <f>G13+H13+I13</f>
        <v/>
      </c>
      <c r="K13" s="44" t="inlineStr">
        <is>
          <t>Migration complexity analysis</t>
        </is>
      </c>
    </row>
    <row r="14" ht="26" customHeight="1">
      <c r="A14" s="47" t="inlineStr">
        <is>
          <t>Professional Services</t>
        </is>
      </c>
      <c r="B14" s="48" t="inlineStr">
        <is>
          <t>GitHub Actions Migration</t>
        </is>
      </c>
      <c r="C14" s="48" t="inlineStr">
        <is>
          <t>Migrate Jenkins/GitLab pipelines to GitHub Actions</t>
        </is>
      </c>
      <c r="D14" s="49" t="n">
        <v>80</v>
      </c>
      <c r="E14" s="48" t="inlineStr">
        <is>
          <t>Hours</t>
        </is>
      </c>
      <c r="F14" s="50" t="n">
        <v>225</v>
      </c>
      <c r="G14" s="50">
        <f>D14*F14</f>
        <v/>
      </c>
      <c r="H14" s="50">
        <f>0</f>
        <v/>
      </c>
      <c r="I14" s="50">
        <f>0</f>
        <v/>
      </c>
      <c r="J14" s="50">
        <f>G14+H14+I14</f>
        <v/>
      </c>
      <c r="K14" s="48" t="inlineStr">
        <is>
          <t>Pipeline conversion and testing</t>
        </is>
      </c>
    </row>
    <row r="15" ht="26" customHeight="1">
      <c r="A15" s="43" t="inlineStr">
        <is>
          <t>Professional Services</t>
        </is>
      </c>
      <c r="B15" s="44" t="inlineStr">
        <is>
          <t>Reusable Workflow Development</t>
        </is>
      </c>
      <c r="C15" s="44" t="inlineStr">
        <is>
          <t>Build workflow templates for .NET Node.js Python Docker</t>
        </is>
      </c>
      <c r="D15" s="45" t="n">
        <v>60</v>
      </c>
      <c r="E15" s="44" t="inlineStr">
        <is>
          <t>Hours</t>
        </is>
      </c>
      <c r="F15" s="46" t="n">
        <v>200</v>
      </c>
      <c r="G15" s="46">
        <f>D15*F15</f>
        <v/>
      </c>
      <c r="H15" s="46">
        <f>0</f>
        <v/>
      </c>
      <c r="I15" s="46">
        <f>0</f>
        <v/>
      </c>
      <c r="J15" s="46">
        <f>G15+H15+I15</f>
        <v/>
      </c>
      <c r="K15" s="44" t="inlineStr">
        <is>
          <t>Standardized pipeline library</t>
        </is>
      </c>
    </row>
    <row r="16" ht="26" customHeight="1">
      <c r="A16" s="47" t="inlineStr">
        <is>
          <t>Professional Services</t>
        </is>
      </c>
      <c r="B16" s="48" t="inlineStr">
        <is>
          <t>Self-Hosted Runner Setup</t>
        </is>
      </c>
      <c r="C16" s="48" t="inlineStr">
        <is>
          <t>Deploy and configure runner infrastructure in AWS VPC</t>
        </is>
      </c>
      <c r="D16" s="49" t="n">
        <v>40</v>
      </c>
      <c r="E16" s="48" t="inlineStr">
        <is>
          <t>Hours</t>
        </is>
      </c>
      <c r="F16" s="50" t="n">
        <v>200</v>
      </c>
      <c r="G16" s="50">
        <f>D16*F16</f>
        <v/>
      </c>
      <c r="H16" s="50">
        <f>0</f>
        <v/>
      </c>
      <c r="I16" s="50">
        <f>0</f>
        <v/>
      </c>
      <c r="J16" s="50">
        <f>G16+H16+I16</f>
        <v/>
      </c>
      <c r="K16" s="48" t="inlineStr">
        <is>
          <t>EC2 ASG networking security</t>
        </is>
      </c>
    </row>
    <row r="17" ht="26" customHeight="1">
      <c r="A17" s="43" t="inlineStr">
        <is>
          <t>Professional Services</t>
        </is>
      </c>
      <c r="B17" s="44" t="inlineStr">
        <is>
          <t>OIDC Integration</t>
        </is>
      </c>
      <c r="C17" s="44" t="inlineStr">
        <is>
          <t>Configure OIDC for AWS Azure GCP keyless auth</t>
        </is>
      </c>
      <c r="D17" s="45" t="n">
        <v>40</v>
      </c>
      <c r="E17" s="44" t="inlineStr">
        <is>
          <t>Hours</t>
        </is>
      </c>
      <c r="F17" s="46" t="n">
        <v>225</v>
      </c>
      <c r="G17" s="46">
        <f>D17*F17</f>
        <v/>
      </c>
      <c r="H17" s="46">
        <f>0</f>
        <v/>
      </c>
      <c r="I17" s="46">
        <f>0</f>
        <v/>
      </c>
      <c r="J17" s="46">
        <f>G17+H17+I17</f>
        <v/>
      </c>
      <c r="K17" s="44" t="inlineStr">
        <is>
          <t>Federated identity setup</t>
        </is>
      </c>
    </row>
    <row r="18" ht="26" customHeight="1">
      <c r="A18" s="47" t="inlineStr">
        <is>
          <t>Professional Services</t>
        </is>
      </c>
      <c r="B18" s="48" t="inlineStr">
        <is>
          <t>Environment Configuration</t>
        </is>
      </c>
      <c r="C18" s="48" t="inlineStr">
        <is>
          <t>Set up dev test staging production environments</t>
        </is>
      </c>
      <c r="D18" s="49" t="n">
        <v>30</v>
      </c>
      <c r="E18" s="48" t="inlineStr">
        <is>
          <t>Hours</t>
        </is>
      </c>
      <c r="F18" s="50" t="n">
        <v>200</v>
      </c>
      <c r="G18" s="50">
        <f>D18*F18</f>
        <v/>
      </c>
      <c r="H18" s="50">
        <f>0</f>
        <v/>
      </c>
      <c r="I18" s="50">
        <f>0</f>
        <v/>
      </c>
      <c r="J18" s="50">
        <f>G18+H18+I18</f>
        <v/>
      </c>
      <c r="K18" s="48" t="inlineStr">
        <is>
          <t>Secrets protection rules approvals</t>
        </is>
      </c>
    </row>
    <row r="19" ht="26" customHeight="1">
      <c r="A19" s="43" t="inlineStr">
        <is>
          <t>Professional Services</t>
        </is>
      </c>
      <c r="B19" s="44" t="inlineStr">
        <is>
          <t>Security Integration</t>
        </is>
      </c>
      <c r="C19" s="44" t="inlineStr">
        <is>
          <t>Integrate CodeQL Dependabot container scanning</t>
        </is>
      </c>
      <c r="D19" s="45" t="n">
        <v>24</v>
      </c>
      <c r="E19" s="44" t="inlineStr">
        <is>
          <t>Hours</t>
        </is>
      </c>
      <c r="F19" s="46" t="n">
        <v>225</v>
      </c>
      <c r="G19" s="46">
        <f>D19*F19</f>
        <v/>
      </c>
      <c r="H19" s="46">
        <f>0</f>
        <v/>
      </c>
      <c r="I19" s="46">
        <f>0</f>
        <v/>
      </c>
      <c r="J19" s="46">
        <f>G19+H19+I19</f>
        <v/>
      </c>
      <c r="K19" s="44" t="inlineStr">
        <is>
          <t>Security automation in pipelines</t>
        </is>
      </c>
    </row>
    <row r="20" ht="26" customHeight="1">
      <c r="A20" s="47" t="inlineStr">
        <is>
          <t>Professional Services</t>
        </is>
      </c>
      <c r="B20" s="48" t="inlineStr">
        <is>
          <t>Monitoring Setup</t>
        </is>
      </c>
      <c r="C20" s="48" t="inlineStr">
        <is>
          <t>Configure Datadog New Relic for pipeline monitoring</t>
        </is>
      </c>
      <c r="D20" s="49" t="n">
        <v>20</v>
      </c>
      <c r="E20" s="48" t="inlineStr">
        <is>
          <t>Hours</t>
        </is>
      </c>
      <c r="F20" s="50" t="n">
        <v>200</v>
      </c>
      <c r="G20" s="50">
        <f>D20*F20</f>
        <v/>
      </c>
      <c r="H20" s="50">
        <f>0</f>
        <v/>
      </c>
      <c r="I20" s="50">
        <f>0</f>
        <v/>
      </c>
      <c r="J20" s="50">
        <f>G20+H20+I20</f>
        <v/>
      </c>
      <c r="K20" s="48" t="inlineStr">
        <is>
          <t>CI/CD observability</t>
        </is>
      </c>
    </row>
    <row r="21" ht="26" customHeight="1">
      <c r="A21" s="43" t="inlineStr">
        <is>
          <t>Professional Services</t>
        </is>
      </c>
      <c r="B21" s="44" t="inlineStr">
        <is>
          <t>DevOps Engineer Training</t>
        </is>
      </c>
      <c r="C21" s="44" t="inlineStr">
        <is>
          <t>Train platform engineers on Actions workflow authoring</t>
        </is>
      </c>
      <c r="D21" s="45" t="n">
        <v>32</v>
      </c>
      <c r="E21" s="44" t="inlineStr">
        <is>
          <t>Hours</t>
        </is>
      </c>
      <c r="F21" s="46" t="n">
        <v>175</v>
      </c>
      <c r="G21" s="46">
        <f>D21*F21</f>
        <v/>
      </c>
      <c r="H21" s="46">
        <f>0</f>
        <v/>
      </c>
      <c r="I21" s="46">
        <f>0</f>
        <v/>
      </c>
      <c r="J21" s="46">
        <f>G21+H21+I21</f>
        <v/>
      </c>
      <c r="K21" s="44" t="inlineStr">
        <is>
          <t>4 days hands-on training</t>
        </is>
      </c>
    </row>
    <row r="22" ht="26" customHeight="1">
      <c r="A22" s="47" t="inlineStr">
        <is>
          <t>Professional Services</t>
        </is>
      </c>
      <c r="B22" s="48" t="inlineStr">
        <is>
          <t>Developer Training</t>
        </is>
      </c>
      <c r="C22" s="48" t="inlineStr">
        <is>
          <t>Train developers on using Actions and workflows</t>
        </is>
      </c>
      <c r="D22" s="49" t="n">
        <v>24</v>
      </c>
      <c r="E22" s="48" t="inlineStr">
        <is>
          <t>Hours</t>
        </is>
      </c>
      <c r="F22" s="50" t="n">
        <v>175</v>
      </c>
      <c r="G22" s="50">
        <f>D22*F22</f>
        <v/>
      </c>
      <c r="H22" s="50">
        <f>0</f>
        <v/>
      </c>
      <c r="I22" s="50">
        <f>0</f>
        <v/>
      </c>
      <c r="J22" s="50">
        <f>G22+H22+I22</f>
        <v/>
      </c>
      <c r="K22" s="48" t="inlineStr">
        <is>
          <t>3 days enablement workshops</t>
        </is>
      </c>
    </row>
    <row r="23" ht="26" customHeight="1">
      <c r="A23" s="43" t="inlineStr">
        <is>
          <t>Third-Party Tools</t>
        </is>
      </c>
      <c r="B23" s="44" t="inlineStr">
        <is>
          <t>Artifact Repository</t>
        </is>
      </c>
      <c r="C23" s="44" t="inlineStr">
        <is>
          <t>JFrog Artifactory Cloud (100 users)</t>
        </is>
      </c>
      <c r="D23" s="45" t="n">
        <v>100</v>
      </c>
      <c r="E23" s="44" t="inlineStr">
        <is>
          <t>Users/Year</t>
        </is>
      </c>
      <c r="F23" s="46" t="n">
        <v>125</v>
      </c>
      <c r="G23" s="46">
        <f>D23*F23</f>
        <v/>
      </c>
      <c r="H23" s="46">
        <f>G23</f>
        <v/>
      </c>
      <c r="I23" s="46">
        <f>G23</f>
        <v/>
      </c>
      <c r="J23" s="46">
        <f>G23+H23+I23</f>
        <v/>
      </c>
      <c r="K23" s="44" t="inlineStr">
        <is>
          <t>Universal artifact management</t>
        </is>
      </c>
    </row>
    <row r="24" ht="26" customHeight="1">
      <c r="A24" s="47" t="inlineStr">
        <is>
          <t>Third-Party Tools</t>
        </is>
      </c>
      <c r="B24" s="48" t="inlineStr">
        <is>
          <t>Container Registry</t>
        </is>
      </c>
      <c r="C24" s="48" t="inlineStr">
        <is>
          <t>Harbor enterprise container registry (1 TB)</t>
        </is>
      </c>
      <c r="D24" s="49" t="n">
        <v>1</v>
      </c>
      <c r="E24" s="48" t="inlineStr">
        <is>
          <t>Service/Year</t>
        </is>
      </c>
      <c r="F24" s="50" t="n">
        <v>8000</v>
      </c>
      <c r="G24" s="50">
        <f>D24*F24</f>
        <v/>
      </c>
      <c r="H24" s="50">
        <f>G24</f>
        <v/>
      </c>
      <c r="I24" s="50">
        <f>G24</f>
        <v/>
      </c>
      <c r="J24" s="50">
        <f>G24+H24+I24</f>
        <v/>
      </c>
      <c r="K24" s="48" t="inlineStr">
        <is>
          <t>Private Docker registry</t>
        </is>
      </c>
    </row>
    <row r="25" ht="26" customHeight="1">
      <c r="A25" s="43" t="inlineStr">
        <is>
          <t>Third-Party Tools</t>
        </is>
      </c>
      <c r="B25" s="44" t="inlineStr">
        <is>
          <t>Monitoring</t>
        </is>
      </c>
      <c r="C25" s="44" t="inlineStr">
        <is>
          <t>Datadog Infrastructure + APM (20 hosts)</t>
        </is>
      </c>
      <c r="D25" s="45" t="n">
        <v>20</v>
      </c>
      <c r="E25" s="44" t="inlineStr">
        <is>
          <t>Hosts/Month</t>
        </is>
      </c>
      <c r="F25" s="46" t="n">
        <v>31</v>
      </c>
      <c r="G25" s="46">
        <f>D25*F25*12</f>
        <v/>
      </c>
      <c r="H25" s="46">
        <f>G25</f>
        <v/>
      </c>
      <c r="I25" s="46">
        <f>G25</f>
        <v/>
      </c>
      <c r="J25" s="46">
        <f>G25+H25+I25</f>
        <v/>
      </c>
      <c r="K25" s="44" t="inlineStr">
        <is>
          <t>Runner and deployment monitoring</t>
        </is>
      </c>
    </row>
    <row r="26" ht="26" customHeight="1">
      <c r="A26" s="47" t="inlineStr">
        <is>
          <t>Third-Party Tools</t>
        </is>
      </c>
      <c r="B26" s="48" t="inlineStr">
        <is>
          <t>Notification</t>
        </is>
      </c>
      <c r="C26" s="48" t="inlineStr">
        <is>
          <t>PagerDuty Professional (5 users)</t>
        </is>
      </c>
      <c r="D26" s="49" t="n">
        <v>5</v>
      </c>
      <c r="E26" s="48" t="inlineStr">
        <is>
          <t>Users/Month</t>
        </is>
      </c>
      <c r="F26" s="50" t="n">
        <v>41</v>
      </c>
      <c r="G26" s="50">
        <f>D26*F26*12</f>
        <v/>
      </c>
      <c r="H26" s="50">
        <f>G26</f>
        <v/>
      </c>
      <c r="I26" s="50">
        <f>G26</f>
        <v/>
      </c>
      <c r="J26" s="50">
        <f>G26+H26+I26</f>
        <v/>
      </c>
      <c r="K26" s="48" t="inlineStr">
        <is>
          <t>Pipeline failure alerts</t>
        </is>
      </c>
    </row>
    <row r="27" ht="26" customHeight="1">
      <c r="A27" s="43" t="inlineStr">
        <is>
          <t>Support &amp; Maintenance</t>
        </is>
      </c>
      <c r="B27" s="44" t="inlineStr">
        <is>
          <t>GitHub Premium Support</t>
        </is>
      </c>
      <c r="C27" s="44" t="inlineStr">
        <is>
          <t>24x7 premium support with 1-hour response SLA</t>
        </is>
      </c>
      <c r="D27" s="45" t="n">
        <v>1</v>
      </c>
      <c r="E27" s="44" t="inlineStr">
        <is>
          <t>Service/Year</t>
        </is>
      </c>
      <c r="F27" s="46" t="n">
        <v>25000</v>
      </c>
      <c r="G27" s="46">
        <f>D27*F27</f>
        <v/>
      </c>
      <c r="H27" s="46">
        <f>G27</f>
        <v/>
      </c>
      <c r="I27" s="46">
        <f>G27</f>
        <v/>
      </c>
      <c r="J27" s="46">
        <f>G27+H27+I27</f>
        <v/>
      </c>
      <c r="K27" s="44" t="inlineStr">
        <is>
          <t>Enterprise-grade support</t>
        </is>
      </c>
    </row>
    <row r="28" ht="26" customHeight="1">
      <c r="A28" s="47" t="inlineStr">
        <is>
          <t>Support &amp; Maintenance</t>
        </is>
      </c>
      <c r="B28" s="48" t="inlineStr">
        <is>
          <t>Runner Managed Services</t>
        </is>
      </c>
      <c r="C28" s="48" t="inlineStr">
        <is>
          <t>Ongoing runner infrastructure management and optimization</t>
        </is>
      </c>
      <c r="D28" s="49" t="n">
        <v>1</v>
      </c>
      <c r="E28" s="48" t="inlineStr">
        <is>
          <t>Service/Year</t>
        </is>
      </c>
      <c r="F28" s="50" t="n">
        <v>30000</v>
      </c>
      <c r="G28" s="50">
        <f>D28*F28</f>
        <v/>
      </c>
      <c r="H28" s="50">
        <f>G28</f>
        <v/>
      </c>
      <c r="I28" s="50">
        <f>G28</f>
        <v/>
      </c>
      <c r="J28" s="50">
        <f>G28+H28+I28</f>
        <v/>
      </c>
      <c r="K28" s="48" t="inlineStr">
        <is>
          <t>Platform maintenance and updates</t>
        </is>
      </c>
    </row>
    <row r="29" ht="26" customHeight="1">
      <c r="A29" s="51" t="inlineStr">
        <is>
          <t>TOTAL</t>
        </is>
      </c>
      <c r="B29" s="52" t="n"/>
      <c r="C29" s="52" t="n"/>
      <c r="D29" s="52" t="n"/>
      <c r="E29" s="52" t="n"/>
      <c r="F29" s="52" t="n"/>
      <c r="G29" s="53">
        <f>SUM(G3:G28)</f>
        <v/>
      </c>
      <c r="H29" s="53">
        <f>SUM(H3:H28)</f>
        <v/>
      </c>
      <c r="I29" s="53">
        <f>SUM(I3:I28)</f>
        <v/>
      </c>
      <c r="J29" s="53">
        <f>SUM(J3:J28)</f>
        <v/>
      </c>
      <c r="K29" s="52" t="n"/>
    </row>
  </sheetData>
  <autoFilter ref="A2:K29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Software Licenses</t>
        </is>
      </c>
      <c r="B3" s="44" t="inlineStr">
        <is>
          <t>GitHub Actions Credit</t>
        </is>
      </c>
      <c r="C3" s="46" t="n">
        <v>0</v>
      </c>
      <c r="D3" s="44" t="inlineStr">
        <is>
          <t>No discounts applied - list pricing</t>
        </is>
      </c>
    </row>
    <row r="4" ht="26" customHeight="1">
      <c r="A4" s="47" t="inlineStr">
        <is>
          <t>Cloud Infrastructure</t>
        </is>
      </c>
      <c r="B4" s="48" t="inlineStr">
        <is>
          <t>AWS Migration Credit</t>
        </is>
      </c>
      <c r="C4" s="50" t="n">
        <v>-10000</v>
      </c>
      <c r="D4" s="48" t="inlineStr">
        <is>
          <t>One-time AWS migration credit for runner infrastructure</t>
        </is>
      </c>
    </row>
    <row r="5" ht="26" customHeight="1">
      <c r="A5" s="43" t="inlineStr">
        <is>
          <t>Professional Services</t>
        </is>
      </c>
      <c r="B5" s="44" t="inlineStr">
        <is>
          <t>Implementation Credit</t>
        </is>
      </c>
      <c r="C5" s="46" t="n">
        <v>0</v>
      </c>
      <c r="D5" s="44" t="inlineStr">
        <is>
          <t>No professional services credits</t>
        </is>
      </c>
    </row>
    <row r="6" ht="26" customHeight="1">
      <c r="A6" s="47" t="inlineStr">
        <is>
          <t>Third-Party Tools</t>
        </is>
      </c>
      <c r="B6" s="48" t="inlineStr">
        <is>
          <t>Partner Credit</t>
        </is>
      </c>
      <c r="C6" s="50" t="n">
        <v>0</v>
      </c>
      <c r="D6" s="48" t="inlineStr">
        <is>
          <t>No third-party tool credits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Software Licenses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Cloud Infrastructure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Professional Services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47" t="inlineStr">
        <is>
          <t>Third-Party Tools</t>
        </is>
      </c>
      <c r="B6" s="50">
        <f>SUMIF('Infrastructure Costs'!$A:$A,A6,'Infrastructure Costs'!$G:$G)</f>
        <v/>
      </c>
      <c r="C6" s="50">
        <f>SUMIF(Credits!$A:$A,A6,Credits!$C:$C)</f>
        <v/>
      </c>
      <c r="D6" s="50">
        <f>B6+C6</f>
        <v/>
      </c>
      <c r="E6" s="50">
        <f>SUMIF('Infrastructure Costs'!$A:$A,A6,'Infrastructure Costs'!$H:$H)</f>
        <v/>
      </c>
      <c r="F6" s="50">
        <f>SUMIF('Infrastructure Costs'!$A:$A,A6,'Infrastructure Costs'!$I:$I)</f>
        <v/>
      </c>
      <c r="G6" s="50">
        <f>D6+E6+F6</f>
        <v/>
      </c>
    </row>
    <row r="7" ht="26" customHeight="1">
      <c r="A7" s="43" t="inlineStr">
        <is>
          <t>Support &amp; Maintenance</t>
        </is>
      </c>
      <c r="B7" s="46">
        <f>SUMIF('Infrastructure Costs'!$A:$A,A7,'Infrastructure Costs'!$G:$G)</f>
        <v/>
      </c>
      <c r="C7" s="46">
        <f>SUMIF(Credits!$A:$A,A7,Credits!$C:$C)</f>
        <v/>
      </c>
      <c r="D7" s="46">
        <f>B7+C7</f>
        <v/>
      </c>
      <c r="E7" s="46">
        <f>SUMIF('Infrastructure Costs'!$A:$A,A7,'Infrastructure Costs'!$H:$H)</f>
        <v/>
      </c>
      <c r="F7" s="46">
        <f>SUMIF('Infrastructure Costs'!$A:$A,A7,'Infrastructure Costs'!$I:$I)</f>
        <v/>
      </c>
      <c r="G7" s="46">
        <f>D7+E7+F7</f>
        <v/>
      </c>
    </row>
    <row r="8" ht="26" customHeight="1">
      <c r="A8" s="51" t="inlineStr">
        <is>
          <t>**TOTAL INVESTMENT**</t>
        </is>
      </c>
      <c r="B8" s="53">
        <f>SUM(B3:B7)</f>
        <v/>
      </c>
      <c r="C8" s="53">
        <f>SUM(C3:C7)</f>
        <v/>
      </c>
      <c r="D8" s="53">
        <f>SUM(D3:D7)</f>
        <v/>
      </c>
      <c r="E8" s="53">
        <f>SUM(E3:E7)</f>
        <v/>
      </c>
      <c r="F8" s="53">
        <f>SUM(F3:F7)</f>
        <v/>
      </c>
      <c r="G8" s="53">
        <f>SUM(G3:G7)</f>
        <v/>
      </c>
    </row>
  </sheetData>
  <autoFilter ref="A2:G8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2025-11-22T21:31:39Z</dcterms:modified>
  <cp:lastModifiedBy>Kishan Siram</cp:lastModifiedBy>
</cp:coreProperties>
</file>