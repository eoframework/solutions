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ll Categories (Read Only)" sheetId="2" state="visible" r:id="rId2"/>
    <sheet xmlns:r="http://schemas.openxmlformats.org/officeDocument/2006/relationships" name="Business Requirements" sheetId="3" state="visible" r:id="rId3"/>
    <sheet xmlns:r="http://schemas.openxmlformats.org/officeDocument/2006/relationships" name="Technical Requirements" sheetId="4" state="visible" r:id="rId4"/>
    <sheet xmlns:r="http://schemas.openxmlformats.org/officeDocument/2006/relationships" name="Security &amp; Compliance" sheetId="5" state="visible" r:id="rId5"/>
    <sheet xmlns:r="http://schemas.openxmlformats.org/officeDocument/2006/relationships" name="Operations &amp; Support" sheetId="6" state="visible" r:id="rId6"/>
    <sheet xmlns:r="http://schemas.openxmlformats.org/officeDocument/2006/relationships" name="Integration Requirements" sheetId="7" state="visible" r:id="rId7"/>
    <sheet xmlns:r="http://schemas.openxmlformats.org/officeDocument/2006/relationships" name="Implementation Plann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7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color rgb="FF5D6D7E"/>
      <sz val="11"/>
      <u val="single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D6D7E"/>
      <sz val="14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b val="1"/>
      <color rgb="FFFFFFFF"/>
      <sz val="12"/>
    </font>
    <font>
      <name val="Calibri"/>
      <b val="1"/>
      <color rgb="FF2C3E50"/>
      <sz val="12"/>
    </font>
  </fonts>
  <fills count="12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 wrapText="1" indent="1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9" fontId="11" fillId="8" borderId="4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2" fillId="4" borderId="2" applyAlignment="1" pivotButton="0" quotePrefix="0" xfId="0">
      <alignment horizontal="right" wrapText="1"/>
    </xf>
    <xf numFmtId="164" fontId="12" fillId="0" borderId="2" applyAlignment="1" pivotButton="0" quotePrefix="0" xfId="0">
      <alignment horizontal="right" wrapText="1"/>
    </xf>
    <xf numFmtId="164" fontId="12" fillId="4" borderId="2" applyAlignment="1" pivotButton="0" quotePrefix="0" xfId="0">
      <alignment horizontal="right" wrapText="1" indent="1"/>
    </xf>
    <xf numFmtId="164" fontId="12" fillId="0" borderId="2" applyAlignment="1" pivotButton="0" quotePrefix="0" xfId="0">
      <alignment horizontal="right" wrapText="1" indent="1"/>
    </xf>
    <xf numFmtId="164" fontId="14" fillId="5" borderId="2" applyAlignment="1" pivotButton="0" quotePrefix="0" xfId="0">
      <alignment horizontal="right" wrapText="1" indent="1"/>
    </xf>
    <xf numFmtId="0" fontId="12" fillId="4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center" wrapText="1" indent="1"/>
    </xf>
    <xf numFmtId="0" fontId="12" fillId="4" borderId="2" applyAlignment="1" pivotButton="0" quotePrefix="0" xfId="0">
      <alignment horizontal="left" vertical="center" wrapText="1" indent="1"/>
    </xf>
    <xf numFmtId="0" fontId="12" fillId="0" borderId="2" applyAlignment="1" pivotButton="0" quotePrefix="0" xfId="0">
      <alignment horizontal="left" vertical="center" wrapText="1" indent="1"/>
    </xf>
    <xf numFmtId="0" fontId="13" fillId="6" borderId="4" applyAlignment="1" pivotButton="0" quotePrefix="0" xfId="0">
      <alignment horizontal="left" vertical="center" wrapText="1" indent="1"/>
    </xf>
    <xf numFmtId="0" fontId="7" fillId="9" borderId="3" applyAlignment="1" pivotButton="0" quotePrefix="0" xfId="0">
      <alignment horizontal="center" vertical="center"/>
    </xf>
    <xf numFmtId="0" fontId="16" fillId="7" borderId="5" applyAlignment="1" pivotButton="0" quotePrefix="0" xfId="0">
      <alignment horizontal="center" vertical="center"/>
    </xf>
    <xf numFmtId="0" fontId="16" fillId="8" borderId="5" applyAlignment="1" pivotButton="0" quotePrefix="0" xfId="0">
      <alignment horizontal="center" vertical="center"/>
    </xf>
    <xf numFmtId="9" fontId="16" fillId="8" borderId="5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2" fillId="11" borderId="5" applyAlignment="1" pivotButton="0" quotePrefix="0" xfId="0">
      <alignment vertical="top" wrapText="1" indent="1"/>
    </xf>
    <xf numFmtId="0" fontId="2" fillId="10" borderId="5" applyAlignment="1" pivotButton="0" quotePrefix="0" xfId="0">
      <alignment vertical="top" wrapText="1" indent="1"/>
    </xf>
    <xf numFmtId="0" fontId="2" fillId="4" borderId="5" applyAlignment="1" pivotButton="0" quotePrefix="0" xfId="0">
      <alignment vertical="top" wrapText="1" inden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238250" cy="3143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workbookViewId="0">
      <selection activeCell="E24" sqref="E24"/>
    </sheetView>
  </sheetViews>
  <sheetFormatPr baseColWidth="8" defaultRowHeight="14.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16" t="inlineStr">
        <is>
          <t>[DOCUMENT TITLE]</t>
        </is>
      </c>
    </row>
    <row r="4" ht="25" customHeight="1">
      <c r="B4" s="15" t="inlineStr">
        <is>
          <t>Discovery Questionnaire</t>
        </is>
      </c>
    </row>
    <row r="5" ht="30" customHeight="1">
      <c r="B5" t="inlineStr">
        <is>
          <t>Presales Document</t>
        </is>
      </c>
    </row>
    <row r="6" ht="18" customHeight="1">
      <c r="B6" s="2" t="inlineStr">
        <is>
          <t>Generated:</t>
        </is>
      </c>
      <c r="C6" s="3" t="inlineStr">
        <is>
          <t>November 16, 2025</t>
        </is>
      </c>
    </row>
    <row r="7" ht="18" customHeight="1">
      <c r="B7" s="2" t="inlineStr">
        <is>
          <t>Solution:</t>
        </is>
      </c>
      <c r="C7" s="3" t="inlineStr">
        <is>
          <t>November 22, 2025</t>
        </is>
      </c>
    </row>
    <row r="8" ht="18" customHeight="1">
      <c r="B8" s="2" t="inlineStr">
        <is>
          <t>Customer:</t>
        </is>
      </c>
      <c r="C8" s="3" t="inlineStr">
        <is>
          <t>Actions Enterprise Cicd</t>
        </is>
      </c>
    </row>
    <row r="9" ht="18" customHeight="1">
      <c r="B9" s="2" t="inlineStr">
        <is>
          <t>Version:</t>
        </is>
      </c>
      <c r="C9" s="3" t="inlineStr">
        <is>
          <t>[Customer Name]</t>
        </is>
      </c>
    </row>
    <row r="10" ht="18" customHeight="1">
      <c r="B10" s="2" t="inlineStr">
        <is>
          <t>Status:</t>
        </is>
      </c>
      <c r="C10" s="4" t="inlineStr">
        <is>
          <t>Draft</t>
        </is>
      </c>
    </row>
    <row r="11" ht="40" customHeight="1"/>
    <row r="12" ht="30" customHeight="1">
      <c r="C12" s="5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26" customHeight="1">
      <c r="A1" s="35" t="inlineStr">
        <is>
          <t>Total Questions</t>
        </is>
      </c>
      <c r="B1" s="35" t="inlineStr">
        <is>
          <t>Answered</t>
        </is>
      </c>
      <c r="C1" s="35" t="inlineStr">
        <is>
          <t>Remaining</t>
        </is>
      </c>
      <c r="D1" s="35" t="inlineStr">
        <is>
          <t>% Complete</t>
        </is>
      </c>
    </row>
    <row r="2" ht="26" customHeight="1">
      <c r="A2" s="36" t="n">
        <v>69</v>
      </c>
      <c r="B2" s="36">
        <f>SUMPRODUCT(--(LEN(F5:F73)&gt;0))</f>
        <v/>
      </c>
      <c r="C2" s="36">
        <f>A2-B2</f>
        <v/>
      </c>
      <c r="D2" s="37">
        <f>B2/A2</f>
        <v/>
      </c>
    </row>
    <row r="4" ht="32" customHeight="1">
      <c r="A4" s="38" t="inlineStr">
        <is>
          <t>Question ID</t>
        </is>
      </c>
      <c r="B4" s="38" t="inlineStr">
        <is>
          <t>Category</t>
        </is>
      </c>
      <c r="C4" s="38" t="inlineStr">
        <is>
          <t>Sub-Category</t>
        </is>
      </c>
      <c r="D4" s="38" t="inlineStr">
        <is>
          <t>Question</t>
        </is>
      </c>
      <c r="E4" s="38" t="inlineStr">
        <is>
          <t>Guidance</t>
        </is>
      </c>
      <c r="F4" s="38" t="inlineStr">
        <is>
          <t>Customer Response</t>
        </is>
      </c>
      <c r="G4" s="38" t="inlineStr">
        <is>
          <t>Notes</t>
        </is>
      </c>
    </row>
    <row r="5">
      <c r="A5" s="39">
        <f>IF('Business Requirements'!A2="","",'Business Requirements'!A2)</f>
        <v/>
      </c>
      <c r="B5" s="39">
        <f>IF('Business Requirements'!B2="","",'Business Requirements'!B2)</f>
        <v/>
      </c>
      <c r="C5" s="39">
        <f>IF('Business Requirements'!C2="","",'Business Requirements'!C2)</f>
        <v/>
      </c>
      <c r="D5" s="39">
        <f>IF('Business Requirements'!D2="","",'Business Requirements'!D2)</f>
        <v/>
      </c>
      <c r="E5" s="39">
        <f>IF('Business Requirements'!E2="","",'Business Requirements'!E2)</f>
        <v/>
      </c>
      <c r="F5" s="40">
        <f>IF('Business Requirements'!F2="","",'Business Requirements'!F2)</f>
        <v/>
      </c>
      <c r="G5" s="39">
        <f>IF('Business Requirements'!G2="","",'Business Requirements'!G2)</f>
        <v/>
      </c>
    </row>
    <row r="6">
      <c r="A6" s="41">
        <f>IF('Business Requirements'!A3="","",'Business Requirements'!A3)</f>
        <v/>
      </c>
      <c r="B6" s="41">
        <f>IF('Business Requirements'!B3="","",'Business Requirements'!B3)</f>
        <v/>
      </c>
      <c r="C6" s="41">
        <f>IF('Business Requirements'!C3="","",'Business Requirements'!C3)</f>
        <v/>
      </c>
      <c r="D6" s="41">
        <f>IF('Business Requirements'!D3="","",'Business Requirements'!D3)</f>
        <v/>
      </c>
      <c r="E6" s="41">
        <f>IF('Business Requirements'!E3="","",'Business Requirements'!E3)</f>
        <v/>
      </c>
      <c r="F6" s="40">
        <f>IF('Business Requirements'!F3="","",'Business Requirements'!F3)</f>
        <v/>
      </c>
      <c r="G6" s="41">
        <f>IF('Business Requirements'!G3="","",'Business Requirements'!G3)</f>
        <v/>
      </c>
    </row>
    <row r="7">
      <c r="A7" s="39">
        <f>IF('Business Requirements'!A4="","",'Business Requirements'!A4)</f>
        <v/>
      </c>
      <c r="B7" s="39">
        <f>IF('Business Requirements'!B4="","",'Business Requirements'!B4)</f>
        <v/>
      </c>
      <c r="C7" s="39">
        <f>IF('Business Requirements'!C4="","",'Business Requirements'!C4)</f>
        <v/>
      </c>
      <c r="D7" s="39">
        <f>IF('Business Requirements'!D4="","",'Business Requirements'!D4)</f>
        <v/>
      </c>
      <c r="E7" s="39">
        <f>IF('Business Requirements'!E4="","",'Business Requirements'!E4)</f>
        <v/>
      </c>
      <c r="F7" s="40">
        <f>IF('Business Requirements'!F4="","",'Business Requirements'!F4)</f>
        <v/>
      </c>
      <c r="G7" s="39">
        <f>IF('Business Requirements'!G4="","",'Business Requirements'!G4)</f>
        <v/>
      </c>
    </row>
    <row r="8">
      <c r="A8" s="41">
        <f>IF('Business Requirements'!A5="","",'Business Requirements'!A5)</f>
        <v/>
      </c>
      <c r="B8" s="41">
        <f>IF('Business Requirements'!B5="","",'Business Requirements'!B5)</f>
        <v/>
      </c>
      <c r="C8" s="41">
        <f>IF('Business Requirements'!C5="","",'Business Requirements'!C5)</f>
        <v/>
      </c>
      <c r="D8" s="41">
        <f>IF('Business Requirements'!D5="","",'Business Requirements'!D5)</f>
        <v/>
      </c>
      <c r="E8" s="41">
        <f>IF('Business Requirements'!E5="","",'Business Requirements'!E5)</f>
        <v/>
      </c>
      <c r="F8" s="40">
        <f>IF('Business Requirements'!F5="","",'Business Requirements'!F5)</f>
        <v/>
      </c>
      <c r="G8" s="41">
        <f>IF('Business Requirements'!G5="","",'Business Requirements'!G5)</f>
        <v/>
      </c>
    </row>
    <row r="9">
      <c r="A9" s="39">
        <f>IF('Business Requirements'!A6="","",'Business Requirements'!A6)</f>
        <v/>
      </c>
      <c r="B9" s="39">
        <f>IF('Business Requirements'!B6="","",'Business Requirements'!B6)</f>
        <v/>
      </c>
      <c r="C9" s="39">
        <f>IF('Business Requirements'!C6="","",'Business Requirements'!C6)</f>
        <v/>
      </c>
      <c r="D9" s="39">
        <f>IF('Business Requirements'!D6="","",'Business Requirements'!D6)</f>
        <v/>
      </c>
      <c r="E9" s="39">
        <f>IF('Business Requirements'!E6="","",'Business Requirements'!E6)</f>
        <v/>
      </c>
      <c r="F9" s="40">
        <f>IF('Business Requirements'!F6="","",'Business Requirements'!F6)</f>
        <v/>
      </c>
      <c r="G9" s="39">
        <f>IF('Business Requirements'!G6="","",'Business Requirements'!G6)</f>
        <v/>
      </c>
    </row>
    <row r="10">
      <c r="A10" s="41">
        <f>IF('Business Requirements'!A7="","",'Business Requirements'!A7)</f>
        <v/>
      </c>
      <c r="B10" s="41">
        <f>IF('Business Requirements'!B7="","",'Business Requirements'!B7)</f>
        <v/>
      </c>
      <c r="C10" s="41">
        <f>IF('Business Requirements'!C7="","",'Business Requirements'!C7)</f>
        <v/>
      </c>
      <c r="D10" s="41">
        <f>IF('Business Requirements'!D7="","",'Business Requirements'!D7)</f>
        <v/>
      </c>
      <c r="E10" s="41">
        <f>IF('Business Requirements'!E7="","",'Business Requirements'!E7)</f>
        <v/>
      </c>
      <c r="F10" s="40">
        <f>IF('Business Requirements'!F7="","",'Business Requirements'!F7)</f>
        <v/>
      </c>
      <c r="G10" s="41">
        <f>IF('Business Requirements'!G7="","",'Business Requirements'!G7)</f>
        <v/>
      </c>
    </row>
    <row r="11">
      <c r="A11" s="39">
        <f>IF('Business Requirements'!A8="","",'Business Requirements'!A8)</f>
        <v/>
      </c>
      <c r="B11" s="39">
        <f>IF('Business Requirements'!B8="","",'Business Requirements'!B8)</f>
        <v/>
      </c>
      <c r="C11" s="39">
        <f>IF('Business Requirements'!C8="","",'Business Requirements'!C8)</f>
        <v/>
      </c>
      <c r="D11" s="39">
        <f>IF('Business Requirements'!D8="","",'Business Requirements'!D8)</f>
        <v/>
      </c>
      <c r="E11" s="39">
        <f>IF('Business Requirements'!E8="","",'Business Requirements'!E8)</f>
        <v/>
      </c>
      <c r="F11" s="40">
        <f>IF('Business Requirements'!F8="","",'Business Requirements'!F8)</f>
        <v/>
      </c>
      <c r="G11" s="39">
        <f>IF('Business Requirements'!G8="","",'Business Requirements'!G8)</f>
        <v/>
      </c>
    </row>
    <row r="12">
      <c r="A12" s="41">
        <f>IF('Business Requirements'!A9="","",'Business Requirements'!A9)</f>
        <v/>
      </c>
      <c r="B12" s="41">
        <f>IF('Business Requirements'!B9="","",'Business Requirements'!B9)</f>
        <v/>
      </c>
      <c r="C12" s="41">
        <f>IF('Business Requirements'!C9="","",'Business Requirements'!C9)</f>
        <v/>
      </c>
      <c r="D12" s="41">
        <f>IF('Business Requirements'!D9="","",'Business Requirements'!D9)</f>
        <v/>
      </c>
      <c r="E12" s="41">
        <f>IF('Business Requirements'!E9="","",'Business Requirements'!E9)</f>
        <v/>
      </c>
      <c r="F12" s="40">
        <f>IF('Business Requirements'!F9="","",'Business Requirements'!F9)</f>
        <v/>
      </c>
      <c r="G12" s="41">
        <f>IF('Business Requirements'!G9="","",'Business Requirements'!G9)</f>
        <v/>
      </c>
    </row>
    <row r="13">
      <c r="A13" s="39">
        <f>IF('Business Requirements'!A10="","",'Business Requirements'!A10)</f>
        <v/>
      </c>
      <c r="B13" s="39">
        <f>IF('Business Requirements'!B10="","",'Business Requirements'!B10)</f>
        <v/>
      </c>
      <c r="C13" s="39">
        <f>IF('Business Requirements'!C10="","",'Business Requirements'!C10)</f>
        <v/>
      </c>
      <c r="D13" s="39">
        <f>IF('Business Requirements'!D10="","",'Business Requirements'!D10)</f>
        <v/>
      </c>
      <c r="E13" s="39">
        <f>IF('Business Requirements'!E10="","",'Business Requirements'!E10)</f>
        <v/>
      </c>
      <c r="F13" s="40">
        <f>IF('Business Requirements'!F10="","",'Business Requirements'!F10)</f>
        <v/>
      </c>
      <c r="G13" s="39">
        <f>IF('Business Requirements'!G10="","",'Business Requirements'!G10)</f>
        <v/>
      </c>
    </row>
    <row r="14">
      <c r="A14" s="41">
        <f>IF('Business Requirements'!A11="","",'Business Requirements'!A11)</f>
        <v/>
      </c>
      <c r="B14" s="41">
        <f>IF('Business Requirements'!B11="","",'Business Requirements'!B11)</f>
        <v/>
      </c>
      <c r="C14" s="41">
        <f>IF('Business Requirements'!C11="","",'Business Requirements'!C11)</f>
        <v/>
      </c>
      <c r="D14" s="41">
        <f>IF('Business Requirements'!D11="","",'Business Requirements'!D11)</f>
        <v/>
      </c>
      <c r="E14" s="41">
        <f>IF('Business Requirements'!E11="","",'Business Requirements'!E11)</f>
        <v/>
      </c>
      <c r="F14" s="40">
        <f>IF('Business Requirements'!F11="","",'Business Requirements'!F11)</f>
        <v/>
      </c>
      <c r="G14" s="41">
        <f>IF('Business Requirements'!G11="","",'Business Requirements'!G11)</f>
        <v/>
      </c>
    </row>
    <row r="15">
      <c r="A15" s="39">
        <f>IF('Business Requirements'!A12="","",'Business Requirements'!A12)</f>
        <v/>
      </c>
      <c r="B15" s="39">
        <f>IF('Business Requirements'!B12="","",'Business Requirements'!B12)</f>
        <v/>
      </c>
      <c r="C15" s="39">
        <f>IF('Business Requirements'!C12="","",'Business Requirements'!C12)</f>
        <v/>
      </c>
      <c r="D15" s="39">
        <f>IF('Business Requirements'!D12="","",'Business Requirements'!D12)</f>
        <v/>
      </c>
      <c r="E15" s="39">
        <f>IF('Business Requirements'!E12="","",'Business Requirements'!E12)</f>
        <v/>
      </c>
      <c r="F15" s="40">
        <f>IF('Business Requirements'!F12="","",'Business Requirements'!F12)</f>
        <v/>
      </c>
      <c r="G15" s="39">
        <f>IF('Business Requirements'!G12="","",'Business Requirements'!G12)</f>
        <v/>
      </c>
    </row>
    <row r="16">
      <c r="A16" s="41">
        <f>IF('Business Requirements'!A13="","",'Business Requirements'!A13)</f>
        <v/>
      </c>
      <c r="B16" s="41">
        <f>IF('Business Requirements'!B13="","",'Business Requirements'!B13)</f>
        <v/>
      </c>
      <c r="C16" s="41">
        <f>IF('Business Requirements'!C13="","",'Business Requirements'!C13)</f>
        <v/>
      </c>
      <c r="D16" s="41">
        <f>IF('Business Requirements'!D13="","",'Business Requirements'!D13)</f>
        <v/>
      </c>
      <c r="E16" s="41">
        <f>IF('Business Requirements'!E13="","",'Business Requirements'!E13)</f>
        <v/>
      </c>
      <c r="F16" s="40">
        <f>IF('Business Requirements'!F13="","",'Business Requirements'!F13)</f>
        <v/>
      </c>
      <c r="G16" s="41">
        <f>IF('Business Requirements'!G13="","",'Business Requirements'!G13)</f>
        <v/>
      </c>
    </row>
    <row r="17">
      <c r="A17" s="39">
        <f>IF('Technical Requirements'!A2="","",'Technical Requirements'!A2)</f>
        <v/>
      </c>
      <c r="B17" s="39">
        <f>IF('Technical Requirements'!B2="","",'Technical Requirements'!B2)</f>
        <v/>
      </c>
      <c r="C17" s="39">
        <f>IF('Technical Requirements'!C2="","",'Technical Requirements'!C2)</f>
        <v/>
      </c>
      <c r="D17" s="39">
        <f>IF('Technical Requirements'!D2="","",'Technical Requirements'!D2)</f>
        <v/>
      </c>
      <c r="E17" s="39">
        <f>IF('Technical Requirements'!E2="","",'Technical Requirements'!E2)</f>
        <v/>
      </c>
      <c r="F17" s="40">
        <f>IF('Technical Requirements'!F2="","",'Technical Requirements'!F2)</f>
        <v/>
      </c>
      <c r="G17" s="39">
        <f>IF('Technical Requirements'!G2="","",'Technical Requirements'!G2)</f>
        <v/>
      </c>
    </row>
    <row r="18">
      <c r="A18" s="41">
        <f>IF('Technical Requirements'!A3="","",'Technical Requirements'!A3)</f>
        <v/>
      </c>
      <c r="B18" s="41">
        <f>IF('Technical Requirements'!B3="","",'Technical Requirements'!B3)</f>
        <v/>
      </c>
      <c r="C18" s="41">
        <f>IF('Technical Requirements'!C3="","",'Technical Requirements'!C3)</f>
        <v/>
      </c>
      <c r="D18" s="41">
        <f>IF('Technical Requirements'!D3="","",'Technical Requirements'!D3)</f>
        <v/>
      </c>
      <c r="E18" s="41">
        <f>IF('Technical Requirements'!E3="","",'Technical Requirements'!E3)</f>
        <v/>
      </c>
      <c r="F18" s="40">
        <f>IF('Technical Requirements'!F3="","",'Technical Requirements'!F3)</f>
        <v/>
      </c>
      <c r="G18" s="41">
        <f>IF('Technical Requirements'!G3="","",'Technical Requirements'!G3)</f>
        <v/>
      </c>
    </row>
    <row r="19">
      <c r="A19" s="39">
        <f>IF('Technical Requirements'!A4="","",'Technical Requirements'!A4)</f>
        <v/>
      </c>
      <c r="B19" s="39">
        <f>IF('Technical Requirements'!B4="","",'Technical Requirements'!B4)</f>
        <v/>
      </c>
      <c r="C19" s="39">
        <f>IF('Technical Requirements'!C4="","",'Technical Requirements'!C4)</f>
        <v/>
      </c>
      <c r="D19" s="39">
        <f>IF('Technical Requirements'!D4="","",'Technical Requirements'!D4)</f>
        <v/>
      </c>
      <c r="E19" s="39">
        <f>IF('Technical Requirements'!E4="","",'Technical Requirements'!E4)</f>
        <v/>
      </c>
      <c r="F19" s="40">
        <f>IF('Technical Requirements'!F4="","",'Technical Requirements'!F4)</f>
        <v/>
      </c>
      <c r="G19" s="39">
        <f>IF('Technical Requirements'!G4="","",'Technical Requirements'!G4)</f>
        <v/>
      </c>
    </row>
    <row r="20">
      <c r="A20" s="41">
        <f>IF('Technical Requirements'!A5="","",'Technical Requirements'!A5)</f>
        <v/>
      </c>
      <c r="B20" s="41">
        <f>IF('Technical Requirements'!B5="","",'Technical Requirements'!B5)</f>
        <v/>
      </c>
      <c r="C20" s="41">
        <f>IF('Technical Requirements'!C5="","",'Technical Requirements'!C5)</f>
        <v/>
      </c>
      <c r="D20" s="41">
        <f>IF('Technical Requirements'!D5="","",'Technical Requirements'!D5)</f>
        <v/>
      </c>
      <c r="E20" s="41">
        <f>IF('Technical Requirements'!E5="","",'Technical Requirements'!E5)</f>
        <v/>
      </c>
      <c r="F20" s="40">
        <f>IF('Technical Requirements'!F5="","",'Technical Requirements'!F5)</f>
        <v/>
      </c>
      <c r="G20" s="41">
        <f>IF('Technical Requirements'!G5="","",'Technical Requirements'!G5)</f>
        <v/>
      </c>
    </row>
    <row r="21">
      <c r="A21" s="39">
        <f>IF('Technical Requirements'!A6="","",'Technical Requirements'!A6)</f>
        <v/>
      </c>
      <c r="B21" s="39">
        <f>IF('Technical Requirements'!B6="","",'Technical Requirements'!B6)</f>
        <v/>
      </c>
      <c r="C21" s="39">
        <f>IF('Technical Requirements'!C6="","",'Technical Requirements'!C6)</f>
        <v/>
      </c>
      <c r="D21" s="39">
        <f>IF('Technical Requirements'!D6="","",'Technical Requirements'!D6)</f>
        <v/>
      </c>
      <c r="E21" s="39">
        <f>IF('Technical Requirements'!E6="","",'Technical Requirements'!E6)</f>
        <v/>
      </c>
      <c r="F21" s="40">
        <f>IF('Technical Requirements'!F6="","",'Technical Requirements'!F6)</f>
        <v/>
      </c>
      <c r="G21" s="39">
        <f>IF('Technical Requirements'!G6="","",'Technical Requirements'!G6)</f>
        <v/>
      </c>
    </row>
    <row r="22">
      <c r="A22" s="41">
        <f>IF('Technical Requirements'!A7="","",'Technical Requirements'!A7)</f>
        <v/>
      </c>
      <c r="B22" s="41">
        <f>IF('Technical Requirements'!B7="","",'Technical Requirements'!B7)</f>
        <v/>
      </c>
      <c r="C22" s="41">
        <f>IF('Technical Requirements'!C7="","",'Technical Requirements'!C7)</f>
        <v/>
      </c>
      <c r="D22" s="41">
        <f>IF('Technical Requirements'!D7="","",'Technical Requirements'!D7)</f>
        <v/>
      </c>
      <c r="E22" s="41">
        <f>IF('Technical Requirements'!E7="","",'Technical Requirements'!E7)</f>
        <v/>
      </c>
      <c r="F22" s="40">
        <f>IF('Technical Requirements'!F7="","",'Technical Requirements'!F7)</f>
        <v/>
      </c>
      <c r="G22" s="41">
        <f>IF('Technical Requirements'!G7="","",'Technical Requirements'!G7)</f>
        <v/>
      </c>
    </row>
    <row r="23">
      <c r="A23" s="39">
        <f>IF('Technical Requirements'!A8="","",'Technical Requirements'!A8)</f>
        <v/>
      </c>
      <c r="B23" s="39">
        <f>IF('Technical Requirements'!B8="","",'Technical Requirements'!B8)</f>
        <v/>
      </c>
      <c r="C23" s="39">
        <f>IF('Technical Requirements'!C8="","",'Technical Requirements'!C8)</f>
        <v/>
      </c>
      <c r="D23" s="39">
        <f>IF('Technical Requirements'!D8="","",'Technical Requirements'!D8)</f>
        <v/>
      </c>
      <c r="E23" s="39">
        <f>IF('Technical Requirements'!E8="","",'Technical Requirements'!E8)</f>
        <v/>
      </c>
      <c r="F23" s="40">
        <f>IF('Technical Requirements'!F8="","",'Technical Requirements'!F8)</f>
        <v/>
      </c>
      <c r="G23" s="39">
        <f>IF('Technical Requirements'!G8="","",'Technical Requirements'!G8)</f>
        <v/>
      </c>
    </row>
    <row r="24">
      <c r="A24" s="41">
        <f>IF('Technical Requirements'!A9="","",'Technical Requirements'!A9)</f>
        <v/>
      </c>
      <c r="B24" s="41">
        <f>IF('Technical Requirements'!B9="","",'Technical Requirements'!B9)</f>
        <v/>
      </c>
      <c r="C24" s="41">
        <f>IF('Technical Requirements'!C9="","",'Technical Requirements'!C9)</f>
        <v/>
      </c>
      <c r="D24" s="41">
        <f>IF('Technical Requirements'!D9="","",'Technical Requirements'!D9)</f>
        <v/>
      </c>
      <c r="E24" s="41">
        <f>IF('Technical Requirements'!E9="","",'Technical Requirements'!E9)</f>
        <v/>
      </c>
      <c r="F24" s="40">
        <f>IF('Technical Requirements'!F9="","",'Technical Requirements'!F9)</f>
        <v/>
      </c>
      <c r="G24" s="41">
        <f>IF('Technical Requirements'!G9="","",'Technical Requirements'!G9)</f>
        <v/>
      </c>
    </row>
    <row r="25">
      <c r="A25" s="39">
        <f>IF('Technical Requirements'!A10="","",'Technical Requirements'!A10)</f>
        <v/>
      </c>
      <c r="B25" s="39">
        <f>IF('Technical Requirements'!B10="","",'Technical Requirements'!B10)</f>
        <v/>
      </c>
      <c r="C25" s="39">
        <f>IF('Technical Requirements'!C10="","",'Technical Requirements'!C10)</f>
        <v/>
      </c>
      <c r="D25" s="39">
        <f>IF('Technical Requirements'!D10="","",'Technical Requirements'!D10)</f>
        <v/>
      </c>
      <c r="E25" s="39">
        <f>IF('Technical Requirements'!E10="","",'Technical Requirements'!E10)</f>
        <v/>
      </c>
      <c r="F25" s="40">
        <f>IF('Technical Requirements'!F10="","",'Technical Requirements'!F10)</f>
        <v/>
      </c>
      <c r="G25" s="39">
        <f>IF('Technical Requirements'!G10="","",'Technical Requirements'!G10)</f>
        <v/>
      </c>
    </row>
    <row r="26">
      <c r="A26" s="41">
        <f>IF('Technical Requirements'!A11="","",'Technical Requirements'!A11)</f>
        <v/>
      </c>
      <c r="B26" s="41">
        <f>IF('Technical Requirements'!B11="","",'Technical Requirements'!B11)</f>
        <v/>
      </c>
      <c r="C26" s="41">
        <f>IF('Technical Requirements'!C11="","",'Technical Requirements'!C11)</f>
        <v/>
      </c>
      <c r="D26" s="41">
        <f>IF('Technical Requirements'!D11="","",'Technical Requirements'!D11)</f>
        <v/>
      </c>
      <c r="E26" s="41">
        <f>IF('Technical Requirements'!E11="","",'Technical Requirements'!E11)</f>
        <v/>
      </c>
      <c r="F26" s="40">
        <f>IF('Technical Requirements'!F11="","",'Technical Requirements'!F11)</f>
        <v/>
      </c>
      <c r="G26" s="41">
        <f>IF('Technical Requirements'!G11="","",'Technical Requirements'!G11)</f>
        <v/>
      </c>
    </row>
    <row r="27">
      <c r="A27" s="39">
        <f>IF('Technical Requirements'!A12="","",'Technical Requirements'!A12)</f>
        <v/>
      </c>
      <c r="B27" s="39">
        <f>IF('Technical Requirements'!B12="","",'Technical Requirements'!B12)</f>
        <v/>
      </c>
      <c r="C27" s="39">
        <f>IF('Technical Requirements'!C12="","",'Technical Requirements'!C12)</f>
        <v/>
      </c>
      <c r="D27" s="39">
        <f>IF('Technical Requirements'!D12="","",'Technical Requirements'!D12)</f>
        <v/>
      </c>
      <c r="E27" s="39">
        <f>IF('Technical Requirements'!E12="","",'Technical Requirements'!E12)</f>
        <v/>
      </c>
      <c r="F27" s="40">
        <f>IF('Technical Requirements'!F12="","",'Technical Requirements'!F12)</f>
        <v/>
      </c>
      <c r="G27" s="39">
        <f>IF('Technical Requirements'!G12="","",'Technical Requirements'!G12)</f>
        <v/>
      </c>
    </row>
    <row r="28">
      <c r="A28" s="41">
        <f>IF('Technical Requirements'!A13="","",'Technical Requirements'!A13)</f>
        <v/>
      </c>
      <c r="B28" s="41">
        <f>IF('Technical Requirements'!B13="","",'Technical Requirements'!B13)</f>
        <v/>
      </c>
      <c r="C28" s="41">
        <f>IF('Technical Requirements'!C13="","",'Technical Requirements'!C13)</f>
        <v/>
      </c>
      <c r="D28" s="41">
        <f>IF('Technical Requirements'!D13="","",'Technical Requirements'!D13)</f>
        <v/>
      </c>
      <c r="E28" s="41">
        <f>IF('Technical Requirements'!E13="","",'Technical Requirements'!E13)</f>
        <v/>
      </c>
      <c r="F28" s="40">
        <f>IF('Technical Requirements'!F13="","",'Technical Requirements'!F13)</f>
        <v/>
      </c>
      <c r="G28" s="41">
        <f>IF('Technical Requirements'!G13="","",'Technical Requirements'!G13)</f>
        <v/>
      </c>
    </row>
    <row r="29">
      <c r="A29" s="39">
        <f>IF('Technical Requirements'!A14="","",'Technical Requirements'!A14)</f>
        <v/>
      </c>
      <c r="B29" s="39">
        <f>IF('Technical Requirements'!B14="","",'Technical Requirements'!B14)</f>
        <v/>
      </c>
      <c r="C29" s="39">
        <f>IF('Technical Requirements'!C14="","",'Technical Requirements'!C14)</f>
        <v/>
      </c>
      <c r="D29" s="39">
        <f>IF('Technical Requirements'!D14="","",'Technical Requirements'!D14)</f>
        <v/>
      </c>
      <c r="E29" s="39">
        <f>IF('Technical Requirements'!E14="","",'Technical Requirements'!E14)</f>
        <v/>
      </c>
      <c r="F29" s="40">
        <f>IF('Technical Requirements'!F14="","",'Technical Requirements'!F14)</f>
        <v/>
      </c>
      <c r="G29" s="39">
        <f>IF('Technical Requirements'!G14="","",'Technical Requirements'!G14)</f>
        <v/>
      </c>
    </row>
    <row r="30">
      <c r="A30" s="41">
        <f>IF('Technical Requirements'!A15="","",'Technical Requirements'!A15)</f>
        <v/>
      </c>
      <c r="B30" s="41">
        <f>IF('Technical Requirements'!B15="","",'Technical Requirements'!B15)</f>
        <v/>
      </c>
      <c r="C30" s="41">
        <f>IF('Technical Requirements'!C15="","",'Technical Requirements'!C15)</f>
        <v/>
      </c>
      <c r="D30" s="41">
        <f>IF('Technical Requirements'!D15="","",'Technical Requirements'!D15)</f>
        <v/>
      </c>
      <c r="E30" s="41">
        <f>IF('Technical Requirements'!E15="","",'Technical Requirements'!E15)</f>
        <v/>
      </c>
      <c r="F30" s="40">
        <f>IF('Technical Requirements'!F15="","",'Technical Requirements'!F15)</f>
        <v/>
      </c>
      <c r="G30" s="41">
        <f>IF('Technical Requirements'!G15="","",'Technical Requirements'!G15)</f>
        <v/>
      </c>
    </row>
    <row r="31">
      <c r="A31" s="39">
        <f>IF('Technical Requirements'!A16="","",'Technical Requirements'!A16)</f>
        <v/>
      </c>
      <c r="B31" s="39">
        <f>IF('Technical Requirements'!B16="","",'Technical Requirements'!B16)</f>
        <v/>
      </c>
      <c r="C31" s="39">
        <f>IF('Technical Requirements'!C16="","",'Technical Requirements'!C16)</f>
        <v/>
      </c>
      <c r="D31" s="39">
        <f>IF('Technical Requirements'!D16="","",'Technical Requirements'!D16)</f>
        <v/>
      </c>
      <c r="E31" s="39">
        <f>IF('Technical Requirements'!E16="","",'Technical Requirements'!E16)</f>
        <v/>
      </c>
      <c r="F31" s="40">
        <f>IF('Technical Requirements'!F16="","",'Technical Requirements'!F16)</f>
        <v/>
      </c>
      <c r="G31" s="39">
        <f>IF('Technical Requirements'!G16="","",'Technical Requirements'!G16)</f>
        <v/>
      </c>
    </row>
    <row r="32">
      <c r="A32" s="41">
        <f>IF('Technical Requirements'!A17="","",'Technical Requirements'!A17)</f>
        <v/>
      </c>
      <c r="B32" s="41">
        <f>IF('Technical Requirements'!B17="","",'Technical Requirements'!B17)</f>
        <v/>
      </c>
      <c r="C32" s="41">
        <f>IF('Technical Requirements'!C17="","",'Technical Requirements'!C17)</f>
        <v/>
      </c>
      <c r="D32" s="41">
        <f>IF('Technical Requirements'!D17="","",'Technical Requirements'!D17)</f>
        <v/>
      </c>
      <c r="E32" s="41">
        <f>IF('Technical Requirements'!E17="","",'Technical Requirements'!E17)</f>
        <v/>
      </c>
      <c r="F32" s="40">
        <f>IF('Technical Requirements'!F17="","",'Technical Requirements'!F17)</f>
        <v/>
      </c>
      <c r="G32" s="41">
        <f>IF('Technical Requirements'!G17="","",'Technical Requirements'!G17)</f>
        <v/>
      </c>
    </row>
    <row r="33">
      <c r="A33" s="39">
        <f>IF('Technical Requirements'!A18="","",'Technical Requirements'!A18)</f>
        <v/>
      </c>
      <c r="B33" s="39">
        <f>IF('Technical Requirements'!B18="","",'Technical Requirements'!B18)</f>
        <v/>
      </c>
      <c r="C33" s="39">
        <f>IF('Technical Requirements'!C18="","",'Technical Requirements'!C18)</f>
        <v/>
      </c>
      <c r="D33" s="39">
        <f>IF('Technical Requirements'!D18="","",'Technical Requirements'!D18)</f>
        <v/>
      </c>
      <c r="E33" s="39">
        <f>IF('Technical Requirements'!E18="","",'Technical Requirements'!E18)</f>
        <v/>
      </c>
      <c r="F33" s="40">
        <f>IF('Technical Requirements'!F18="","",'Technical Requirements'!F18)</f>
        <v/>
      </c>
      <c r="G33" s="39">
        <f>IF('Technical Requirements'!G18="","",'Technical Requirements'!G18)</f>
        <v/>
      </c>
    </row>
    <row r="34">
      <c r="A34" s="41">
        <f>IF('Technical Requirements'!A19="","",'Technical Requirements'!A19)</f>
        <v/>
      </c>
      <c r="B34" s="41">
        <f>IF('Technical Requirements'!B19="","",'Technical Requirements'!B19)</f>
        <v/>
      </c>
      <c r="C34" s="41">
        <f>IF('Technical Requirements'!C19="","",'Technical Requirements'!C19)</f>
        <v/>
      </c>
      <c r="D34" s="41">
        <f>IF('Technical Requirements'!D19="","",'Technical Requirements'!D19)</f>
        <v/>
      </c>
      <c r="E34" s="41">
        <f>IF('Technical Requirements'!E19="","",'Technical Requirements'!E19)</f>
        <v/>
      </c>
      <c r="F34" s="40">
        <f>IF('Technical Requirements'!F19="","",'Technical Requirements'!F19)</f>
        <v/>
      </c>
      <c r="G34" s="41">
        <f>IF('Technical Requirements'!G19="","",'Technical Requirements'!G19)</f>
        <v/>
      </c>
    </row>
    <row r="35">
      <c r="A35" s="39">
        <f>IF('Security &amp; Compliance'!A2="","",'Security &amp; Compliance'!A2)</f>
        <v/>
      </c>
      <c r="B35" s="39">
        <f>IF('Security &amp; Compliance'!B2="","",'Security &amp; Compliance'!B2)</f>
        <v/>
      </c>
      <c r="C35" s="39">
        <f>IF('Security &amp; Compliance'!C2="","",'Security &amp; Compliance'!C2)</f>
        <v/>
      </c>
      <c r="D35" s="39">
        <f>IF('Security &amp; Compliance'!D2="","",'Security &amp; Compliance'!D2)</f>
        <v/>
      </c>
      <c r="E35" s="39">
        <f>IF('Security &amp; Compliance'!E2="","",'Security &amp; Compliance'!E2)</f>
        <v/>
      </c>
      <c r="F35" s="40">
        <f>IF('Security &amp; Compliance'!F2="","",'Security &amp; Compliance'!F2)</f>
        <v/>
      </c>
      <c r="G35" s="39">
        <f>IF('Security &amp; Compliance'!G2="","",'Security &amp; Compliance'!G2)</f>
        <v/>
      </c>
    </row>
    <row r="36">
      <c r="A36" s="41">
        <f>IF('Security &amp; Compliance'!A3="","",'Security &amp; Compliance'!A3)</f>
        <v/>
      </c>
      <c r="B36" s="41">
        <f>IF('Security &amp; Compliance'!B3="","",'Security &amp; Compliance'!B3)</f>
        <v/>
      </c>
      <c r="C36" s="41">
        <f>IF('Security &amp; Compliance'!C3="","",'Security &amp; Compliance'!C3)</f>
        <v/>
      </c>
      <c r="D36" s="41">
        <f>IF('Security &amp; Compliance'!D3="","",'Security &amp; Compliance'!D3)</f>
        <v/>
      </c>
      <c r="E36" s="41">
        <f>IF('Security &amp; Compliance'!E3="","",'Security &amp; Compliance'!E3)</f>
        <v/>
      </c>
      <c r="F36" s="40">
        <f>IF('Security &amp; Compliance'!F3="","",'Security &amp; Compliance'!F3)</f>
        <v/>
      </c>
      <c r="G36" s="41">
        <f>IF('Security &amp; Compliance'!G3="","",'Security &amp; Compliance'!G3)</f>
        <v/>
      </c>
    </row>
    <row r="37">
      <c r="A37" s="39">
        <f>IF('Security &amp; Compliance'!A4="","",'Security &amp; Compliance'!A4)</f>
        <v/>
      </c>
      <c r="B37" s="39">
        <f>IF('Security &amp; Compliance'!B4="","",'Security &amp; Compliance'!B4)</f>
        <v/>
      </c>
      <c r="C37" s="39">
        <f>IF('Security &amp; Compliance'!C4="","",'Security &amp; Compliance'!C4)</f>
        <v/>
      </c>
      <c r="D37" s="39">
        <f>IF('Security &amp; Compliance'!D4="","",'Security &amp; Compliance'!D4)</f>
        <v/>
      </c>
      <c r="E37" s="39">
        <f>IF('Security &amp; Compliance'!E4="","",'Security &amp; Compliance'!E4)</f>
        <v/>
      </c>
      <c r="F37" s="40">
        <f>IF('Security &amp; Compliance'!F4="","",'Security &amp; Compliance'!F4)</f>
        <v/>
      </c>
      <c r="G37" s="39">
        <f>IF('Security &amp; Compliance'!G4="","",'Security &amp; Compliance'!G4)</f>
        <v/>
      </c>
    </row>
    <row r="38">
      <c r="A38" s="41">
        <f>IF('Security &amp; Compliance'!A5="","",'Security &amp; Compliance'!A5)</f>
        <v/>
      </c>
      <c r="B38" s="41">
        <f>IF('Security &amp; Compliance'!B5="","",'Security &amp; Compliance'!B5)</f>
        <v/>
      </c>
      <c r="C38" s="41">
        <f>IF('Security &amp; Compliance'!C5="","",'Security &amp; Compliance'!C5)</f>
        <v/>
      </c>
      <c r="D38" s="41">
        <f>IF('Security &amp; Compliance'!D5="","",'Security &amp; Compliance'!D5)</f>
        <v/>
      </c>
      <c r="E38" s="41">
        <f>IF('Security &amp; Compliance'!E5="","",'Security &amp; Compliance'!E5)</f>
        <v/>
      </c>
      <c r="F38" s="40">
        <f>IF('Security &amp; Compliance'!F5="","",'Security &amp; Compliance'!F5)</f>
        <v/>
      </c>
      <c r="G38" s="41">
        <f>IF('Security &amp; Compliance'!G5="","",'Security &amp; Compliance'!G5)</f>
        <v/>
      </c>
    </row>
    <row r="39">
      <c r="A39" s="39">
        <f>IF('Security &amp; Compliance'!A6="","",'Security &amp; Compliance'!A6)</f>
        <v/>
      </c>
      <c r="B39" s="39">
        <f>IF('Security &amp; Compliance'!B6="","",'Security &amp; Compliance'!B6)</f>
        <v/>
      </c>
      <c r="C39" s="39">
        <f>IF('Security &amp; Compliance'!C6="","",'Security &amp; Compliance'!C6)</f>
        <v/>
      </c>
      <c r="D39" s="39">
        <f>IF('Security &amp; Compliance'!D6="","",'Security &amp; Compliance'!D6)</f>
        <v/>
      </c>
      <c r="E39" s="39">
        <f>IF('Security &amp; Compliance'!E6="","",'Security &amp; Compliance'!E6)</f>
        <v/>
      </c>
      <c r="F39" s="40">
        <f>IF('Security &amp; Compliance'!F6="","",'Security &amp; Compliance'!F6)</f>
        <v/>
      </c>
      <c r="G39" s="39">
        <f>IF('Security &amp; Compliance'!G6="","",'Security &amp; Compliance'!G6)</f>
        <v/>
      </c>
    </row>
    <row r="40">
      <c r="A40" s="41">
        <f>IF('Security &amp; Compliance'!A7="","",'Security &amp; Compliance'!A7)</f>
        <v/>
      </c>
      <c r="B40" s="41">
        <f>IF('Security &amp; Compliance'!B7="","",'Security &amp; Compliance'!B7)</f>
        <v/>
      </c>
      <c r="C40" s="41">
        <f>IF('Security &amp; Compliance'!C7="","",'Security &amp; Compliance'!C7)</f>
        <v/>
      </c>
      <c r="D40" s="41">
        <f>IF('Security &amp; Compliance'!D7="","",'Security &amp; Compliance'!D7)</f>
        <v/>
      </c>
      <c r="E40" s="41">
        <f>IF('Security &amp; Compliance'!E7="","",'Security &amp; Compliance'!E7)</f>
        <v/>
      </c>
      <c r="F40" s="40">
        <f>IF('Security &amp; Compliance'!F7="","",'Security &amp; Compliance'!F7)</f>
        <v/>
      </c>
      <c r="G40" s="41">
        <f>IF('Security &amp; Compliance'!G7="","",'Security &amp; Compliance'!G7)</f>
        <v/>
      </c>
    </row>
    <row r="41">
      <c r="A41" s="39">
        <f>IF('Security &amp; Compliance'!A8="","",'Security &amp; Compliance'!A8)</f>
        <v/>
      </c>
      <c r="B41" s="39">
        <f>IF('Security &amp; Compliance'!B8="","",'Security &amp; Compliance'!B8)</f>
        <v/>
      </c>
      <c r="C41" s="39">
        <f>IF('Security &amp; Compliance'!C8="","",'Security &amp; Compliance'!C8)</f>
        <v/>
      </c>
      <c r="D41" s="39">
        <f>IF('Security &amp; Compliance'!D8="","",'Security &amp; Compliance'!D8)</f>
        <v/>
      </c>
      <c r="E41" s="39">
        <f>IF('Security &amp; Compliance'!E8="","",'Security &amp; Compliance'!E8)</f>
        <v/>
      </c>
      <c r="F41" s="40">
        <f>IF('Security &amp; Compliance'!F8="","",'Security &amp; Compliance'!F8)</f>
        <v/>
      </c>
      <c r="G41" s="39">
        <f>IF('Security &amp; Compliance'!G8="","",'Security &amp; Compliance'!G8)</f>
        <v/>
      </c>
    </row>
    <row r="42">
      <c r="A42" s="41">
        <f>IF('Security &amp; Compliance'!A9="","",'Security &amp; Compliance'!A9)</f>
        <v/>
      </c>
      <c r="B42" s="41">
        <f>IF('Security &amp; Compliance'!B9="","",'Security &amp; Compliance'!B9)</f>
        <v/>
      </c>
      <c r="C42" s="41">
        <f>IF('Security &amp; Compliance'!C9="","",'Security &amp; Compliance'!C9)</f>
        <v/>
      </c>
      <c r="D42" s="41">
        <f>IF('Security &amp; Compliance'!D9="","",'Security &amp; Compliance'!D9)</f>
        <v/>
      </c>
      <c r="E42" s="41">
        <f>IF('Security &amp; Compliance'!E9="","",'Security &amp; Compliance'!E9)</f>
        <v/>
      </c>
      <c r="F42" s="40">
        <f>IF('Security &amp; Compliance'!F9="","",'Security &amp; Compliance'!F9)</f>
        <v/>
      </c>
      <c r="G42" s="41">
        <f>IF('Security &amp; Compliance'!G9="","",'Security &amp; Compliance'!G9)</f>
        <v/>
      </c>
    </row>
    <row r="43">
      <c r="A43" s="39">
        <f>IF('Operations &amp; Support'!A2="","",'Operations &amp; Support'!A2)</f>
        <v/>
      </c>
      <c r="B43" s="39">
        <f>IF('Operations &amp; Support'!B2="","",'Operations &amp; Support'!B2)</f>
        <v/>
      </c>
      <c r="C43" s="39">
        <f>IF('Operations &amp; Support'!C2="","",'Operations &amp; Support'!C2)</f>
        <v/>
      </c>
      <c r="D43" s="39">
        <f>IF('Operations &amp; Support'!D2="","",'Operations &amp; Support'!D2)</f>
        <v/>
      </c>
      <c r="E43" s="39">
        <f>IF('Operations &amp; Support'!E2="","",'Operations &amp; Support'!E2)</f>
        <v/>
      </c>
      <c r="F43" s="40">
        <f>IF('Operations &amp; Support'!F2="","",'Operations &amp; Support'!F2)</f>
        <v/>
      </c>
      <c r="G43" s="39">
        <f>IF('Operations &amp; Support'!G2="","",'Operations &amp; Support'!G2)</f>
        <v/>
      </c>
    </row>
    <row r="44">
      <c r="A44" s="41">
        <f>IF('Operations &amp; Support'!A3="","",'Operations &amp; Support'!A3)</f>
        <v/>
      </c>
      <c r="B44" s="41">
        <f>IF('Operations &amp; Support'!B3="","",'Operations &amp; Support'!B3)</f>
        <v/>
      </c>
      <c r="C44" s="41">
        <f>IF('Operations &amp; Support'!C3="","",'Operations &amp; Support'!C3)</f>
        <v/>
      </c>
      <c r="D44" s="41">
        <f>IF('Operations &amp; Support'!D3="","",'Operations &amp; Support'!D3)</f>
        <v/>
      </c>
      <c r="E44" s="41">
        <f>IF('Operations &amp; Support'!E3="","",'Operations &amp; Support'!E3)</f>
        <v/>
      </c>
      <c r="F44" s="40">
        <f>IF('Operations &amp; Support'!F3="","",'Operations &amp; Support'!F3)</f>
        <v/>
      </c>
      <c r="G44" s="41">
        <f>IF('Operations &amp; Support'!G3="","",'Operations &amp; Support'!G3)</f>
        <v/>
      </c>
    </row>
    <row r="45">
      <c r="A45" s="39">
        <f>IF('Operations &amp; Support'!A4="","",'Operations &amp; Support'!A4)</f>
        <v/>
      </c>
      <c r="B45" s="39">
        <f>IF('Operations &amp; Support'!B4="","",'Operations &amp; Support'!B4)</f>
        <v/>
      </c>
      <c r="C45" s="39">
        <f>IF('Operations &amp; Support'!C4="","",'Operations &amp; Support'!C4)</f>
        <v/>
      </c>
      <c r="D45" s="39">
        <f>IF('Operations &amp; Support'!D4="","",'Operations &amp; Support'!D4)</f>
        <v/>
      </c>
      <c r="E45" s="39">
        <f>IF('Operations &amp; Support'!E4="","",'Operations &amp; Support'!E4)</f>
        <v/>
      </c>
      <c r="F45" s="40">
        <f>IF('Operations &amp; Support'!F4="","",'Operations &amp; Support'!F4)</f>
        <v/>
      </c>
      <c r="G45" s="39">
        <f>IF('Operations &amp; Support'!G4="","",'Operations &amp; Support'!G4)</f>
        <v/>
      </c>
    </row>
    <row r="46">
      <c r="A46" s="41">
        <f>IF('Operations &amp; Support'!A5="","",'Operations &amp; Support'!A5)</f>
        <v/>
      </c>
      <c r="B46" s="41">
        <f>IF('Operations &amp; Support'!B5="","",'Operations &amp; Support'!B5)</f>
        <v/>
      </c>
      <c r="C46" s="41">
        <f>IF('Operations &amp; Support'!C5="","",'Operations &amp; Support'!C5)</f>
        <v/>
      </c>
      <c r="D46" s="41">
        <f>IF('Operations &amp; Support'!D5="","",'Operations &amp; Support'!D5)</f>
        <v/>
      </c>
      <c r="E46" s="41">
        <f>IF('Operations &amp; Support'!E5="","",'Operations &amp; Support'!E5)</f>
        <v/>
      </c>
      <c r="F46" s="40">
        <f>IF('Operations &amp; Support'!F5="","",'Operations &amp; Support'!F5)</f>
        <v/>
      </c>
      <c r="G46" s="41">
        <f>IF('Operations &amp; Support'!G5="","",'Operations &amp; Support'!G5)</f>
        <v/>
      </c>
    </row>
    <row r="47">
      <c r="A47" s="39">
        <f>IF('Operations &amp; Support'!A6="","",'Operations &amp; Support'!A6)</f>
        <v/>
      </c>
      <c r="B47" s="39">
        <f>IF('Operations &amp; Support'!B6="","",'Operations &amp; Support'!B6)</f>
        <v/>
      </c>
      <c r="C47" s="39">
        <f>IF('Operations &amp; Support'!C6="","",'Operations &amp; Support'!C6)</f>
        <v/>
      </c>
      <c r="D47" s="39">
        <f>IF('Operations &amp; Support'!D6="","",'Operations &amp; Support'!D6)</f>
        <v/>
      </c>
      <c r="E47" s="39">
        <f>IF('Operations &amp; Support'!E6="","",'Operations &amp; Support'!E6)</f>
        <v/>
      </c>
      <c r="F47" s="40">
        <f>IF('Operations &amp; Support'!F6="","",'Operations &amp; Support'!F6)</f>
        <v/>
      </c>
      <c r="G47" s="39">
        <f>IF('Operations &amp; Support'!G6="","",'Operations &amp; Support'!G6)</f>
        <v/>
      </c>
    </row>
    <row r="48">
      <c r="A48" s="41">
        <f>IF('Operations &amp; Support'!A7="","",'Operations &amp; Support'!A7)</f>
        <v/>
      </c>
      <c r="B48" s="41">
        <f>IF('Operations &amp; Support'!B7="","",'Operations &amp; Support'!B7)</f>
        <v/>
      </c>
      <c r="C48" s="41">
        <f>IF('Operations &amp; Support'!C7="","",'Operations &amp; Support'!C7)</f>
        <v/>
      </c>
      <c r="D48" s="41">
        <f>IF('Operations &amp; Support'!D7="","",'Operations &amp; Support'!D7)</f>
        <v/>
      </c>
      <c r="E48" s="41">
        <f>IF('Operations &amp; Support'!E7="","",'Operations &amp; Support'!E7)</f>
        <v/>
      </c>
      <c r="F48" s="40">
        <f>IF('Operations &amp; Support'!F7="","",'Operations &amp; Support'!F7)</f>
        <v/>
      </c>
      <c r="G48" s="41">
        <f>IF('Operations &amp; Support'!G7="","",'Operations &amp; Support'!G7)</f>
        <v/>
      </c>
    </row>
    <row r="49">
      <c r="A49" s="39">
        <f>IF('Operations &amp; Support'!A8="","",'Operations &amp; Support'!A8)</f>
        <v/>
      </c>
      <c r="B49" s="39">
        <f>IF('Operations &amp; Support'!B8="","",'Operations &amp; Support'!B8)</f>
        <v/>
      </c>
      <c r="C49" s="39">
        <f>IF('Operations &amp; Support'!C8="","",'Operations &amp; Support'!C8)</f>
        <v/>
      </c>
      <c r="D49" s="39">
        <f>IF('Operations &amp; Support'!D8="","",'Operations &amp; Support'!D8)</f>
        <v/>
      </c>
      <c r="E49" s="39">
        <f>IF('Operations &amp; Support'!E8="","",'Operations &amp; Support'!E8)</f>
        <v/>
      </c>
      <c r="F49" s="40">
        <f>IF('Operations &amp; Support'!F8="","",'Operations &amp; Support'!F8)</f>
        <v/>
      </c>
      <c r="G49" s="39">
        <f>IF('Operations &amp; Support'!G8="","",'Operations &amp; Support'!G8)</f>
        <v/>
      </c>
    </row>
    <row r="50">
      <c r="A50" s="41">
        <f>IF('Operations &amp; Support'!A9="","",'Operations &amp; Support'!A9)</f>
        <v/>
      </c>
      <c r="B50" s="41">
        <f>IF('Operations &amp; Support'!B9="","",'Operations &amp; Support'!B9)</f>
        <v/>
      </c>
      <c r="C50" s="41">
        <f>IF('Operations &amp; Support'!C9="","",'Operations &amp; Support'!C9)</f>
        <v/>
      </c>
      <c r="D50" s="41">
        <f>IF('Operations &amp; Support'!D9="","",'Operations &amp; Support'!D9)</f>
        <v/>
      </c>
      <c r="E50" s="41">
        <f>IF('Operations &amp; Support'!E9="","",'Operations &amp; Support'!E9)</f>
        <v/>
      </c>
      <c r="F50" s="40">
        <f>IF('Operations &amp; Support'!F9="","",'Operations &amp; Support'!F9)</f>
        <v/>
      </c>
      <c r="G50" s="41">
        <f>IF('Operations &amp; Support'!G9="","",'Operations &amp; Support'!G9)</f>
        <v/>
      </c>
    </row>
    <row r="51">
      <c r="A51" s="39">
        <f>IF('Operations &amp; Support'!A10="","",'Operations &amp; Support'!A10)</f>
        <v/>
      </c>
      <c r="B51" s="39">
        <f>IF('Operations &amp; Support'!B10="","",'Operations &amp; Support'!B10)</f>
        <v/>
      </c>
      <c r="C51" s="39">
        <f>IF('Operations &amp; Support'!C10="","",'Operations &amp; Support'!C10)</f>
        <v/>
      </c>
      <c r="D51" s="39">
        <f>IF('Operations &amp; Support'!D10="","",'Operations &amp; Support'!D10)</f>
        <v/>
      </c>
      <c r="E51" s="39">
        <f>IF('Operations &amp; Support'!E10="","",'Operations &amp; Support'!E10)</f>
        <v/>
      </c>
      <c r="F51" s="40">
        <f>IF('Operations &amp; Support'!F10="","",'Operations &amp; Support'!F10)</f>
        <v/>
      </c>
      <c r="G51" s="39">
        <f>IF('Operations &amp; Support'!G10="","",'Operations &amp; Support'!G10)</f>
        <v/>
      </c>
    </row>
    <row r="52">
      <c r="A52" s="41">
        <f>IF('Operations &amp; Support'!A11="","",'Operations &amp; Support'!A11)</f>
        <v/>
      </c>
      <c r="B52" s="41">
        <f>IF('Operations &amp; Support'!B11="","",'Operations &amp; Support'!B11)</f>
        <v/>
      </c>
      <c r="C52" s="41">
        <f>IF('Operations &amp; Support'!C11="","",'Operations &amp; Support'!C11)</f>
        <v/>
      </c>
      <c r="D52" s="41">
        <f>IF('Operations &amp; Support'!D11="","",'Operations &amp; Support'!D11)</f>
        <v/>
      </c>
      <c r="E52" s="41">
        <f>IF('Operations &amp; Support'!E11="","",'Operations &amp; Support'!E11)</f>
        <v/>
      </c>
      <c r="F52" s="40">
        <f>IF('Operations &amp; Support'!F11="","",'Operations &amp; Support'!F11)</f>
        <v/>
      </c>
      <c r="G52" s="41">
        <f>IF('Operations &amp; Support'!G11="","",'Operations &amp; Support'!G11)</f>
        <v/>
      </c>
    </row>
    <row r="53">
      <c r="A53" s="39">
        <f>IF('Integration Requirements'!A2="","",'Integration Requirements'!A2)</f>
        <v/>
      </c>
      <c r="B53" s="39">
        <f>IF('Integration Requirements'!B2="","",'Integration Requirements'!B2)</f>
        <v/>
      </c>
      <c r="C53" s="39">
        <f>IF('Integration Requirements'!C2="","",'Integration Requirements'!C2)</f>
        <v/>
      </c>
      <c r="D53" s="39">
        <f>IF('Integration Requirements'!D2="","",'Integration Requirements'!D2)</f>
        <v/>
      </c>
      <c r="E53" s="39">
        <f>IF('Integration Requirements'!E2="","",'Integration Requirements'!E2)</f>
        <v/>
      </c>
      <c r="F53" s="40">
        <f>IF('Integration Requirements'!F2="","",'Integration Requirements'!F2)</f>
        <v/>
      </c>
      <c r="G53" s="39">
        <f>IF('Integration Requirements'!G2="","",'Integration Requirements'!G2)</f>
        <v/>
      </c>
    </row>
    <row r="54">
      <c r="A54" s="41">
        <f>IF('Integration Requirements'!A3="","",'Integration Requirements'!A3)</f>
        <v/>
      </c>
      <c r="B54" s="41">
        <f>IF('Integration Requirements'!B3="","",'Integration Requirements'!B3)</f>
        <v/>
      </c>
      <c r="C54" s="41">
        <f>IF('Integration Requirements'!C3="","",'Integration Requirements'!C3)</f>
        <v/>
      </c>
      <c r="D54" s="41">
        <f>IF('Integration Requirements'!D3="","",'Integration Requirements'!D3)</f>
        <v/>
      </c>
      <c r="E54" s="41">
        <f>IF('Integration Requirements'!E3="","",'Integration Requirements'!E3)</f>
        <v/>
      </c>
      <c r="F54" s="40">
        <f>IF('Integration Requirements'!F3="","",'Integration Requirements'!F3)</f>
        <v/>
      </c>
      <c r="G54" s="41">
        <f>IF('Integration Requirements'!G3="","",'Integration Requirements'!G3)</f>
        <v/>
      </c>
    </row>
    <row r="55">
      <c r="A55" s="39">
        <f>IF('Integration Requirements'!A4="","",'Integration Requirements'!A4)</f>
        <v/>
      </c>
      <c r="B55" s="39">
        <f>IF('Integration Requirements'!B4="","",'Integration Requirements'!B4)</f>
        <v/>
      </c>
      <c r="C55" s="39">
        <f>IF('Integration Requirements'!C4="","",'Integration Requirements'!C4)</f>
        <v/>
      </c>
      <c r="D55" s="39">
        <f>IF('Integration Requirements'!D4="","",'Integration Requirements'!D4)</f>
        <v/>
      </c>
      <c r="E55" s="39">
        <f>IF('Integration Requirements'!E4="","",'Integration Requirements'!E4)</f>
        <v/>
      </c>
      <c r="F55" s="40">
        <f>IF('Integration Requirements'!F4="","",'Integration Requirements'!F4)</f>
        <v/>
      </c>
      <c r="G55" s="39">
        <f>IF('Integration Requirements'!G4="","",'Integration Requirements'!G4)</f>
        <v/>
      </c>
    </row>
    <row r="56">
      <c r="A56" s="41">
        <f>IF('Integration Requirements'!A5="","",'Integration Requirements'!A5)</f>
        <v/>
      </c>
      <c r="B56" s="41">
        <f>IF('Integration Requirements'!B5="","",'Integration Requirements'!B5)</f>
        <v/>
      </c>
      <c r="C56" s="41">
        <f>IF('Integration Requirements'!C5="","",'Integration Requirements'!C5)</f>
        <v/>
      </c>
      <c r="D56" s="41">
        <f>IF('Integration Requirements'!D5="","",'Integration Requirements'!D5)</f>
        <v/>
      </c>
      <c r="E56" s="41">
        <f>IF('Integration Requirements'!E5="","",'Integration Requirements'!E5)</f>
        <v/>
      </c>
      <c r="F56" s="40">
        <f>IF('Integration Requirements'!F5="","",'Integration Requirements'!F5)</f>
        <v/>
      </c>
      <c r="G56" s="41">
        <f>IF('Integration Requirements'!G5="","",'Integration Requirements'!G5)</f>
        <v/>
      </c>
    </row>
    <row r="57">
      <c r="A57" s="39">
        <f>IF('Integration Requirements'!A6="","",'Integration Requirements'!A6)</f>
        <v/>
      </c>
      <c r="B57" s="39">
        <f>IF('Integration Requirements'!B6="","",'Integration Requirements'!B6)</f>
        <v/>
      </c>
      <c r="C57" s="39">
        <f>IF('Integration Requirements'!C6="","",'Integration Requirements'!C6)</f>
        <v/>
      </c>
      <c r="D57" s="39">
        <f>IF('Integration Requirements'!D6="","",'Integration Requirements'!D6)</f>
        <v/>
      </c>
      <c r="E57" s="39">
        <f>IF('Integration Requirements'!E6="","",'Integration Requirements'!E6)</f>
        <v/>
      </c>
      <c r="F57" s="40">
        <f>IF('Integration Requirements'!F6="","",'Integration Requirements'!F6)</f>
        <v/>
      </c>
      <c r="G57" s="39">
        <f>IF('Integration Requirements'!G6="","",'Integration Requirements'!G6)</f>
        <v/>
      </c>
    </row>
    <row r="58">
      <c r="A58" s="41">
        <f>IF('Integration Requirements'!A7="","",'Integration Requirements'!A7)</f>
        <v/>
      </c>
      <c r="B58" s="41">
        <f>IF('Integration Requirements'!B7="","",'Integration Requirements'!B7)</f>
        <v/>
      </c>
      <c r="C58" s="41">
        <f>IF('Integration Requirements'!C7="","",'Integration Requirements'!C7)</f>
        <v/>
      </c>
      <c r="D58" s="41">
        <f>IF('Integration Requirements'!D7="","",'Integration Requirements'!D7)</f>
        <v/>
      </c>
      <c r="E58" s="41">
        <f>IF('Integration Requirements'!E7="","",'Integration Requirements'!E7)</f>
        <v/>
      </c>
      <c r="F58" s="40">
        <f>IF('Integration Requirements'!F7="","",'Integration Requirements'!F7)</f>
        <v/>
      </c>
      <c r="G58" s="41">
        <f>IF('Integration Requirements'!G7="","",'Integration Requirements'!G7)</f>
        <v/>
      </c>
    </row>
    <row r="59">
      <c r="A59" s="39">
        <f>IF('Integration Requirements'!A8="","",'Integration Requirements'!A8)</f>
        <v/>
      </c>
      <c r="B59" s="39">
        <f>IF('Integration Requirements'!B8="","",'Integration Requirements'!B8)</f>
        <v/>
      </c>
      <c r="C59" s="39">
        <f>IF('Integration Requirements'!C8="","",'Integration Requirements'!C8)</f>
        <v/>
      </c>
      <c r="D59" s="39">
        <f>IF('Integration Requirements'!D8="","",'Integration Requirements'!D8)</f>
        <v/>
      </c>
      <c r="E59" s="39">
        <f>IF('Integration Requirements'!E8="","",'Integration Requirements'!E8)</f>
        <v/>
      </c>
      <c r="F59" s="40">
        <f>IF('Integration Requirements'!F8="","",'Integration Requirements'!F8)</f>
        <v/>
      </c>
      <c r="G59" s="39">
        <f>IF('Integration Requirements'!G8="","",'Integration Requirements'!G8)</f>
        <v/>
      </c>
    </row>
    <row r="60">
      <c r="A60" s="41">
        <f>IF('Integration Requirements'!A9="","",'Integration Requirements'!A9)</f>
        <v/>
      </c>
      <c r="B60" s="41">
        <f>IF('Integration Requirements'!B9="","",'Integration Requirements'!B9)</f>
        <v/>
      </c>
      <c r="C60" s="41">
        <f>IF('Integration Requirements'!C9="","",'Integration Requirements'!C9)</f>
        <v/>
      </c>
      <c r="D60" s="41">
        <f>IF('Integration Requirements'!D9="","",'Integration Requirements'!D9)</f>
        <v/>
      </c>
      <c r="E60" s="41">
        <f>IF('Integration Requirements'!E9="","",'Integration Requirements'!E9)</f>
        <v/>
      </c>
      <c r="F60" s="40">
        <f>IF('Integration Requirements'!F9="","",'Integration Requirements'!F9)</f>
        <v/>
      </c>
      <c r="G60" s="41">
        <f>IF('Integration Requirements'!G9="","",'Integration Requirements'!G9)</f>
        <v/>
      </c>
    </row>
    <row r="61">
      <c r="A61" s="39">
        <f>IF('Integration Requirements'!A10="","",'Integration Requirements'!A10)</f>
        <v/>
      </c>
      <c r="B61" s="39">
        <f>IF('Integration Requirements'!B10="","",'Integration Requirements'!B10)</f>
        <v/>
      </c>
      <c r="C61" s="39">
        <f>IF('Integration Requirements'!C10="","",'Integration Requirements'!C10)</f>
        <v/>
      </c>
      <c r="D61" s="39">
        <f>IF('Integration Requirements'!D10="","",'Integration Requirements'!D10)</f>
        <v/>
      </c>
      <c r="E61" s="39">
        <f>IF('Integration Requirements'!E10="","",'Integration Requirements'!E10)</f>
        <v/>
      </c>
      <c r="F61" s="40">
        <f>IF('Integration Requirements'!F10="","",'Integration Requirements'!F10)</f>
        <v/>
      </c>
      <c r="G61" s="39">
        <f>IF('Integration Requirements'!G10="","",'Integration Requirements'!G10)</f>
        <v/>
      </c>
    </row>
    <row r="62">
      <c r="A62" s="41">
        <f>IF('Integration Requirements'!A11="","",'Integration Requirements'!A11)</f>
        <v/>
      </c>
      <c r="B62" s="41">
        <f>IF('Integration Requirements'!B11="","",'Integration Requirements'!B11)</f>
        <v/>
      </c>
      <c r="C62" s="41">
        <f>IF('Integration Requirements'!C11="","",'Integration Requirements'!C11)</f>
        <v/>
      </c>
      <c r="D62" s="41">
        <f>IF('Integration Requirements'!D11="","",'Integration Requirements'!D11)</f>
        <v/>
      </c>
      <c r="E62" s="41">
        <f>IF('Integration Requirements'!E11="","",'Integration Requirements'!E11)</f>
        <v/>
      </c>
      <c r="F62" s="40">
        <f>IF('Integration Requirements'!F11="","",'Integration Requirements'!F11)</f>
        <v/>
      </c>
      <c r="G62" s="41">
        <f>IF('Integration Requirements'!G11="","",'Integration Requirements'!G11)</f>
        <v/>
      </c>
    </row>
    <row r="63">
      <c r="A63" s="39">
        <f>IF('Implementation Planning'!A2="","",'Implementation Planning'!A2)</f>
        <v/>
      </c>
      <c r="B63" s="39">
        <f>IF('Implementation Planning'!B2="","",'Implementation Planning'!B2)</f>
        <v/>
      </c>
      <c r="C63" s="39">
        <f>IF('Implementation Planning'!C2="","",'Implementation Planning'!C2)</f>
        <v/>
      </c>
      <c r="D63" s="39">
        <f>IF('Implementation Planning'!D2="","",'Implementation Planning'!D2)</f>
        <v/>
      </c>
      <c r="E63" s="39">
        <f>IF('Implementation Planning'!E2="","",'Implementation Planning'!E2)</f>
        <v/>
      </c>
      <c r="F63" s="40">
        <f>IF('Implementation Planning'!F2="","",'Implementation Planning'!F2)</f>
        <v/>
      </c>
      <c r="G63" s="39">
        <f>IF('Implementation Planning'!G2="","",'Implementation Planning'!G2)</f>
        <v/>
      </c>
    </row>
    <row r="64">
      <c r="A64" s="41">
        <f>IF('Implementation Planning'!A3="","",'Implementation Planning'!A3)</f>
        <v/>
      </c>
      <c r="B64" s="41">
        <f>IF('Implementation Planning'!B3="","",'Implementation Planning'!B3)</f>
        <v/>
      </c>
      <c r="C64" s="41">
        <f>IF('Implementation Planning'!C3="","",'Implementation Planning'!C3)</f>
        <v/>
      </c>
      <c r="D64" s="41">
        <f>IF('Implementation Planning'!D3="","",'Implementation Planning'!D3)</f>
        <v/>
      </c>
      <c r="E64" s="41">
        <f>IF('Implementation Planning'!E3="","",'Implementation Planning'!E3)</f>
        <v/>
      </c>
      <c r="F64" s="40">
        <f>IF('Implementation Planning'!F3="","",'Implementation Planning'!F3)</f>
        <v/>
      </c>
      <c r="G64" s="41">
        <f>IF('Implementation Planning'!G3="","",'Implementation Planning'!G3)</f>
        <v/>
      </c>
    </row>
    <row r="65">
      <c r="A65" s="39">
        <f>IF('Implementation Planning'!A4="","",'Implementation Planning'!A4)</f>
        <v/>
      </c>
      <c r="B65" s="39">
        <f>IF('Implementation Planning'!B4="","",'Implementation Planning'!B4)</f>
        <v/>
      </c>
      <c r="C65" s="39">
        <f>IF('Implementation Planning'!C4="","",'Implementation Planning'!C4)</f>
        <v/>
      </c>
      <c r="D65" s="39">
        <f>IF('Implementation Planning'!D4="","",'Implementation Planning'!D4)</f>
        <v/>
      </c>
      <c r="E65" s="39">
        <f>IF('Implementation Planning'!E4="","",'Implementation Planning'!E4)</f>
        <v/>
      </c>
      <c r="F65" s="40">
        <f>IF('Implementation Planning'!F4="","",'Implementation Planning'!F4)</f>
        <v/>
      </c>
      <c r="G65" s="39">
        <f>IF('Implementation Planning'!G4="","",'Implementation Planning'!G4)</f>
        <v/>
      </c>
    </row>
    <row r="66">
      <c r="A66" s="41">
        <f>IF('Implementation Planning'!A5="","",'Implementation Planning'!A5)</f>
        <v/>
      </c>
      <c r="B66" s="41">
        <f>IF('Implementation Planning'!B5="","",'Implementation Planning'!B5)</f>
        <v/>
      </c>
      <c r="C66" s="41">
        <f>IF('Implementation Planning'!C5="","",'Implementation Planning'!C5)</f>
        <v/>
      </c>
      <c r="D66" s="41">
        <f>IF('Implementation Planning'!D5="","",'Implementation Planning'!D5)</f>
        <v/>
      </c>
      <c r="E66" s="41">
        <f>IF('Implementation Planning'!E5="","",'Implementation Planning'!E5)</f>
        <v/>
      </c>
      <c r="F66" s="40">
        <f>IF('Implementation Planning'!F5="","",'Implementation Planning'!F5)</f>
        <v/>
      </c>
      <c r="G66" s="41">
        <f>IF('Implementation Planning'!G5="","",'Implementation Planning'!G5)</f>
        <v/>
      </c>
    </row>
    <row r="67">
      <c r="A67" s="39">
        <f>IF('Implementation Planning'!A6="","",'Implementation Planning'!A6)</f>
        <v/>
      </c>
      <c r="B67" s="39">
        <f>IF('Implementation Planning'!B6="","",'Implementation Planning'!B6)</f>
        <v/>
      </c>
      <c r="C67" s="39">
        <f>IF('Implementation Planning'!C6="","",'Implementation Planning'!C6)</f>
        <v/>
      </c>
      <c r="D67" s="39">
        <f>IF('Implementation Planning'!D6="","",'Implementation Planning'!D6)</f>
        <v/>
      </c>
      <c r="E67" s="39">
        <f>IF('Implementation Planning'!E6="","",'Implementation Planning'!E6)</f>
        <v/>
      </c>
      <c r="F67" s="40">
        <f>IF('Implementation Planning'!F6="","",'Implementation Planning'!F6)</f>
        <v/>
      </c>
      <c r="G67" s="39">
        <f>IF('Implementation Planning'!G6="","",'Implementation Planning'!G6)</f>
        <v/>
      </c>
    </row>
    <row r="68">
      <c r="A68" s="41">
        <f>IF('Implementation Planning'!A7="","",'Implementation Planning'!A7)</f>
        <v/>
      </c>
      <c r="B68" s="41">
        <f>IF('Implementation Planning'!B7="","",'Implementation Planning'!B7)</f>
        <v/>
      </c>
      <c r="C68" s="41">
        <f>IF('Implementation Planning'!C7="","",'Implementation Planning'!C7)</f>
        <v/>
      </c>
      <c r="D68" s="41">
        <f>IF('Implementation Planning'!D7="","",'Implementation Planning'!D7)</f>
        <v/>
      </c>
      <c r="E68" s="41">
        <f>IF('Implementation Planning'!E7="","",'Implementation Planning'!E7)</f>
        <v/>
      </c>
      <c r="F68" s="40">
        <f>IF('Implementation Planning'!F7="","",'Implementation Planning'!F7)</f>
        <v/>
      </c>
      <c r="G68" s="41">
        <f>IF('Implementation Planning'!G7="","",'Implementation Planning'!G7)</f>
        <v/>
      </c>
    </row>
    <row r="69">
      <c r="A69" s="39">
        <f>IF('Implementation Planning'!A8="","",'Implementation Planning'!A8)</f>
        <v/>
      </c>
      <c r="B69" s="39">
        <f>IF('Implementation Planning'!B8="","",'Implementation Planning'!B8)</f>
        <v/>
      </c>
      <c r="C69" s="39">
        <f>IF('Implementation Planning'!C8="","",'Implementation Planning'!C8)</f>
        <v/>
      </c>
      <c r="D69" s="39">
        <f>IF('Implementation Planning'!D8="","",'Implementation Planning'!D8)</f>
        <v/>
      </c>
      <c r="E69" s="39">
        <f>IF('Implementation Planning'!E8="","",'Implementation Planning'!E8)</f>
        <v/>
      </c>
      <c r="F69" s="40">
        <f>IF('Implementation Planning'!F8="","",'Implementation Planning'!F8)</f>
        <v/>
      </c>
      <c r="G69" s="39">
        <f>IF('Implementation Planning'!G8="","",'Implementation Planning'!G8)</f>
        <v/>
      </c>
    </row>
    <row r="70">
      <c r="A70" s="41">
        <f>IF('Implementation Planning'!A9="","",'Implementation Planning'!A9)</f>
        <v/>
      </c>
      <c r="B70" s="41">
        <f>IF('Implementation Planning'!B9="","",'Implementation Planning'!B9)</f>
        <v/>
      </c>
      <c r="C70" s="41">
        <f>IF('Implementation Planning'!C9="","",'Implementation Planning'!C9)</f>
        <v/>
      </c>
      <c r="D70" s="41">
        <f>IF('Implementation Planning'!D9="","",'Implementation Planning'!D9)</f>
        <v/>
      </c>
      <c r="E70" s="41">
        <f>IF('Implementation Planning'!E9="","",'Implementation Planning'!E9)</f>
        <v/>
      </c>
      <c r="F70" s="40">
        <f>IF('Implementation Planning'!F9="","",'Implementation Planning'!F9)</f>
        <v/>
      </c>
      <c r="G70" s="41">
        <f>IF('Implementation Planning'!G9="","",'Implementation Planning'!G9)</f>
        <v/>
      </c>
    </row>
    <row r="71">
      <c r="A71" s="39">
        <f>IF('Implementation Planning'!A10="","",'Implementation Planning'!A10)</f>
        <v/>
      </c>
      <c r="B71" s="39">
        <f>IF('Implementation Planning'!B10="","",'Implementation Planning'!B10)</f>
        <v/>
      </c>
      <c r="C71" s="39">
        <f>IF('Implementation Planning'!C10="","",'Implementation Planning'!C10)</f>
        <v/>
      </c>
      <c r="D71" s="39">
        <f>IF('Implementation Planning'!D10="","",'Implementation Planning'!D10)</f>
        <v/>
      </c>
      <c r="E71" s="39">
        <f>IF('Implementation Planning'!E10="","",'Implementation Planning'!E10)</f>
        <v/>
      </c>
      <c r="F71" s="40">
        <f>IF('Implementation Planning'!F10="","",'Implementation Planning'!F10)</f>
        <v/>
      </c>
      <c r="G71" s="39">
        <f>IF('Implementation Planning'!G10="","",'Implementation Planning'!G10)</f>
        <v/>
      </c>
    </row>
    <row r="72">
      <c r="A72" s="41">
        <f>IF('Implementation Planning'!A11="","",'Implementation Planning'!A11)</f>
        <v/>
      </c>
      <c r="B72" s="41">
        <f>IF('Implementation Planning'!B11="","",'Implementation Planning'!B11)</f>
        <v/>
      </c>
      <c r="C72" s="41">
        <f>IF('Implementation Planning'!C11="","",'Implementation Planning'!C11)</f>
        <v/>
      </c>
      <c r="D72" s="41">
        <f>IF('Implementation Planning'!D11="","",'Implementation Planning'!D11)</f>
        <v/>
      </c>
      <c r="E72" s="41">
        <f>IF('Implementation Planning'!E11="","",'Implementation Planning'!E11)</f>
        <v/>
      </c>
      <c r="F72" s="40">
        <f>IF('Implementation Planning'!F11="","",'Implementation Planning'!F11)</f>
        <v/>
      </c>
      <c r="G72" s="41">
        <f>IF('Implementation Planning'!G11="","",'Implementation Planning'!G11)</f>
        <v/>
      </c>
    </row>
    <row r="73">
      <c r="A73" s="39">
        <f>IF('Implementation Planning'!A12="","",'Implementation Planning'!A12)</f>
        <v/>
      </c>
      <c r="B73" s="39">
        <f>IF('Implementation Planning'!B12="","",'Implementation Planning'!B12)</f>
        <v/>
      </c>
      <c r="C73" s="39">
        <f>IF('Implementation Planning'!C12="","",'Implementation Planning'!C12)</f>
        <v/>
      </c>
      <c r="D73" s="39">
        <f>IF('Implementation Planning'!D12="","",'Implementation Planning'!D12)</f>
        <v/>
      </c>
      <c r="E73" s="39">
        <f>IF('Implementation Planning'!E12="","",'Implementation Planning'!E12)</f>
        <v/>
      </c>
      <c r="F73" s="40">
        <f>IF('Implementation Planning'!F12="","",'Implementation Planning'!F12)</f>
        <v/>
      </c>
      <c r="G73" s="39">
        <f>IF('Implementation Planning'!G12="","",'Implementation Planning'!G12)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BUS-001</t>
        </is>
      </c>
      <c r="B2" s="41" t="inlineStr">
        <is>
          <t>Business Requirements</t>
        </is>
      </c>
      <c r="C2" s="41" t="inlineStr">
        <is>
          <t>Project Information</t>
        </is>
      </c>
      <c r="D2" s="41" t="inlineStr">
        <is>
          <t>What is the name of your GitHub Actions CI/CD project?</t>
        </is>
      </c>
      <c r="E2" s="41" t="inlineStr">
        <is>
          <t>Provide internal project reference name</t>
        </is>
      </c>
      <c r="F2" s="40" t="n"/>
      <c r="G2" s="41" t="inlineStr">
        <is>
          <t>Internal project reference for tracking</t>
        </is>
      </c>
    </row>
    <row r="3">
      <c r="A3" s="39" t="inlineStr">
        <is>
          <t>BUS-002</t>
        </is>
      </c>
      <c r="B3" s="39" t="inlineStr">
        <is>
          <t>Business Requirements</t>
        </is>
      </c>
      <c r="C3" s="39" t="inlineStr">
        <is>
          <t>Project Information</t>
        </is>
      </c>
      <c r="D3" s="39" t="inlineStr">
        <is>
          <t>Who is the primary stakeholder for this DevOps initiative?</t>
        </is>
      </c>
      <c r="E3" s="39" t="inlineStr">
        <is>
          <t>Name, role, and decision-making authority</t>
        </is>
      </c>
      <c r="F3" s="40" t="n"/>
      <c r="G3" s="39" t="inlineStr">
        <is>
          <t>Main point of contact and decision authority</t>
        </is>
      </c>
    </row>
    <row r="4">
      <c r="A4" s="41" t="inlineStr">
        <is>
          <t>BUS-003</t>
        </is>
      </c>
      <c r="B4" s="41" t="inlineStr">
        <is>
          <t>Business Requirements</t>
        </is>
      </c>
      <c r="C4" s="41" t="inlineStr">
        <is>
          <t>Business Drivers</t>
        </is>
      </c>
      <c r="D4" s="41" t="inlineStr">
        <is>
          <t>What CI/CD challenges are you trying to solve?</t>
        </is>
      </c>
      <c r="E4" s="41" t="inlineStr">
        <is>
          <t>Common challenges: Slow deployments, Manual release processes, CI/CD tool complexity, High infrastructure costs, Lack of deployment automation, Inconsistent pipelines</t>
        </is>
      </c>
      <c r="F4" s="40" t="n"/>
      <c r="G4" s="41" t="inlineStr">
        <is>
          <t>Primary business driver for GitHub Actions investment</t>
        </is>
      </c>
    </row>
    <row r="5">
      <c r="A5" s="39" t="inlineStr">
        <is>
          <t>BUS-004</t>
        </is>
      </c>
      <c r="B5" s="39" t="inlineStr">
        <is>
          <t>Business Requirements</t>
        </is>
      </c>
      <c r="C5" s="39" t="inlineStr">
        <is>
          <t>Current State</t>
        </is>
      </c>
      <c r="D5" s="39" t="inlineStr">
        <is>
          <t>What is your current CI/CD platform?</t>
        </is>
      </c>
      <c r="E5" s="39" t="inlineStr">
        <is>
          <t>Platforms: Jenkins, GitLab CI, CircleCI, Azure DevOps, TeamCity, Travis CI, Bamboo, Manual deployment</t>
        </is>
      </c>
      <c r="F5" s="40" t="n"/>
      <c r="G5" s="39" t="inlineStr">
        <is>
          <t>Current CI/CD baseline assessment</t>
        </is>
      </c>
    </row>
    <row r="6">
      <c r="A6" s="41" t="inlineStr">
        <is>
          <t>BUS-005</t>
        </is>
      </c>
      <c r="B6" s="41" t="inlineStr">
        <is>
          <t>Business Requirements</t>
        </is>
      </c>
      <c r="C6" s="41" t="inlineStr">
        <is>
          <t>Current State</t>
        </is>
      </c>
      <c r="D6" s="41" t="inlineStr">
        <is>
          <t>What are the pain points with your current CI/CD platform?</t>
        </is>
      </c>
      <c r="E6" s="41" t="inlineStr">
        <is>
          <t>Common issues: Maintenance overhead, Cost, Complexity, Slow pipelines, Limited scalability, Poor developer experience</t>
        </is>
      </c>
      <c r="F6" s="40" t="n"/>
      <c r="G6" s="41" t="inlineStr">
        <is>
          <t>CI/CD migration drivers</t>
        </is>
      </c>
    </row>
    <row r="7">
      <c r="A7" s="39" t="inlineStr">
        <is>
          <t>BUS-006</t>
        </is>
      </c>
      <c r="B7" s="39" t="inlineStr">
        <is>
          <t>Business Requirements</t>
        </is>
      </c>
      <c r="C7" s="39" t="inlineStr">
        <is>
          <t>Deployment Frequency</t>
        </is>
      </c>
      <c r="D7" s="39" t="inlineStr">
        <is>
          <t>How often do you deploy to production?</t>
        </is>
      </c>
      <c r="E7" s="39" t="inlineStr">
        <is>
          <t>Deployment frequency: Multiple times per day, Daily, Weekly, Monthly, Quarterly</t>
        </is>
      </c>
      <c r="F7" s="40" t="n"/>
      <c r="G7" s="39" t="inlineStr">
        <is>
          <t>Deployment automation requirements</t>
        </is>
      </c>
    </row>
    <row r="8">
      <c r="A8" s="41" t="inlineStr">
        <is>
          <t>BUS-007</t>
        </is>
      </c>
      <c r="B8" s="41" t="inlineStr">
        <is>
          <t>Business Requirements</t>
        </is>
      </c>
      <c r="C8" s="41" t="inlineStr">
        <is>
          <t>Objectives</t>
        </is>
      </c>
      <c r="D8" s="41" t="inlineStr">
        <is>
          <t>What are your primary goals for implementing GitHub Actions?</t>
        </is>
      </c>
      <c r="E8" s="41" t="inlineStr">
        <is>
          <t>Common goals: Faster deployments, Reduce CI/CD costs, Simplify pipelines, Enable GitOps, Improve developer productivity, Automate testing</t>
        </is>
      </c>
      <c r="F8" s="40" t="n"/>
      <c r="G8" s="41" t="inlineStr">
        <is>
          <t>Business objectives and expected outcomes</t>
        </is>
      </c>
    </row>
    <row r="9">
      <c r="A9" s="39" t="inlineStr">
        <is>
          <t>BUS-008</t>
        </is>
      </c>
      <c r="B9" s="39" t="inlineStr">
        <is>
          <t>Business Requirements</t>
        </is>
      </c>
      <c r="C9" s="39" t="inlineStr">
        <is>
          <t>Success Criteria</t>
        </is>
      </c>
      <c r="D9" s="39" t="inlineStr">
        <is>
          <t>How will you measure GitHub Actions success?</t>
        </is>
      </c>
      <c r="E9" s="39" t="inlineStr">
        <is>
          <t>Define KPIs: deployment frequency, pipeline duration, cost reduction %, developer satisfaction, mean time to recovery</t>
        </is>
      </c>
      <c r="F9" s="40" t="n"/>
      <c r="G9" s="39" t="inlineStr">
        <is>
          <t>Success metrics for project evaluation</t>
        </is>
      </c>
    </row>
    <row r="10">
      <c r="A10" s="41" t="inlineStr">
        <is>
          <t>BUS-009</t>
        </is>
      </c>
      <c r="B10" s="41" t="inlineStr">
        <is>
          <t>Business Requirements</t>
        </is>
      </c>
      <c r="C10" s="41" t="inlineStr">
        <is>
          <t>Timeline</t>
        </is>
      </c>
      <c r="D10" s="41" t="inlineStr">
        <is>
          <t>What is your expected timeline for GitHub Actions implementation?</t>
        </is>
      </c>
      <c r="E10" s="41" t="inlineStr">
        <is>
          <t>Typical ranges: 0-3 months, 3-6 months, 6-12 months</t>
        </is>
      </c>
      <c r="F10" s="40" t="n"/>
      <c r="G10" s="41" t="inlineStr">
        <is>
          <t>Project timeline expectations and constraints</t>
        </is>
      </c>
    </row>
    <row r="11">
      <c r="A11" s="39" t="inlineStr">
        <is>
          <t>BUS-010</t>
        </is>
      </c>
      <c r="B11" s="39" t="inlineStr">
        <is>
          <t>Business Requirements</t>
        </is>
      </c>
      <c r="C11" s="39" t="inlineStr">
        <is>
          <t>Budget</t>
        </is>
      </c>
      <c r="D11" s="39" t="inlineStr">
        <is>
          <t>What is your approved budget range for this CI/CD solution?</t>
        </is>
      </c>
      <c r="E11" s="39" t="inlineStr">
        <is>
          <t>Include GitHub Enterprise licenses, infrastructure, professional services, training</t>
        </is>
      </c>
      <c r="F11" s="40" t="n"/>
      <c r="G11" s="39" t="inlineStr">
        <is>
          <t>Budget constraints for solution sizing</t>
        </is>
      </c>
    </row>
    <row r="12">
      <c r="A12" s="41" t="inlineStr">
        <is>
          <t>BUS-011</t>
        </is>
      </c>
      <c r="B12" s="41" t="inlineStr">
        <is>
          <t>Business Requirements</t>
        </is>
      </c>
      <c r="C12" s="41" t="inlineStr">
        <is>
          <t>Future Vision</t>
        </is>
      </c>
      <c r="D12" s="41" t="inlineStr">
        <is>
          <t>What is your long-term vision for CI/CD automation?</t>
        </is>
      </c>
      <c r="E12" s="41" t="inlineStr">
        <is>
          <t>Consider expansion to more applications, advanced deployment strategies, multi-cloud</t>
        </is>
      </c>
      <c r="F12" s="40" t="n"/>
      <c r="G12" s="41" t="inlineStr">
        <is>
          <t>Future roadmap and scalability planning</t>
        </is>
      </c>
    </row>
    <row r="13">
      <c r="A13" s="39" t="inlineStr">
        <is>
          <t>BUS-012</t>
        </is>
      </c>
      <c r="B13" s="39" t="inlineStr">
        <is>
          <t>Business Requirements</t>
        </is>
      </c>
      <c r="C13" s="39" t="inlineStr">
        <is>
          <t>Team Structure</t>
        </is>
      </c>
      <c r="D13" s="39" t="inlineStr">
        <is>
          <t>How many development teams will use GitHub Actions?</t>
        </is>
      </c>
      <c r="E13" s="39" t="inlineStr">
        <is>
          <t>List teams and their primary applications/services</t>
        </is>
      </c>
      <c r="F13" s="40" t="n"/>
      <c r="G13" s="39" t="inlineStr">
        <is>
          <t>Team adoption and rollout planning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TECH-001</t>
        </is>
      </c>
      <c r="B2" s="41" t="inlineStr">
        <is>
          <t>Technical Requirements</t>
        </is>
      </c>
      <c r="C2" s="41" t="inlineStr">
        <is>
          <t>GitHub Environment</t>
        </is>
      </c>
      <c r="D2" s="41" t="inlineStr">
        <is>
          <t>What GitHub platform are you using?</t>
        </is>
      </c>
      <c r="E2" s="41" t="inlineStr">
        <is>
          <t>Options: GitHub.com (public/private), GitHub Enterprise Cloud, GitHub Enterprise Server</t>
        </is>
      </c>
      <c r="F2" s="40" t="n"/>
      <c r="G2" s="41" t="inlineStr">
        <is>
          <t>Current GitHub deployment model</t>
        </is>
      </c>
    </row>
    <row r="3">
      <c r="A3" s="39" t="inlineStr">
        <is>
          <t>TECH-002</t>
        </is>
      </c>
      <c r="B3" s="39" t="inlineStr">
        <is>
          <t>Technical Requirements</t>
        </is>
      </c>
      <c r="C3" s="39" t="inlineStr">
        <is>
          <t>GitHub Environment</t>
        </is>
      </c>
      <c r="D3" s="39" t="inlineStr">
        <is>
          <t>How many GitHub organizations and repositories do you have?</t>
        </is>
      </c>
      <c r="E3" s="39" t="inlineStr">
        <is>
          <t>Provide org count, total repos, and repos requiring CI/CD</t>
        </is>
      </c>
      <c r="F3" s="40" t="n"/>
      <c r="G3" s="39" t="inlineStr">
        <is>
          <t>Repository scope and pipeline coverage</t>
        </is>
      </c>
    </row>
    <row r="4">
      <c r="A4" s="41" t="inlineStr">
        <is>
          <t>TECH-003</t>
        </is>
      </c>
      <c r="B4" s="41" t="inlineStr">
        <is>
          <t>Technical Requirements</t>
        </is>
      </c>
      <c r="C4" s="41" t="inlineStr">
        <is>
          <t>Developer Count</t>
        </is>
      </c>
      <c r="D4" s="41" t="inlineStr">
        <is>
          <t>How many active developers/engineers do you have?</t>
        </is>
      </c>
      <c r="E4" s="41" t="inlineStr">
        <is>
          <t>Total developers and those actively committing code</t>
        </is>
      </c>
      <c r="F4" s="40" t="n"/>
      <c r="G4" s="41" t="inlineStr">
        <is>
          <t>License count and workflow capacity</t>
        </is>
      </c>
    </row>
    <row r="5">
      <c r="A5" s="39" t="inlineStr">
        <is>
          <t>TECH-004</t>
        </is>
      </c>
      <c r="B5" s="39" t="inlineStr">
        <is>
          <t>Technical Requirements</t>
        </is>
      </c>
      <c r="C5" s="39" t="inlineStr">
        <is>
          <t>Application Portfolio</t>
        </is>
      </c>
      <c r="D5" s="39" t="inlineStr">
        <is>
          <t>How many applications/services need CI/CD pipelines?</t>
        </is>
      </c>
      <c r="E5" s="39" t="inlineStr">
        <is>
          <t>List applications with deployment frequency and complexity</t>
        </is>
      </c>
      <c r="F5" s="40" t="n"/>
      <c r="G5" s="39" t="inlineStr">
        <is>
          <t>Pipeline development scope</t>
        </is>
      </c>
    </row>
    <row r="6">
      <c r="A6" s="41" t="inlineStr">
        <is>
          <t>TECH-005</t>
        </is>
      </c>
      <c r="B6" s="41" t="inlineStr">
        <is>
          <t>Technical Requirements</t>
        </is>
      </c>
      <c r="C6" s="41" t="inlineStr">
        <is>
          <t>Technology Stack</t>
        </is>
      </c>
      <c r="D6" s="41" t="inlineStr">
        <is>
          <t>What programming languages and frameworks do you use?</t>
        </is>
      </c>
      <c r="E6" s="41" t="inlineStr">
        <is>
          <t>Languages: JavaScript/TypeScript, Python, Java, .NET, Go, Ruby, PHP, Other</t>
        </is>
      </c>
      <c r="F6" s="40" t="n"/>
      <c r="G6" s="41" t="inlineStr">
        <is>
          <t>Build and test tooling requirements</t>
        </is>
      </c>
    </row>
    <row r="7">
      <c r="A7" s="39" t="inlineStr">
        <is>
          <t>TECH-006</t>
        </is>
      </c>
      <c r="B7" s="39" t="inlineStr">
        <is>
          <t>Technical Requirements</t>
        </is>
      </c>
      <c r="C7" s="39" t="inlineStr">
        <is>
          <t>Application Types</t>
        </is>
      </c>
      <c r="D7" s="39" t="inlineStr">
        <is>
          <t>What types of applications do you build?</t>
        </is>
      </c>
      <c r="E7" s="39" t="inlineStr">
        <is>
          <t>Types: Web apps, REST APIs, Mobile apps, Desktop apps, Serverless functions, Microservices, Containers</t>
        </is>
      </c>
      <c r="F7" s="40" t="n"/>
      <c r="G7" s="39" t="inlineStr">
        <is>
          <t>Deployment strategy and target platforms</t>
        </is>
      </c>
    </row>
    <row r="8">
      <c r="A8" s="41" t="inlineStr">
        <is>
          <t>TECH-007</t>
        </is>
      </c>
      <c r="B8" s="41" t="inlineStr">
        <is>
          <t>Technical Requirements</t>
        </is>
      </c>
      <c r="C8" s="41" t="inlineStr">
        <is>
          <t>Build Complexity</t>
        </is>
      </c>
      <c r="D8" s="41" t="inlineStr">
        <is>
          <t>What is the typical build duration for your applications?</t>
        </is>
      </c>
      <c r="E8" s="41" t="inlineStr">
        <is>
          <t>Build times: &lt;5 minutes, 5-15 minutes, 15-30 minutes, 30-60 minutes, 60+ minutes</t>
        </is>
      </c>
      <c r="F8" s="40" t="n"/>
      <c r="G8" s="41" t="inlineStr">
        <is>
          <t>Runner sizing and parallelization needs</t>
        </is>
      </c>
    </row>
    <row r="9">
      <c r="A9" s="39" t="inlineStr">
        <is>
          <t>TECH-008</t>
        </is>
      </c>
      <c r="B9" s="39" t="inlineStr">
        <is>
          <t>Technical Requirements</t>
        </is>
      </c>
      <c r="C9" s="39" t="inlineStr">
        <is>
          <t>Build Frequency</t>
        </is>
      </c>
      <c r="D9" s="39" t="inlineStr">
        <is>
          <t>How many builds do you run daily across all projects?</t>
        </is>
      </c>
      <c r="E9" s="39" t="inlineStr">
        <is>
          <t>Typical ranges: 10-50, 50-100, 100-500, 500-1000, 1000+ builds per day</t>
        </is>
      </c>
      <c r="F9" s="40" t="n"/>
      <c r="G9" s="39" t="inlineStr">
        <is>
          <t>Compute capacity and cost estimation</t>
        </is>
      </c>
    </row>
    <row r="10">
      <c r="A10" s="41" t="inlineStr">
        <is>
          <t>TECH-009</t>
        </is>
      </c>
      <c r="B10" s="41" t="inlineStr">
        <is>
          <t>Technical Requirements</t>
        </is>
      </c>
      <c r="C10" s="41" t="inlineStr">
        <is>
          <t>Test Automation</t>
        </is>
      </c>
      <c r="D10" s="41" t="inlineStr">
        <is>
          <t>What testing do you run in CI/CD pipelines?</t>
        </is>
      </c>
      <c r="E10" s="41" t="inlineStr">
        <is>
          <t>Tests: Unit tests, Integration tests, E2E tests, Performance tests, Security scans, Code quality</t>
        </is>
      </c>
      <c r="F10" s="40" t="n"/>
      <c r="G10" s="41" t="inlineStr">
        <is>
          <t>Pipeline duration and compute requirements</t>
        </is>
      </c>
    </row>
    <row r="11">
      <c r="A11" s="39" t="inlineStr">
        <is>
          <t>TECH-010</t>
        </is>
      </c>
      <c r="B11" s="39" t="inlineStr">
        <is>
          <t>Technical Requirements</t>
        </is>
      </c>
      <c r="C11" s="39" t="inlineStr">
        <is>
          <t>Artifact Management</t>
        </is>
      </c>
      <c r="D11" s="39" t="inlineStr">
        <is>
          <t>What build artifacts do you produce?</t>
        </is>
      </c>
      <c r="E11" s="39" t="inlineStr">
        <is>
          <t>Artifacts: Docker images, npm packages, Maven JARs, NuGet packages, Binaries, Static sites</t>
        </is>
      </c>
      <c r="F11" s="40" t="n"/>
      <c r="G11" s="39" t="inlineStr">
        <is>
          <t>GitHub Packages and storage needs</t>
        </is>
      </c>
    </row>
    <row r="12">
      <c r="A12" s="41" t="inlineStr">
        <is>
          <t>TECH-011</t>
        </is>
      </c>
      <c r="B12" s="41" t="inlineStr">
        <is>
          <t>Technical Requirements</t>
        </is>
      </c>
      <c r="C12" s="41" t="inlineStr">
        <is>
          <t>Deployment Targets</t>
        </is>
      </c>
      <c r="D12" s="41" t="inlineStr">
        <is>
          <t>Where do you deploy your applications?</t>
        </is>
      </c>
      <c r="E12" s="41" t="inlineStr">
        <is>
          <t>Targets: AWS (EC2 ECS EKS Lambda), Azure (VMs AKS Functions), GCP (GCE GKE), Kubernetes, On-premises</t>
        </is>
      </c>
      <c r="F12" s="40" t="n"/>
      <c r="G12" s="41" t="inlineStr">
        <is>
          <t>Deployment integration requirements</t>
        </is>
      </c>
    </row>
    <row r="13">
      <c r="A13" s="39" t="inlineStr">
        <is>
          <t>TECH-012</t>
        </is>
      </c>
      <c r="B13" s="39" t="inlineStr">
        <is>
          <t>Technical Requirements</t>
        </is>
      </c>
      <c r="C13" s="39" t="inlineStr">
        <is>
          <t>Infrastructure Preference</t>
        </is>
      </c>
      <c r="D13" s="39" t="inlineStr">
        <is>
          <t>Do you prefer GitHub-hosted or self-hosted runners?</t>
        </is>
      </c>
      <c r="E13" s="39" t="inlineStr">
        <is>
          <t>GitHub-hosted: Fully managed, Self-hosted: In your VPC, Hybrid: Mix of both</t>
        </is>
      </c>
      <c r="F13" s="40" t="n"/>
      <c r="G13" s="39" t="inlineStr">
        <is>
          <t>Runner architecture and cost model</t>
        </is>
      </c>
    </row>
    <row r="14">
      <c r="A14" s="41" t="inlineStr">
        <is>
          <t>TECH-013</t>
        </is>
      </c>
      <c r="B14" s="41" t="inlineStr">
        <is>
          <t>Technical Requirements</t>
        </is>
      </c>
      <c r="C14" s="41" t="inlineStr">
        <is>
          <t>Runner Requirements</t>
        </is>
      </c>
      <c r="D14" s="41" t="inlineStr">
        <is>
          <t>What runner specifications do you need?</t>
        </is>
      </c>
      <c r="E14" s="41" t="inlineStr">
        <is>
          <t>Self-hosted specs: CPU (vCPU count), Memory (GB), OS (Linux Windows macOS), GPU requirements</t>
        </is>
      </c>
      <c r="F14" s="40" t="n"/>
      <c r="G14" s="41" t="inlineStr">
        <is>
          <t>Infrastructure sizing for self-hosted</t>
        </is>
      </c>
    </row>
    <row r="15">
      <c r="A15" s="39" t="inlineStr">
        <is>
          <t>TECH-014</t>
        </is>
      </c>
      <c r="B15" s="39" t="inlineStr">
        <is>
          <t>Technical Requirements</t>
        </is>
      </c>
      <c r="C15" s="39" t="inlineStr">
        <is>
          <t>Parallel Execution</t>
        </is>
      </c>
      <c r="D15" s="39" t="inlineStr">
        <is>
          <t>How many concurrent builds do you need to support?</t>
        </is>
      </c>
      <c r="E15" s="39" t="inlineStr">
        <is>
          <t>Concurrency: 5 builds, 10 builds, 20 builds, 50+ builds</t>
        </is>
      </c>
      <c r="F15" s="40" t="n"/>
      <c r="G15" s="39" t="inlineStr">
        <is>
          <t>Runner pool sizing</t>
        </is>
      </c>
    </row>
    <row r="16">
      <c r="A16" s="41" t="inlineStr">
        <is>
          <t>TECH-015</t>
        </is>
      </c>
      <c r="B16" s="41" t="inlineStr">
        <is>
          <t>Technical Requirements</t>
        </is>
      </c>
      <c r="C16" s="41" t="inlineStr">
        <is>
          <t>Workflow Complexity</t>
        </is>
      </c>
      <c r="D16" s="41" t="inlineStr">
        <is>
          <t>What workflow features do you need?</t>
        </is>
      </c>
      <c r="E16" s="41" t="inlineStr">
        <is>
          <t>Features: Matrix builds, Reusable workflows, Composite actions, Workflow templates, Environment secrets</t>
        </is>
      </c>
      <c r="F16" s="40" t="n"/>
      <c r="G16" s="41" t="inlineStr">
        <is>
          <t>Advanced workflow requirements</t>
        </is>
      </c>
    </row>
    <row r="17">
      <c r="A17" s="39" t="inlineStr">
        <is>
          <t>TECH-016</t>
        </is>
      </c>
      <c r="B17" s="39" t="inlineStr">
        <is>
          <t>Technical Requirements</t>
        </is>
      </c>
      <c r="C17" s="39" t="inlineStr">
        <is>
          <t>Branch Strategy</t>
        </is>
      </c>
      <c r="D17" s="39" t="inlineStr">
        <is>
          <t>What branching strategy do you follow?</t>
        </is>
      </c>
      <c r="E17" s="39" t="inlineStr">
        <is>
          <t>Strategies: GitHub Flow, Git Flow, Trunk-based development, Release branches</t>
        </is>
      </c>
      <c r="F17" s="40" t="n"/>
      <c r="G17" s="39" t="inlineStr">
        <is>
          <t>Pipeline triggers and deployment gates</t>
        </is>
      </c>
    </row>
    <row r="18">
      <c r="A18" s="41" t="inlineStr">
        <is>
          <t>TECH-017</t>
        </is>
      </c>
      <c r="B18" s="41" t="inlineStr">
        <is>
          <t>Technical Requirements</t>
        </is>
      </c>
      <c r="C18" s="41" t="inlineStr">
        <is>
          <t>Environment Management</t>
        </is>
      </c>
      <c r="D18" s="41" t="inlineStr">
        <is>
          <t>How many deployment environments do you have?</t>
        </is>
      </c>
      <c r="E18" s="41" t="inlineStr">
        <is>
          <t>Environments: Dev, Test, Staging, UAT, Production, DR</t>
        </is>
      </c>
      <c r="F18" s="40" t="n"/>
      <c r="G18" s="41" t="inlineStr">
        <is>
          <t>Environment configuration and secrets</t>
        </is>
      </c>
    </row>
    <row r="19">
      <c r="A19" s="39" t="inlineStr">
        <is>
          <t>TECH-018</t>
        </is>
      </c>
      <c r="B19" s="39" t="inlineStr">
        <is>
          <t>Technical Requirements</t>
        </is>
      </c>
      <c r="C19" s="39" t="inlineStr">
        <is>
          <t>Secrets Management</t>
        </is>
      </c>
      <c r="D19" s="39" t="inlineStr">
        <is>
          <t>How do you manage secrets and credentials?</t>
        </is>
      </c>
      <c r="E19" s="39" t="inlineStr">
        <is>
          <t>Options: GitHub Secrets, HashiCorp Vault, AWS Secrets Manager, Azure Key Vault, Existing system</t>
        </is>
      </c>
      <c r="F19" s="40" t="n"/>
      <c r="G19" s="39" t="inlineStr">
        <is>
          <t>Secrets integration requirements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SEC-001</t>
        </is>
      </c>
      <c r="B2" s="41" t="inlineStr">
        <is>
          <t>Security &amp; Compliance</t>
        </is>
      </c>
      <c r="C2" s="41" t="inlineStr">
        <is>
          <t>Authentication</t>
        </is>
      </c>
      <c r="D2" s="41" t="inlineStr">
        <is>
          <t>What cloud authentication method do you prefer?</t>
        </is>
      </c>
      <c r="E2" s="41" t="inlineStr">
        <is>
          <t>Options: OIDC (OpenID Connect - keyless), Service principals, Access keys, IAM roles</t>
        </is>
      </c>
      <c r="F2" s="40" t="n"/>
      <c r="G2" s="41" t="inlineStr">
        <is>
          <t>Secure cloud access without static credentials</t>
        </is>
      </c>
    </row>
    <row r="3">
      <c r="A3" s="39" t="inlineStr">
        <is>
          <t>SEC-002</t>
        </is>
      </c>
      <c r="B3" s="39" t="inlineStr">
        <is>
          <t>Security &amp; Compliance</t>
        </is>
      </c>
      <c r="C3" s="39" t="inlineStr">
        <is>
          <t>OIDC Integration</t>
        </is>
      </c>
      <c r="D3" s="39" t="inlineStr">
        <is>
          <t>Do you need OIDC integration for AWS Azure or GCP?</t>
        </is>
      </c>
      <c r="E3" s="39" t="inlineStr">
        <is>
          <t>OIDC eliminates static credentials and provides federated access</t>
        </is>
      </c>
      <c r="F3" s="40" t="n"/>
      <c r="G3" s="39" t="inlineStr">
        <is>
          <t>Keyless authentication requirements</t>
        </is>
      </c>
    </row>
    <row r="4">
      <c r="A4" s="41" t="inlineStr">
        <is>
          <t>SEC-003</t>
        </is>
      </c>
      <c r="B4" s="41" t="inlineStr">
        <is>
          <t>Security &amp; Compliance</t>
        </is>
      </c>
      <c r="C4" s="41" t="inlineStr">
        <is>
          <t>Security Scanning</t>
        </is>
      </c>
      <c r="D4" s="41" t="inlineStr">
        <is>
          <t>What security scans should run in pipelines?</t>
        </is>
      </c>
      <c r="E4" s="41" t="inlineStr">
        <is>
          <t>Scans: SAST (CodeQL), SCA (Dependabot), Container scanning, IaC scanning (Terraform), Secret detection</t>
        </is>
      </c>
      <c r="F4" s="40" t="n"/>
      <c r="G4" s="41" t="inlineStr">
        <is>
          <t>Security automation in CI/CD</t>
        </is>
      </c>
    </row>
    <row r="5">
      <c r="A5" s="39" t="inlineStr">
        <is>
          <t>SEC-004</t>
        </is>
      </c>
      <c r="B5" s="39" t="inlineStr">
        <is>
          <t>Security &amp; Compliance</t>
        </is>
      </c>
      <c r="C5" s="39" t="inlineStr">
        <is>
          <t>Compliance Standards</t>
        </is>
      </c>
      <c r="D5" s="39" t="inlineStr">
        <is>
          <t>What compliance standards must your CI/CD meet?</t>
        </is>
      </c>
      <c r="E5" s="39" t="inlineStr">
        <is>
          <t>Standards: SOC 2, ISO 27001, HIPAA, PCI-DSS, FedRAMP, GDPR</t>
        </is>
      </c>
      <c r="F5" s="40" t="n"/>
      <c r="G5" s="39" t="inlineStr">
        <is>
          <t>Audit and compliance requirements</t>
        </is>
      </c>
    </row>
    <row r="6">
      <c r="A6" s="41" t="inlineStr">
        <is>
          <t>SEC-005</t>
        </is>
      </c>
      <c r="B6" s="41" t="inlineStr">
        <is>
          <t>Security &amp; Compliance</t>
        </is>
      </c>
      <c r="C6" s="41" t="inlineStr">
        <is>
          <t>Audit Logging</t>
        </is>
      </c>
      <c r="D6" s="41" t="inlineStr">
        <is>
          <t>What audit and logging requirements do you have?</t>
        </is>
      </c>
      <c r="E6" s="41" t="inlineStr">
        <is>
          <t>Requirements: Workflow logs, Deployment audit trail, Access logs, Approval records</t>
        </is>
      </c>
      <c r="F6" s="40" t="n"/>
      <c r="G6" s="41" t="inlineStr">
        <is>
          <t>Compliance and audit trail needs</t>
        </is>
      </c>
    </row>
    <row r="7">
      <c r="A7" s="39" t="inlineStr">
        <is>
          <t>SEC-006</t>
        </is>
      </c>
      <c r="B7" s="39" t="inlineStr">
        <is>
          <t>Security &amp; Compliance</t>
        </is>
      </c>
      <c r="C7" s="39" t="inlineStr">
        <is>
          <t>Access Control</t>
        </is>
      </c>
      <c r="D7" s="39" t="inlineStr">
        <is>
          <t>What access control do you need for deployments?</t>
        </is>
      </c>
      <c r="E7" s="39" t="inlineStr">
        <is>
          <t>Controls: Required reviewers, Environment protection rules, Branch protection, Approval gates</t>
        </is>
      </c>
      <c r="F7" s="40" t="n"/>
      <c r="G7" s="39" t="inlineStr">
        <is>
          <t>Deployment governance</t>
        </is>
      </c>
    </row>
    <row r="8">
      <c r="A8" s="41" t="inlineStr">
        <is>
          <t>SEC-007</t>
        </is>
      </c>
      <c r="B8" s="41" t="inlineStr">
        <is>
          <t>Security &amp; Compliance</t>
        </is>
      </c>
      <c r="C8" s="41" t="inlineStr">
        <is>
          <t>Network Security</t>
        </is>
      </c>
      <c r="D8" s="41" t="inlineStr">
        <is>
          <t>Do you require private networking for runners?</t>
        </is>
      </c>
      <c r="E8" s="41" t="inlineStr">
        <is>
          <t>Options: Public internet, VPC/VNet only, Private endpoints, IP allowlists</t>
        </is>
      </c>
      <c r="F8" s="40" t="n"/>
      <c r="G8" s="41" t="inlineStr">
        <is>
          <t>Network security for self-hosted runners</t>
        </is>
      </c>
    </row>
    <row r="9">
      <c r="A9" s="39" t="inlineStr">
        <is>
          <t>SEC-008</t>
        </is>
      </c>
      <c r="B9" s="39" t="inlineStr">
        <is>
          <t>Security &amp; Compliance</t>
        </is>
      </c>
      <c r="C9" s="39" t="inlineStr">
        <is>
          <t>Data Residency</t>
        </is>
      </c>
      <c r="D9" s="39" t="inlineStr">
        <is>
          <t>Do you have data residency requirements?</t>
        </is>
      </c>
      <c r="E9" s="39" t="inlineStr">
        <is>
          <t>Specify regions or countries for build data and artifacts</t>
        </is>
      </c>
      <c r="F9" s="40" t="n"/>
      <c r="G9" s="39" t="inlineStr">
        <is>
          <t>Geographic compliance requirements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OPS-001</t>
        </is>
      </c>
      <c r="B2" s="41" t="inlineStr">
        <is>
          <t>Operations &amp; Support</t>
        </is>
      </c>
      <c r="C2" s="41" t="inlineStr">
        <is>
          <t>Pipeline Performance</t>
        </is>
      </c>
      <c r="D2" s="41" t="inlineStr">
        <is>
          <t>What are your pipeline speed requirements?</t>
        </is>
      </c>
      <c r="E2" s="41" t="inlineStr">
        <is>
          <t>Target: Deploy in &lt;5 minutes, &lt;15 minutes, &lt;30 minutes, &lt;60 minutes</t>
        </is>
      </c>
      <c r="F2" s="40" t="n"/>
      <c r="G2" s="41" t="inlineStr">
        <is>
          <t>Performance and optimization goals</t>
        </is>
      </c>
    </row>
    <row r="3">
      <c r="A3" s="39" t="inlineStr">
        <is>
          <t>OPS-002</t>
        </is>
      </c>
      <c r="B3" s="39" t="inlineStr">
        <is>
          <t>Operations &amp; Support</t>
        </is>
      </c>
      <c r="C3" s="39" t="inlineStr">
        <is>
          <t>Deployment Gates</t>
        </is>
      </c>
      <c r="D3" s="39" t="inlineStr">
        <is>
          <t>What deployment approval process do you need?</t>
        </is>
      </c>
      <c r="E3" s="39" t="inlineStr">
        <is>
          <t>Options: Automatic to dev/test, Manual approval for production, Change advisory board, On-call approval</t>
        </is>
      </c>
      <c r="F3" s="40" t="n"/>
      <c r="G3" s="39" t="inlineStr">
        <is>
          <t>Deployment governance workflow</t>
        </is>
      </c>
    </row>
    <row r="4">
      <c r="A4" s="41" t="inlineStr">
        <is>
          <t>OPS-003</t>
        </is>
      </c>
      <c r="B4" s="41" t="inlineStr">
        <is>
          <t>Operations &amp; Support</t>
        </is>
      </c>
      <c r="C4" s="41" t="inlineStr">
        <is>
          <t>Rollback Strategy</t>
        </is>
      </c>
      <c r="D4" s="41" t="inlineStr">
        <is>
          <t>What is your rollback and disaster recovery strategy?</t>
        </is>
      </c>
      <c r="E4" s="41" t="inlineStr">
        <is>
          <t>Strategies: Blue-green deployment, Canary releases, Feature flags, Database rollback</t>
        </is>
      </c>
      <c r="F4" s="40" t="n"/>
      <c r="G4" s="41" t="inlineStr">
        <is>
          <t>Deployment safety mechanisms</t>
        </is>
      </c>
    </row>
    <row r="5">
      <c r="A5" s="39" t="inlineStr">
        <is>
          <t>OPS-004</t>
        </is>
      </c>
      <c r="B5" s="39" t="inlineStr">
        <is>
          <t>Operations &amp; Support</t>
        </is>
      </c>
      <c r="C5" s="39" t="inlineStr">
        <is>
          <t>Monitoring</t>
        </is>
      </c>
      <c r="D5" s="39" t="inlineStr">
        <is>
          <t>What monitoring and observability do you need?</t>
        </is>
      </c>
      <c r="E5" s="39" t="inlineStr">
        <is>
          <t>Requirements: Workflow metrics, Deployment status, Success/failure rates, Duration trends, Cost tracking</t>
        </is>
      </c>
      <c r="F5" s="40" t="n"/>
      <c r="G5" s="39" t="inlineStr">
        <is>
          <t>Operational visibility</t>
        </is>
      </c>
    </row>
    <row r="6">
      <c r="A6" s="41" t="inlineStr">
        <is>
          <t>OPS-005</t>
        </is>
      </c>
      <c r="B6" s="41" t="inlineStr">
        <is>
          <t>Operations &amp; Support</t>
        </is>
      </c>
      <c r="C6" s="41" t="inlineStr">
        <is>
          <t>Notifications</t>
        </is>
      </c>
      <c r="D6" s="41" t="inlineStr">
        <is>
          <t>What notifications do you need for pipeline events?</t>
        </is>
      </c>
      <c r="E6" s="41" t="inlineStr">
        <is>
          <t>Channels: Email, Slack, Microsoft Teams, PagerDuty, Custom webhooks</t>
        </is>
      </c>
      <c r="F6" s="40" t="n"/>
      <c r="G6" s="41" t="inlineStr">
        <is>
          <t>Alert and notification delivery</t>
        </is>
      </c>
    </row>
    <row r="7">
      <c r="A7" s="39" t="inlineStr">
        <is>
          <t>OPS-006</t>
        </is>
      </c>
      <c r="B7" s="39" t="inlineStr">
        <is>
          <t>Operations &amp; Support</t>
        </is>
      </c>
      <c r="C7" s="39" t="inlineStr">
        <is>
          <t>Availability</t>
        </is>
      </c>
      <c r="D7" s="39" t="inlineStr">
        <is>
          <t>What uptime requirements do you have for CI/CD?</t>
        </is>
      </c>
      <c r="E7" s="39" t="inlineStr">
        <is>
          <t>SLA: 99%, 99.5%, 99.9% for pipeline availability</t>
        </is>
      </c>
      <c r="F7" s="40" t="n"/>
      <c r="G7" s="39" t="inlineStr">
        <is>
          <t>High availability needs</t>
        </is>
      </c>
    </row>
    <row r="8">
      <c r="A8" s="41" t="inlineStr">
        <is>
          <t>OPS-007</t>
        </is>
      </c>
      <c r="B8" s="41" t="inlineStr">
        <is>
          <t>Operations &amp; Support</t>
        </is>
      </c>
      <c r="C8" s="41" t="inlineStr">
        <is>
          <t>Disaster Recovery</t>
        </is>
      </c>
      <c r="D8" s="41" t="inlineStr">
        <is>
          <t>What are your RTO and RPO for CI/CD?</t>
        </is>
      </c>
      <c r="E8" s="41" t="inlineStr">
        <is>
          <t>RTO: Maximum downtime, RPO: Maximum data loss for pipeline configurations</t>
        </is>
      </c>
      <c r="F8" s="40" t="n"/>
      <c r="G8" s="41" t="inlineStr">
        <is>
          <t>Business continuity planning</t>
        </is>
      </c>
    </row>
    <row r="9">
      <c r="A9" s="39" t="inlineStr">
        <is>
          <t>OPS-008</t>
        </is>
      </c>
      <c r="B9" s="39" t="inlineStr">
        <is>
          <t>Operations &amp; Support</t>
        </is>
      </c>
      <c r="C9" s="39" t="inlineStr">
        <is>
          <t>Support Coverage</t>
        </is>
      </c>
      <c r="D9" s="39" t="inlineStr">
        <is>
          <t>What support coverage do you require?</t>
        </is>
      </c>
      <c r="E9" s="39" t="inlineStr">
        <is>
          <t>Options: Business hours (8x5), Extended (24x5), Full (24x7)</t>
        </is>
      </c>
      <c r="F9" s="40" t="n"/>
      <c r="G9" s="39" t="inlineStr">
        <is>
          <t>Support staffing requirements</t>
        </is>
      </c>
    </row>
    <row r="10">
      <c r="A10" s="41" t="inlineStr">
        <is>
          <t>OPS-009</t>
        </is>
      </c>
      <c r="B10" s="41" t="inlineStr">
        <is>
          <t>Operations &amp; Support</t>
        </is>
      </c>
      <c r="C10" s="41" t="inlineStr">
        <is>
          <t>Runner Management</t>
        </is>
      </c>
      <c r="D10" s="41" t="inlineStr">
        <is>
          <t>Who will manage and maintain self-hosted runners?</t>
        </is>
      </c>
      <c r="E10" s="41" t="inlineStr">
        <is>
          <t>Teams: Platform team, DevOps team, Infrastructure team, Managed service</t>
        </is>
      </c>
      <c r="F10" s="40" t="n"/>
      <c r="G10" s="41" t="inlineStr">
        <is>
          <t>Operational ownership</t>
        </is>
      </c>
    </row>
    <row r="11">
      <c r="A11" s="39" t="inlineStr">
        <is>
          <t>OPS-010</t>
        </is>
      </c>
      <c r="B11" s="39" t="inlineStr">
        <is>
          <t>Operations &amp; Support</t>
        </is>
      </c>
      <c r="C11" s="39" t="inlineStr">
        <is>
          <t>Cost Optimization</t>
        </is>
      </c>
      <c r="D11" s="39" t="inlineStr">
        <is>
          <t>What cost optimization strategies do you want?</t>
        </is>
      </c>
      <c r="E11" s="39" t="inlineStr">
        <is>
          <t>Strategies: Caching, Artifact cleanup, Runner auto-scaling, Spot instances, Workflow optimization</t>
        </is>
      </c>
      <c r="F11" s="40" t="n"/>
      <c r="G11" s="39" t="inlineStr">
        <is>
          <t>Cost management approach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INT-001</t>
        </is>
      </c>
      <c r="B2" s="41" t="inlineStr">
        <is>
          <t>Integration Requirements</t>
        </is>
      </c>
      <c r="C2" s="41" t="inlineStr">
        <is>
          <t>Source Control</t>
        </is>
      </c>
      <c r="D2" s="41" t="inlineStr">
        <is>
          <t>Are all your repositories in GitHub?</t>
        </is>
      </c>
      <c r="E2" s="41" t="inlineStr">
        <is>
          <t>If no, list other SCM systems: GitLab, Bitbucket, Azure DevOps, Subversion</t>
        </is>
      </c>
      <c r="F2" s="40" t="n"/>
      <c r="G2" s="41" t="inlineStr">
        <is>
          <t>Multi-SCM integration needs</t>
        </is>
      </c>
    </row>
    <row r="3">
      <c r="A3" s="39" t="inlineStr">
        <is>
          <t>INT-002</t>
        </is>
      </c>
      <c r="B3" s="39" t="inlineStr">
        <is>
          <t>Integration Requirements</t>
        </is>
      </c>
      <c r="C3" s="39" t="inlineStr">
        <is>
          <t>Artifact Repositories</t>
        </is>
      </c>
      <c r="D3" s="39" t="inlineStr">
        <is>
          <t>What artifact repositories do you use?</t>
        </is>
      </c>
      <c r="E3" s="39" t="inlineStr">
        <is>
          <t>Repositories: GitHub Packages, Docker Hub, AWS ECR, Azure ACR, GCP GCR, JFrog Artifactory, Nexus</t>
        </is>
      </c>
      <c r="F3" s="40" t="n"/>
      <c r="G3" s="39" t="inlineStr">
        <is>
          <t>Artifact storage integration</t>
        </is>
      </c>
    </row>
    <row r="4">
      <c r="A4" s="41" t="inlineStr">
        <is>
          <t>INT-003</t>
        </is>
      </c>
      <c r="B4" s="41" t="inlineStr">
        <is>
          <t>Integration Requirements</t>
        </is>
      </c>
      <c r="C4" s="41" t="inlineStr">
        <is>
          <t>Container Registries</t>
        </is>
      </c>
      <c r="D4" s="41" t="inlineStr">
        <is>
          <t>What container registries do you use?</t>
        </is>
      </c>
      <c r="E4" s="41" t="inlineStr">
        <is>
          <t>Registries: GitHub Container Registry, Docker Hub, AWS ECR, Azure ACR, Google GCR, Harbor</t>
        </is>
      </c>
      <c r="F4" s="40" t="n"/>
      <c r="G4" s="41" t="inlineStr">
        <is>
          <t>Container image push/pull integration</t>
        </is>
      </c>
    </row>
    <row r="5">
      <c r="A5" s="39" t="inlineStr">
        <is>
          <t>INT-004</t>
        </is>
      </c>
      <c r="B5" s="39" t="inlineStr">
        <is>
          <t>Integration Requirements</t>
        </is>
      </c>
      <c r="C5" s="39" t="inlineStr">
        <is>
          <t>Cloud Providers</t>
        </is>
      </c>
      <c r="D5" s="39" t="inlineStr">
        <is>
          <t>What cloud platforms do you deploy to?</t>
        </is>
      </c>
      <c r="E5" s="39" t="inlineStr">
        <is>
          <t>Platforms: AWS, Azure, GCP, Oracle Cloud, IBM Cloud, On-premises</t>
        </is>
      </c>
      <c r="F5" s="40" t="n"/>
      <c r="G5" s="39" t="inlineStr">
        <is>
          <t>Multi-cloud deployment requirements</t>
        </is>
      </c>
    </row>
    <row r="6">
      <c r="A6" s="41" t="inlineStr">
        <is>
          <t>INT-005</t>
        </is>
      </c>
      <c r="B6" s="41" t="inlineStr">
        <is>
          <t>Integration Requirements</t>
        </is>
      </c>
      <c r="C6" s="41" t="inlineStr">
        <is>
          <t>Kubernetes</t>
        </is>
      </c>
      <c r="D6" s="41" t="inlineStr">
        <is>
          <t>Do you deploy to Kubernetes?</t>
        </is>
      </c>
      <c r="E6" s="41" t="inlineStr">
        <is>
          <t>Options: AWS EKS, Azure AKS, Google GKE, Self-managed, OpenShift, Rancher</t>
        </is>
      </c>
      <c r="F6" s="40" t="n"/>
      <c r="G6" s="41" t="inlineStr">
        <is>
          <t>K8s deployment integration</t>
        </is>
      </c>
    </row>
    <row r="7">
      <c r="A7" s="39" t="inlineStr">
        <is>
          <t>INT-006</t>
        </is>
      </c>
      <c r="B7" s="39" t="inlineStr">
        <is>
          <t>Integration Requirements</t>
        </is>
      </c>
      <c r="C7" s="39" t="inlineStr">
        <is>
          <t>Issue Tracking</t>
        </is>
      </c>
      <c r="D7" s="39" t="inlineStr">
        <is>
          <t>What issue/project tracking system do you use?</t>
        </is>
      </c>
      <c r="E7" s="39" t="inlineStr">
        <is>
          <t>Systems: GitHub Issues/Projects, JIRA, Azure Boards, ServiceNow, Linear</t>
        </is>
      </c>
      <c r="F7" s="40" t="n"/>
      <c r="G7" s="39" t="inlineStr">
        <is>
          <t>Work item integration</t>
        </is>
      </c>
    </row>
    <row r="8">
      <c r="A8" s="41" t="inlineStr">
        <is>
          <t>INT-007</t>
        </is>
      </c>
      <c r="B8" s="41" t="inlineStr">
        <is>
          <t>Integration Requirements</t>
        </is>
      </c>
      <c r="C8" s="41" t="inlineStr">
        <is>
          <t>Communication Tools</t>
        </is>
      </c>
      <c r="D8" s="41" t="inlineStr">
        <is>
          <t>What collaboration tools do you use?</t>
        </is>
      </c>
      <c r="E8" s="41" t="inlineStr">
        <is>
          <t>Tools: Slack, Microsoft Teams, Discord, Email, Custom webhooks</t>
        </is>
      </c>
      <c r="F8" s="40" t="n"/>
      <c r="G8" s="41" t="inlineStr">
        <is>
          <t>Notification integration</t>
        </is>
      </c>
    </row>
    <row r="9">
      <c r="A9" s="39" t="inlineStr">
        <is>
          <t>INT-008</t>
        </is>
      </c>
      <c r="B9" s="39" t="inlineStr">
        <is>
          <t>Integration Requirements</t>
        </is>
      </c>
      <c r="C9" s="39" t="inlineStr">
        <is>
          <t>Quality Tools</t>
        </is>
      </c>
      <c r="D9" s="39" t="inlineStr">
        <is>
          <t>What code quality and testing tools do you use?</t>
        </is>
      </c>
      <c r="E9" s="39" t="inlineStr">
        <is>
          <t>Tools: SonarQube, Coveralls, Codecov, JUnit, Selenium, Cypress, Postman</t>
        </is>
      </c>
      <c r="F9" s="40" t="n"/>
      <c r="G9" s="39" t="inlineStr">
        <is>
          <t>Quality gate integration</t>
        </is>
      </c>
    </row>
    <row r="10">
      <c r="A10" s="41" t="inlineStr">
        <is>
          <t>INT-009</t>
        </is>
      </c>
      <c r="B10" s="41" t="inlineStr">
        <is>
          <t>Integration Requirements</t>
        </is>
      </c>
      <c r="C10" s="41" t="inlineStr">
        <is>
          <t>APM Monitoring</t>
        </is>
      </c>
      <c r="D10" s="41" t="inlineStr">
        <is>
          <t>What APM and monitoring tools do you use?</t>
        </is>
      </c>
      <c r="E10" s="41" t="inlineStr">
        <is>
          <t>Tools: Datadog, New Relic, Dynatrace, Splunk, Azure Monitor, CloudWatch</t>
        </is>
      </c>
      <c r="F10" s="40" t="n"/>
      <c r="G10" s="41" t="inlineStr">
        <is>
          <t>Deployment and runtime monitoring</t>
        </is>
      </c>
    </row>
    <row r="11">
      <c r="A11" s="39" t="inlineStr">
        <is>
          <t>INT-010</t>
        </is>
      </c>
      <c r="B11" s="39" t="inlineStr">
        <is>
          <t>Integration Requirements</t>
        </is>
      </c>
      <c r="C11" s="39" t="inlineStr">
        <is>
          <t>IaC Tools</t>
        </is>
      </c>
      <c r="D11" s="39" t="inlineStr">
        <is>
          <t>What Infrastructure as Code tools do you use?</t>
        </is>
      </c>
      <c r="E11" s="39" t="inlineStr">
        <is>
          <t>Tools: Terraform, CloudFormation, ARM templates, Ansible, Pulumi, CDK</t>
        </is>
      </c>
      <c r="F11" s="40" t="n"/>
      <c r="G11" s="39" t="inlineStr">
        <is>
          <t>Infrastructure automation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IMPL-001</t>
        </is>
      </c>
      <c r="B2" s="41" t="inlineStr">
        <is>
          <t>Implementation Planning</t>
        </is>
      </c>
      <c r="C2" s="41" t="inlineStr">
        <is>
          <t>Current CI/CD</t>
        </is>
      </c>
      <c r="D2" s="41" t="inlineStr">
        <is>
          <t>What CI/CD platform are you migrating from?</t>
        </is>
      </c>
      <c r="E2" s="41" t="inlineStr">
        <is>
          <t>Platforms: Jenkins, GitLab CI, CircleCI, Azure Pipelines, Travis CI, Bamboo</t>
        </is>
      </c>
      <c r="F2" s="40" t="n"/>
      <c r="G2" s="41" t="inlineStr">
        <is>
          <t>Migration source and complexity</t>
        </is>
      </c>
    </row>
    <row r="3">
      <c r="A3" s="39" t="inlineStr">
        <is>
          <t>IMPL-002</t>
        </is>
      </c>
      <c r="B3" s="39" t="inlineStr">
        <is>
          <t>Implementation Planning</t>
        </is>
      </c>
      <c r="C3" s="39" t="inlineStr">
        <is>
          <t>Pipeline Count</t>
        </is>
      </c>
      <c r="D3" s="39" t="inlineStr">
        <is>
          <t>How many CI/CD pipelines need migration?</t>
        </is>
      </c>
      <c r="E3" s="39" t="inlineStr">
        <is>
          <t>Total pipelines and breakdown by complexity (simple, medium, complex)</t>
        </is>
      </c>
      <c r="F3" s="40" t="n"/>
      <c r="G3" s="39" t="inlineStr">
        <is>
          <t>Migration scope and effort</t>
        </is>
      </c>
    </row>
    <row r="4">
      <c r="A4" s="41" t="inlineStr">
        <is>
          <t>IMPL-003</t>
        </is>
      </c>
      <c r="B4" s="41" t="inlineStr">
        <is>
          <t>Implementation Planning</t>
        </is>
      </c>
      <c r="C4" s="41" t="inlineStr">
        <is>
          <t>Pipeline Complexity</t>
        </is>
      </c>
      <c r="D4" s="41" t="inlineStr">
        <is>
          <t>What is the complexity of your existing pipelines?</t>
        </is>
      </c>
      <c r="E4" s="41" t="inlineStr">
        <is>
          <t>Complexity: Simple (build-test-deploy), Medium (multi-stage), Complex (matrix builds, dependencies)</t>
        </is>
      </c>
      <c r="F4" s="40" t="n"/>
      <c r="G4" s="41" t="inlineStr">
        <is>
          <t>Migration difficulty assessment</t>
        </is>
      </c>
    </row>
    <row r="5">
      <c r="A5" s="39" t="inlineStr">
        <is>
          <t>IMPL-004</t>
        </is>
      </c>
      <c r="B5" s="39" t="inlineStr">
        <is>
          <t>Implementation Planning</t>
        </is>
      </c>
      <c r="C5" s="39" t="inlineStr">
        <is>
          <t>Custom Scripts</t>
        </is>
      </c>
      <c r="D5" s="39" t="inlineStr">
        <is>
          <t>Do you have custom scripts in existing pipelines?</t>
        </is>
      </c>
      <c r="E5" s="39" t="inlineStr">
        <is>
          <t>Types: Bash, PowerShell, Groovy, Python - require translation to GitHub Actions</t>
        </is>
      </c>
      <c r="F5" s="40" t="n"/>
      <c r="G5" s="39" t="inlineStr">
        <is>
          <t>Custom logic migration</t>
        </is>
      </c>
    </row>
    <row r="6">
      <c r="A6" s="41" t="inlineStr">
        <is>
          <t>IMPL-005</t>
        </is>
      </c>
      <c r="B6" s="41" t="inlineStr">
        <is>
          <t>Implementation Planning</t>
        </is>
      </c>
      <c r="C6" s="41" t="inlineStr">
        <is>
          <t>Plugins/Extensions</t>
        </is>
      </c>
      <c r="D6" s="41" t="inlineStr">
        <is>
          <t>What CI/CD plugins or extensions do you use?</t>
        </is>
      </c>
      <c r="E6" s="41" t="inlineStr">
        <is>
          <t>List plugins and their purpose - find GitHub Actions equivalents</t>
        </is>
      </c>
      <c r="F6" s="40" t="n"/>
      <c r="G6" s="41" t="inlineStr">
        <is>
          <t>Plugin to action mapping</t>
        </is>
      </c>
    </row>
    <row r="7">
      <c r="A7" s="39" t="inlineStr">
        <is>
          <t>IMPL-006</t>
        </is>
      </c>
      <c r="B7" s="39" t="inlineStr">
        <is>
          <t>Implementation Planning</t>
        </is>
      </c>
      <c r="C7" s="39" t="inlineStr">
        <is>
          <t>Migration Strategy</t>
        </is>
      </c>
      <c r="D7" s="39" t="inlineStr">
        <is>
          <t>What is your preferred migration approach?</t>
        </is>
      </c>
      <c r="E7" s="39" t="inlineStr">
        <is>
          <t>Strategies: Big bang cutover, Phased by team, Parallel operation, Pilot then expand</t>
        </is>
      </c>
      <c r="F7" s="40" t="n"/>
      <c r="G7" s="39" t="inlineStr">
        <is>
          <t>Migration execution plan</t>
        </is>
      </c>
    </row>
    <row r="8">
      <c r="A8" s="41" t="inlineStr">
        <is>
          <t>IMPL-007</t>
        </is>
      </c>
      <c r="B8" s="41" t="inlineStr">
        <is>
          <t>Implementation Planning</t>
        </is>
      </c>
      <c r="C8" s="41" t="inlineStr">
        <is>
          <t>Rollback Plan</t>
        </is>
      </c>
      <c r="D8" s="41" t="inlineStr">
        <is>
          <t>What is your rollback strategy if migration issues occur?</t>
        </is>
      </c>
      <c r="E8" s="41" t="inlineStr">
        <is>
          <t>Options: Keep old CI/CD running in parallel, Documented rollback procedure, Gradual cutover</t>
        </is>
      </c>
      <c r="F8" s="40" t="n"/>
      <c r="G8" s="41" t="inlineStr">
        <is>
          <t>Risk mitigation planning</t>
        </is>
      </c>
    </row>
    <row r="9">
      <c r="A9" s="39" t="inlineStr">
        <is>
          <t>IMPL-0001</t>
        </is>
      </c>
      <c r="B9" s="39" t="inlineStr">
        <is>
          <t>Implementation Planning</t>
        </is>
      </c>
      <c r="C9" s="39" t="inlineStr">
        <is>
          <t>DevOps Engineer Training</t>
        </is>
      </c>
      <c r="D9" s="39" t="inlineStr">
        <is>
          <t>Who will build and maintain GitHub Actions workflows?</t>
        </is>
      </c>
      <c r="E9" s="39" t="inlineStr">
        <is>
          <t>Identify DevOps/Platform engineers requiring advanced training</t>
        </is>
      </c>
      <c r="F9" s="40" t="n"/>
      <c r="G9" s="39" t="inlineStr">
        <is>
          <t>Technical training needs</t>
        </is>
      </c>
    </row>
    <row r="10">
      <c r="A10" s="41" t="inlineStr">
        <is>
          <t>IMPL-0002</t>
        </is>
      </c>
      <c r="B10" s="41" t="inlineStr">
        <is>
          <t>Implementation Planning</t>
        </is>
      </c>
      <c r="C10" s="41" t="inlineStr">
        <is>
          <t>Developer Training</t>
        </is>
      </c>
      <c r="D10" s="41" t="inlineStr">
        <is>
          <t>Do developers need training on GitHub Actions?</t>
        </is>
      </c>
      <c r="E10" s="41" t="inlineStr">
        <is>
          <t>Topics: Workflow syntax, Triggering workflows, Reading logs, Basic troubleshooting</t>
        </is>
      </c>
      <c r="F10" s="40" t="n"/>
      <c r="G10" s="41" t="inlineStr">
        <is>
          <t>Developer enablement</t>
        </is>
      </c>
    </row>
    <row r="11">
      <c r="A11" s="39" t="inlineStr">
        <is>
          <t>IMPL-0003</t>
        </is>
      </c>
      <c r="B11" s="39" t="inlineStr">
        <is>
          <t>Implementation Planning</t>
        </is>
      </c>
      <c r="C11" s="39" t="inlineStr">
        <is>
          <t>Training Format</t>
        </is>
      </c>
      <c r="D11" s="39" t="inlineStr">
        <is>
          <t>What training format do you prefer?</t>
        </is>
      </c>
      <c r="E11" s="39" t="inlineStr">
        <is>
          <t>Formats: Instructor-led workshops, Self-paced online, Documentation, Lunch-and-learns, Hands-on labs</t>
        </is>
      </c>
      <c r="F11" s="40" t="n"/>
      <c r="G11" s="39" t="inlineStr">
        <is>
          <t>Training delivery approach</t>
        </is>
      </c>
    </row>
    <row r="12">
      <c r="A12" s="41" t="inlineStr">
        <is>
          <t>IMPL-0004</t>
        </is>
      </c>
      <c r="B12" s="41" t="inlineStr">
        <is>
          <t>Implementation Planning</t>
        </is>
      </c>
      <c r="C12" s="41" t="inlineStr">
        <is>
          <t>Training Timeline</t>
        </is>
      </c>
      <c r="D12" s="41" t="inlineStr">
        <is>
          <t>When should training occur?</t>
        </is>
      </c>
      <c r="E12" s="41" t="inlineStr">
        <is>
          <t>Timing: Before migration, During pilot, After go-live, Ongoing enablement</t>
        </is>
      </c>
      <c r="F12" s="40" t="n"/>
      <c r="G12" s="41" t="inlineStr">
        <is>
          <t>Training schedule coordination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2025-11-22T21:31:39Z</dcterms:modified>
  <cp:lastModifiedBy>Kishan Siram</cp:lastModifiedBy>
</cp:coreProperties>
</file>