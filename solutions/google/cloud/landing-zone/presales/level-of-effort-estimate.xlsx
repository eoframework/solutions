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Assumptions'!$A$2:$G$18</definedName>
    <definedName name="_xlnm._FilterDatabase" localSheetId="2" hidden="1">'Estimate Settings'!$A$2:$D$11</definedName>
    <definedName name="_xlnm._FilterDatabase" localSheetId="3" hidden="1">'LOE'!$A$2:$K$34</definedName>
    <definedName name="_xlnm._FilterDatabase" localSheetId="4" hidden="1">'Credits'!$A$2:$D$6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3" fontId="18" fillId="4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center" vertical="center" wrapText="1"/>
    </xf>
    <xf numFmtId="0" fontId="18" fillId="4" borderId="5" applyAlignment="1" pivotButton="0" quotePrefix="0" xfId="0">
      <alignment horizontal="right" vertical="center" wrapTex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3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center" vertical="center" wrapText="1"/>
    </xf>
    <xf numFmtId="0" fontId="18" fillId="11" borderId="5" applyAlignment="1" pivotButton="0" quotePrefix="0" xfId="0">
      <alignment horizontal="right" vertical="center" wrapText="1"/>
    </xf>
    <xf numFmtId="166" fontId="18" fillId="11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GOOGLE - Cloud - Landing Zone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</row>
    <row r="3" ht="26" customHeight="1">
      <c r="A3" s="37" t="inlineStr">
        <is>
          <t>Solution Scope</t>
        </is>
      </c>
      <c r="B3" s="38" t="inlineStr">
        <is>
          <t>Number of GCP Projects</t>
        </is>
      </c>
      <c r="C3" s="39" t="inlineStr">
        <is>
          <t>10 projects managed</t>
        </is>
      </c>
      <c r="D3" s="38" t="inlineStr">
        <is>
          <t>10 projects</t>
        </is>
      </c>
      <c r="E3" s="38" t="inlineStr">
        <is>
          <t>30 projects</t>
        </is>
      </c>
      <c r="F3" s="38" t="inlineStr">
        <is>
          <t>75+ projects</t>
        </is>
      </c>
      <c r="G3" s="38" t="inlineStr">
        <is>
          <t>Projects within landing zone organization</t>
        </is>
      </c>
    </row>
    <row r="4" ht="26" customHeight="1">
      <c r="A4" s="40" t="inlineStr">
        <is>
          <t>Solution Scope</t>
        </is>
      </c>
      <c r="B4" s="41" t="inlineStr">
        <is>
          <t>Team Count</t>
        </is>
      </c>
      <c r="C4" s="39" t="inlineStr">
        <is>
          <t>5 application teams</t>
        </is>
      </c>
      <c r="D4" s="41" t="inlineStr">
        <is>
          <t>3-5 teams</t>
        </is>
      </c>
      <c r="E4" s="41" t="inlineStr">
        <is>
          <t>6-15 teams</t>
        </is>
      </c>
      <c r="F4" s="41" t="inlineStr">
        <is>
          <t>20+ teams</t>
        </is>
      </c>
      <c r="G4" s="41" t="inlineStr">
        <is>
          <t>Teams using the platform</t>
        </is>
      </c>
    </row>
    <row r="5" ht="26" customHeight="1">
      <c r="A5" s="37" t="inlineStr">
        <is>
          <t>Integration</t>
        </is>
      </c>
      <c r="B5" s="38" t="inlineStr">
        <is>
          <t>Hybrid Connectivity</t>
        </is>
      </c>
      <c r="C5" s="39" t="inlineStr">
        <is>
          <t>Dedicated Interconnect 10 Gbps</t>
        </is>
      </c>
      <c r="D5" s="38" t="inlineStr">
        <is>
          <t>Cloud VPN 1 Gbps</t>
        </is>
      </c>
      <c r="E5" s="38" t="inlineStr">
        <is>
          <t>Interconnect 10 Gbps</t>
        </is>
      </c>
      <c r="F5" s="38" t="inlineStr">
        <is>
          <t>Interconnect 100 Gbps</t>
        </is>
      </c>
      <c r="G5" s="38" t="inlineStr">
        <is>
          <t>On-premises connectivity bandwidth</t>
        </is>
      </c>
    </row>
    <row r="6" ht="26" customHeight="1">
      <c r="A6" s="40" t="inlineStr">
        <is>
          <t>Integration</t>
        </is>
      </c>
      <c r="B6" s="41" t="inlineStr">
        <is>
          <t>Network Architecture</t>
        </is>
      </c>
      <c r="C6" s="39" t="inlineStr">
        <is>
          <t>Shared VPC hub-spoke</t>
        </is>
      </c>
      <c r="D6" s="41" t="inlineStr">
        <is>
          <t>Single hub-spoke</t>
        </is>
      </c>
      <c r="E6" s="41" t="inlineStr">
        <is>
          <t>Multi-hub regional</t>
        </is>
      </c>
      <c r="F6" s="41" t="inlineStr">
        <is>
          <t>Global multi-region</t>
        </is>
      </c>
      <c r="G6" s="41" t="inlineStr">
        <is>
          <t>Network complexity and scale</t>
        </is>
      </c>
    </row>
    <row r="7" ht="26" customHeight="1">
      <c r="A7" s="37" t="inlineStr">
        <is>
          <t>User Base</t>
        </is>
      </c>
      <c r="B7" s="38" t="inlineStr">
        <is>
          <t>Platform Admins</t>
        </is>
      </c>
      <c r="C7" s="39" t="inlineStr">
        <is>
          <t>8 administrators</t>
        </is>
      </c>
      <c r="D7" s="38" t="inlineStr">
        <is>
          <t>5-8 admins</t>
        </is>
      </c>
      <c r="E7" s="38" t="inlineStr">
        <is>
          <t>10-15 admins</t>
        </is>
      </c>
      <c r="F7" s="38" t="inlineStr">
        <is>
          <t>20+ admins</t>
        </is>
      </c>
      <c r="G7" s="38" t="inlineStr">
        <is>
          <t>Cloud platform operations team</t>
        </is>
      </c>
    </row>
    <row r="8" ht="26" customHeight="1">
      <c r="A8" s="40" t="inlineStr">
        <is>
          <t>User Base</t>
        </is>
      </c>
      <c r="B8" s="41" t="inlineStr">
        <is>
          <t>Folder Structure</t>
        </is>
      </c>
      <c r="C8" s="39" t="inlineStr">
        <is>
          <t>By environment (dev/staging/prod)</t>
        </is>
      </c>
      <c r="D8" s="41" t="inlineStr">
        <is>
          <t>Simple structure</t>
        </is>
      </c>
      <c r="E8" s="41" t="inlineStr">
        <is>
          <t>Multi-level hierarchy</t>
        </is>
      </c>
      <c r="F8" s="41" t="inlineStr">
        <is>
          <t>Complex matrix structure</t>
        </is>
      </c>
      <c r="G8" s="41" t="inlineStr">
        <is>
          <t>Organization folder design</t>
        </is>
      </c>
    </row>
    <row r="9" ht="26" customHeight="1">
      <c r="A9" s="37" t="inlineStr">
        <is>
          <t>Data Volume</t>
        </is>
      </c>
      <c r="B9" s="38" t="inlineStr">
        <is>
          <t>Logging Volume</t>
        </is>
      </c>
      <c r="C9" s="39" t="inlineStr">
        <is>
          <t>500 GB/month centralized</t>
        </is>
      </c>
      <c r="D9" s="38" t="inlineStr">
        <is>
          <t>500 GB/month</t>
        </is>
      </c>
      <c r="E9" s="38" t="inlineStr">
        <is>
          <t>2 TB/month</t>
        </is>
      </c>
      <c r="F9" s="38" t="inlineStr">
        <is>
          <t>10+ TB/month</t>
        </is>
      </c>
      <c r="G9" s="38" t="inlineStr">
        <is>
          <t>Cloud Logging ingestion volume</t>
        </is>
      </c>
    </row>
    <row r="10" ht="26" customHeight="1">
      <c r="A10" s="40" t="inlineStr">
        <is>
          <t>Data Volume</t>
        </is>
      </c>
      <c r="B10" s="41" t="inlineStr">
        <is>
          <t>Project Provisioning</t>
        </is>
      </c>
      <c r="C10" s="39" t="inlineStr">
        <is>
          <t>Manual with Terraform modules</t>
        </is>
      </c>
      <c r="D10" s="41" t="inlineStr">
        <is>
          <t>Manual provisioning</t>
        </is>
      </c>
      <c r="E10" s="41" t="inlineStr">
        <is>
          <t>Self-service with approval</t>
        </is>
      </c>
      <c r="F10" s="41" t="inlineStr">
        <is>
          <t>Fully automated platform</t>
        </is>
      </c>
      <c r="G10" s="41" t="inlineStr">
        <is>
          <t>Project creation approach</t>
        </is>
      </c>
    </row>
    <row r="11" ht="26" customHeight="1">
      <c r="A11" s="37" t="inlineStr">
        <is>
          <t>Technical Environment</t>
        </is>
      </c>
      <c r="B11" s="38" t="inlineStr">
        <is>
          <t>Deployment Regions</t>
        </is>
      </c>
      <c r="C11" s="39" t="inlineStr">
        <is>
          <t>3 GCP regions (multi-regional)</t>
        </is>
      </c>
      <c r="D11" s="38" t="inlineStr">
        <is>
          <t>Single region</t>
        </is>
      </c>
      <c r="E11" s="38" t="inlineStr">
        <is>
          <t>2-3 regions</t>
        </is>
      </c>
      <c r="F11" s="38" t="inlineStr">
        <is>
          <t>Global multi-region</t>
        </is>
      </c>
      <c r="G11" s="38" t="inlineStr">
        <is>
          <t>Geographic distribution</t>
        </is>
      </c>
    </row>
    <row r="12" ht="26" customHeight="1">
      <c r="A12" s="40" t="inlineStr">
        <is>
          <t>Technical Environment</t>
        </is>
      </c>
      <c r="B12" s="41" t="inlineStr">
        <is>
          <t>Availability Requirements</t>
        </is>
      </c>
      <c r="C12" s="39" t="inlineStr">
        <is>
          <t>Standard (99.9%)</t>
        </is>
      </c>
      <c r="D12" s="41" t="inlineStr">
        <is>
          <t>Standard (99.9%)</t>
        </is>
      </c>
      <c r="E12" s="41" t="inlineStr">
        <is>
          <t>High availability (99.95%)</t>
        </is>
      </c>
      <c r="F12" s="41" t="inlineStr">
        <is>
          <t>Mission critical (99.99%+)</t>
        </is>
      </c>
      <c r="G12" s="41" t="inlineStr">
        <is>
          <t>Platform SLA requirements</t>
        </is>
      </c>
    </row>
    <row r="13" ht="26" customHeight="1">
      <c r="A13" s="37" t="inlineStr">
        <is>
          <t>Technical Environment</t>
        </is>
      </c>
      <c r="B13" s="38" t="inlineStr">
        <is>
          <t>Infrastructure Complexity</t>
        </is>
      </c>
      <c r="C13" s="39" t="inlineStr">
        <is>
          <t>Hub-spoke VPC with Interconnect</t>
        </is>
      </c>
      <c r="D13" s="38" t="inlineStr">
        <is>
          <t>Basic networking</t>
        </is>
      </c>
      <c r="E13" s="38" t="inlineStr">
        <is>
          <t>Standard hub-spoke</t>
        </is>
      </c>
      <c r="F13" s="38" t="inlineStr">
        <is>
          <t>Complex multi-cloud hybrid</t>
        </is>
      </c>
      <c r="G13" s="38" t="inlineStr">
        <is>
          <t>GCP landing zone architecture</t>
        </is>
      </c>
    </row>
    <row r="14" ht="26" customHeight="1">
      <c r="A14" s="40" t="inlineStr">
        <is>
          <t>Security &amp; Compliance</t>
        </is>
      </c>
      <c r="B14" s="41" t="inlineStr">
        <is>
          <t>Security Requirements</t>
        </is>
      </c>
      <c r="C14" s="39" t="inlineStr">
        <is>
          <t>SCC Premium Chronicle SIEM</t>
        </is>
      </c>
      <c r="D14" s="41" t="inlineStr">
        <is>
          <t>Basic security</t>
        </is>
      </c>
      <c r="E14" s="41" t="inlineStr">
        <is>
          <t>Industry standard (SOC2)</t>
        </is>
      </c>
      <c r="F14" s="41" t="inlineStr">
        <is>
          <t>Advanced (FedRAMP multi-jurisdiction)</t>
        </is>
      </c>
      <c r="G14" s="41" t="inlineStr">
        <is>
          <t>Security monitoring and controls</t>
        </is>
      </c>
    </row>
    <row r="15" ht="26" customHeight="1">
      <c r="A15" s="37" t="inlineStr">
        <is>
          <t>Security &amp; Compliance</t>
        </is>
      </c>
      <c r="B15" s="38" t="inlineStr">
        <is>
          <t>Compliance Frameworks</t>
        </is>
      </c>
      <c r="C15" s="39" t="inlineStr">
        <is>
          <t>SOC 2 PCI-DSS</t>
        </is>
      </c>
      <c r="D15" s="38" t="inlineStr">
        <is>
          <t>1-2 basic standards</t>
        </is>
      </c>
      <c r="E15" s="38" t="inlineStr">
        <is>
          <t>2-3 industry standards</t>
        </is>
      </c>
      <c r="F15" s="38" t="inlineStr">
        <is>
          <t>Multiple complex frameworks</t>
        </is>
      </c>
      <c r="G15" s="38" t="inlineStr">
        <is>
          <t>Regulatory compliance requirements</t>
        </is>
      </c>
    </row>
    <row r="16" ht="26" customHeight="1">
      <c r="A16" s="40" t="inlineStr">
        <is>
          <t>Performance</t>
        </is>
      </c>
      <c r="B16" s="41" t="inlineStr">
        <is>
          <t>Project Provisioning Time</t>
        </is>
      </c>
      <c r="C16" s="39" t="inlineStr">
        <is>
          <t>1 hour with automation</t>
        </is>
      </c>
      <c r="D16" s="41" t="inlineStr">
        <is>
          <t>Manual (days)</t>
        </is>
      </c>
      <c r="E16" s="41" t="inlineStr">
        <is>
          <t>Automated (hours)</t>
        </is>
      </c>
      <c r="F16" s="41" t="inlineStr">
        <is>
          <t>Self-service (minutes)</t>
        </is>
      </c>
      <c r="G16" s="41" t="inlineStr">
        <is>
          <t>Project deployment speed</t>
        </is>
      </c>
    </row>
    <row r="17" ht="26" customHeight="1">
      <c r="A17" s="37" t="inlineStr">
        <is>
          <t>Performance</t>
        </is>
      </c>
      <c r="B17" s="38" t="inlineStr">
        <is>
          <t>Security Baseline</t>
        </is>
      </c>
      <c r="C17" s="39" t="inlineStr">
        <is>
          <t>Cloud Foundation Toolkit</t>
        </is>
      </c>
      <c r="D17" s="38" t="inlineStr">
        <is>
          <t>Basic baseline</t>
        </is>
      </c>
      <c r="E17" s="38" t="inlineStr">
        <is>
          <t>Standard baseline</t>
        </is>
      </c>
      <c r="F17" s="38" t="inlineStr">
        <is>
          <t>Advanced custom baseline</t>
        </is>
      </c>
      <c r="G17" s="38" t="inlineStr">
        <is>
          <t>Security control enforcement</t>
        </is>
      </c>
    </row>
    <row r="18" ht="26" customHeight="1">
      <c r="A18" s="40" t="inlineStr">
        <is>
          <t>Environment</t>
        </is>
      </c>
      <c r="B18" s="41" t="inlineStr">
        <is>
          <t>Shared Services</t>
        </is>
      </c>
      <c r="C18" s="39" t="inlineStr">
        <is>
          <t>Logging Monitoring Security VPN</t>
        </is>
      </c>
      <c r="D18" s="41" t="inlineStr">
        <is>
          <t>Basic services</t>
        </is>
      </c>
      <c r="E18" s="41" t="inlineStr">
        <is>
          <t>Standard services</t>
        </is>
      </c>
      <c r="F18" s="41" t="inlineStr">
        <is>
          <t>Comprehensive platform</t>
        </is>
      </c>
      <c r="G18" s="41" t="inlineStr">
        <is>
          <t>Centralized service offerings</t>
        </is>
      </c>
    </row>
  </sheetData>
  <autoFilter ref="A2:G18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(Requirements Gathering, Environment Assessment, GCP Services Assessment, Compliance Review)</t>
        </is>
      </c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(Landing Zone Design, Identity and Access Design, Network Architecture Design, Project Planning)</t>
        </is>
      </c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(Organization Setup, Cloud Foundation Toolkit, Network Infrastructure, Security Baseline, Monitoring Setup)</t>
        </is>
      </c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(Infrastructure Testing, Policy Testing, Security Testing, Automation Testing)</t>
        </is>
      </c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(Foundation Deployment, Team Onboarding, Go-Live Support)</t>
        </is>
      </c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(Administrator Training, Platform User Training, Documentation)</t>
        </is>
      </c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FinOps Setup)</t>
        </is>
      </c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1</v>
      </c>
      <c r="D10" s="41" t="inlineStr">
        <is>
          <t>Project Management overhead - 20% of actual engineering hours</t>
        </is>
      </c>
    </row>
    <row r="11" ht="26" customHeight="1">
      <c r="A11" s="37" t="inlineStr">
        <is>
          <t>Leadership</t>
        </is>
      </c>
      <c r="B11" s="38" t="inlineStr">
        <is>
          <t>LEADERSHIP_MX</t>
        </is>
      </c>
      <c r="C11" s="42" t="n">
        <v>1</v>
      </c>
      <c r="D11" s="38" t="inlineStr">
        <is>
          <t>Quarterback/Technical Leadership overhead - 25% of actual engineering hours</t>
        </is>
      </c>
    </row>
    <row r="13" ht="20" customHeight="1">
      <c r="A13" s="44" t="inlineStr">
        <is>
          <t>EO Sales Engineer Updates Multipliers Based on Customer Scope</t>
        </is>
      </c>
    </row>
  </sheetData>
  <autoFilter ref="A2:D11"/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58" customWidth="1" min="3" max="3"/>
    <col width="18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Base Hours</t>
        </is>
      </c>
      <c r="F2" s="36" t="inlineStr">
        <is>
          <t>Effort Multiplier</t>
        </is>
      </c>
      <c r="G2" s="36" t="inlineStr">
        <is>
          <t>Actual Hours</t>
        </is>
      </c>
      <c r="H2" s="36" t="inlineStr">
        <is>
          <t>Rate</t>
        </is>
      </c>
      <c r="I2" s="36" t="inlineStr">
        <is>
          <t>Cost Estimate</t>
        </is>
      </c>
      <c r="J2" s="36" t="inlineStr">
        <is>
          <t>Dependencies</t>
        </is>
      </c>
      <c r="K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Requirements Gathering</t>
        </is>
      </c>
      <c r="C3" s="46" t="inlineStr">
        <is>
          <t>Conduct stakeholder interviews for GCP landing zone requirements</t>
        </is>
      </c>
      <c r="D3" s="46" t="inlineStr">
        <is>
          <t>EO Engineer</t>
        </is>
      </c>
      <c r="E3" s="47" t="n">
        <v>40</v>
      </c>
      <c r="F3" s="48">
        <f>'Estimate Settings'!$C$3</f>
        <v/>
      </c>
      <c r="G3" s="49">
        <f>$E3*$F3</f>
        <v/>
      </c>
      <c r="H3" s="50" t="n">
        <v>200</v>
      </c>
      <c r="I3" s="49">
        <f>TEXT($G3*$H3,"$#,##0")</f>
        <v/>
      </c>
      <c r="J3" s="46" t="inlineStr"/>
      <c r="K3" s="46" t="inlineStr">
        <is>
          <t>Includes organization structure governance and team requirements</t>
        </is>
      </c>
    </row>
    <row r="4" ht="26" customHeight="1">
      <c r="A4" s="51" t="inlineStr">
        <is>
          <t>Discovery</t>
        </is>
      </c>
      <c r="B4" s="52" t="inlineStr">
        <is>
          <t>Environment Assessment</t>
        </is>
      </c>
      <c r="C4" s="52" t="inlineStr">
        <is>
          <t>Analyze existing GCP setup and on-premises infrastructure</t>
        </is>
      </c>
      <c r="D4" s="52" t="inlineStr">
        <is>
          <t>EO Engineer</t>
        </is>
      </c>
      <c r="E4" s="53" t="n">
        <v>32</v>
      </c>
      <c r="F4" s="54">
        <f>'Estimate Settings'!$C$3</f>
        <v/>
      </c>
      <c r="G4" s="55">
        <f>$E4*$F4</f>
        <v/>
      </c>
      <c r="H4" s="56" t="n">
        <v>200</v>
      </c>
      <c r="I4" s="55">
        <f>TEXT($G4*$H4,"$#,##0")</f>
        <v/>
      </c>
      <c r="J4" s="52" t="inlineStr"/>
      <c r="K4" s="52" t="inlineStr">
        <is>
          <t>Customer must provide GCP Organization ID and current project inventory</t>
        </is>
      </c>
    </row>
    <row r="5" ht="26" customHeight="1">
      <c r="A5" s="45" t="inlineStr">
        <is>
          <t>Discovery</t>
        </is>
      </c>
      <c r="B5" s="46" t="inlineStr">
        <is>
          <t>GCP Services Assessment</t>
        </is>
      </c>
      <c r="C5" s="46" t="inlineStr">
        <is>
          <t>Evaluate GCP services networking and landing zone requirements</t>
        </is>
      </c>
      <c r="D5" s="46" t="inlineStr">
        <is>
          <t>EO Engineer</t>
        </is>
      </c>
      <c r="E5" s="47" t="n">
        <v>24</v>
      </c>
      <c r="F5" s="48">
        <f>'Estimate Settings'!$C$3</f>
        <v/>
      </c>
      <c r="G5" s="49">
        <f>$E5*$F5</f>
        <v/>
      </c>
      <c r="H5" s="50" t="n">
        <v>200</v>
      </c>
      <c r="I5" s="49">
        <f>TEXT($G5*$H5,"$#,##0")</f>
        <v/>
      </c>
      <c r="J5" s="46" t="inlineStr"/>
      <c r="K5" s="46" t="inlineStr">
        <is>
          <t>Customer must provide service enablement requirements and quotas</t>
        </is>
      </c>
    </row>
    <row r="6" ht="26" customHeight="1">
      <c r="A6" s="51" t="inlineStr">
        <is>
          <t>Discovery</t>
        </is>
      </c>
      <c r="B6" s="52" t="inlineStr">
        <is>
          <t>Compliance Review</t>
        </is>
      </c>
      <c r="C6" s="52" t="inlineStr">
        <is>
          <t>Assess governance security and regulatory requirements</t>
        </is>
      </c>
      <c r="D6" s="52" t="inlineStr">
        <is>
          <t>EO Engineer</t>
        </is>
      </c>
      <c r="E6" s="53" t="n">
        <v>16</v>
      </c>
      <c r="F6" s="54">
        <f>'Estimate Settings'!$C$3</f>
        <v/>
      </c>
      <c r="G6" s="55">
        <f>$E6*$F6</f>
        <v/>
      </c>
      <c r="H6" s="56" t="n">
        <v>175</v>
      </c>
      <c r="I6" s="55">
        <f>TEXT($G6*$H6,"$#,##0")</f>
        <v/>
      </c>
      <c r="J6" s="52" t="inlineStr"/>
      <c r="K6" s="52" t="inlineStr">
        <is>
          <t>Identifies compliance standards and organization policy constraints</t>
        </is>
      </c>
    </row>
    <row r="7" ht="26" customHeight="1">
      <c r="A7" s="45" t="inlineStr">
        <is>
          <t>Planning</t>
        </is>
      </c>
      <c r="B7" s="46" t="inlineStr">
        <is>
          <t>Landing Zone Design</t>
        </is>
      </c>
      <c r="C7" s="46" t="inlineStr">
        <is>
          <t>Design GCP landing zone architecture with Cloud Foundation Toolkit</t>
        </is>
      </c>
      <c r="D7" s="46" t="inlineStr">
        <is>
          <t>EO Engineer</t>
        </is>
      </c>
      <c r="E7" s="47" t="n">
        <v>48</v>
      </c>
      <c r="F7" s="48">
        <f>'Estimate Settings'!$C$4</f>
        <v/>
      </c>
      <c r="G7" s="49">
        <f>$E7*$F7</f>
        <v/>
      </c>
      <c r="H7" s="50" t="n">
        <v>200</v>
      </c>
      <c r="I7" s="49">
        <f>TEXT($G7*$H7,"$#,##0")</f>
        <v/>
      </c>
      <c r="J7" s="46" t="inlineStr">
        <is>
          <t>Requirements Gathering</t>
        </is>
      </c>
      <c r="K7" s="46" t="inlineStr">
        <is>
          <t>Deliverable: Organization hierarchy folder structure and Terraform modules</t>
        </is>
      </c>
    </row>
    <row r="8" ht="26" customHeight="1">
      <c r="A8" s="51" t="inlineStr">
        <is>
          <t>Planning</t>
        </is>
      </c>
      <c r="B8" s="52" t="inlineStr">
        <is>
          <t>Identity and Access Design</t>
        </is>
      </c>
      <c r="C8" s="52" t="inlineStr">
        <is>
          <t>Design Cloud Identity integration and IAM access management</t>
        </is>
      </c>
      <c r="D8" s="52" t="inlineStr">
        <is>
          <t>EO Engineer</t>
        </is>
      </c>
      <c r="E8" s="53" t="n">
        <v>32</v>
      </c>
      <c r="F8" s="54">
        <f>'Estimate Settings'!$C$4</f>
        <v/>
      </c>
      <c r="G8" s="55">
        <f>$E8*$F8</f>
        <v/>
      </c>
      <c r="H8" s="56" t="n">
        <v>180</v>
      </c>
      <c r="I8" s="55">
        <f>TEXT($G8*$H8,"$#,##0")</f>
        <v/>
      </c>
      <c r="J8" s="52" t="inlineStr">
        <is>
          <t>Landing Zone Design</t>
        </is>
      </c>
      <c r="K8" s="52" t="inlineStr">
        <is>
          <t>Includes SSO organization policies and service account design</t>
        </is>
      </c>
    </row>
    <row r="9" ht="26" customHeight="1">
      <c r="A9" s="45" t="inlineStr">
        <is>
          <t>Planning</t>
        </is>
      </c>
      <c r="B9" s="46" t="inlineStr">
        <is>
          <t>Network Architecture Design</t>
        </is>
      </c>
      <c r="C9" s="46" t="inlineStr">
        <is>
          <t>Design Shared VPC hub-spoke with Dedicated Interconnect</t>
        </is>
      </c>
      <c r="D9" s="46" t="inlineStr">
        <is>
          <t>EO Engineer</t>
        </is>
      </c>
      <c r="E9" s="47" t="n">
        <v>40</v>
      </c>
      <c r="F9" s="48">
        <f>'Estimate Settings'!$C$4</f>
        <v/>
      </c>
      <c r="G9" s="49">
        <f>$E9*$F9</f>
        <v/>
      </c>
      <c r="H9" s="50" t="n">
        <v>175</v>
      </c>
      <c r="I9" s="49">
        <f>TEXT($G9*$H9,"$#,##0")</f>
        <v/>
      </c>
      <c r="J9" s="46" t="inlineStr">
        <is>
          <t>Landing Zone Design</t>
        </is>
      </c>
      <c r="K9" s="46" t="inlineStr">
        <is>
          <t>Deliverable: Network topology VPC design and hybrid connectivity architecture</t>
        </is>
      </c>
    </row>
    <row r="10" ht="26" customHeight="1">
      <c r="A10" s="51" t="inlineStr">
        <is>
          <t>Planning</t>
        </is>
      </c>
      <c r="B10" s="52" t="inlineStr">
        <is>
          <t>Project Planning</t>
        </is>
      </c>
      <c r="C10" s="52" t="inlineStr">
        <is>
          <t>Develop implementation timeline and resource allocation</t>
        </is>
      </c>
      <c r="D10" s="52" t="inlineStr">
        <is>
          <t>EO Engineer</t>
        </is>
      </c>
      <c r="E10" s="53" t="n">
        <v>24</v>
      </c>
      <c r="F10" s="54">
        <f>'Estimate Settings'!$C$4</f>
        <v/>
      </c>
      <c r="G10" s="55">
        <f>$E10*$F10</f>
        <v/>
      </c>
      <c r="H10" s="56" t="n">
        <v>140</v>
      </c>
      <c r="I10" s="55">
        <f>TEXT($G10*$H10,"$#,##0")</f>
        <v/>
      </c>
      <c r="J10" s="52" t="inlineStr">
        <is>
          <t>Landing Zone Design</t>
        </is>
      </c>
      <c r="K10" s="52" t="inlineStr">
        <is>
          <t>Deliverable: Project plan with phased team onboarding schedule</t>
        </is>
      </c>
    </row>
    <row r="11" ht="26" customHeight="1">
      <c r="A11" s="45" t="inlineStr">
        <is>
          <t>Development</t>
        </is>
      </c>
      <c r="B11" s="46" t="inlineStr">
        <is>
          <t>Organization and Billing Setup</t>
        </is>
      </c>
      <c r="C11" s="46" t="inlineStr">
        <is>
          <t>Configure GCP Organization folders and billing accounts</t>
        </is>
      </c>
      <c r="D11" s="46" t="inlineStr">
        <is>
          <t>EO Engineer</t>
        </is>
      </c>
      <c r="E11" s="47" t="n">
        <v>24</v>
      </c>
      <c r="F11" s="48">
        <f>'Estimate Settings'!$C$5</f>
        <v/>
      </c>
      <c r="G11" s="49">
        <f>$E11*$F11</f>
        <v/>
      </c>
      <c r="H11" s="50" t="n">
        <v>160</v>
      </c>
      <c r="I11" s="49">
        <f>TEXT($G11*$H11,"$#,##0")</f>
        <v/>
      </c>
      <c r="J11" s="46" t="inlineStr">
        <is>
          <t>Landing Zone Design</t>
        </is>
      </c>
      <c r="K11" s="46" t="inlineStr">
        <is>
          <t>Includes organization hierarchy billing account structure and IAM</t>
        </is>
      </c>
    </row>
    <row r="12" ht="26" customHeight="1">
      <c r="A12" s="51" t="inlineStr">
        <is>
          <t>Development</t>
        </is>
      </c>
      <c r="B12" s="52" t="inlineStr">
        <is>
          <t>Cloud Foundation Toolkit Implementation</t>
        </is>
      </c>
      <c r="C12" s="52" t="inlineStr">
        <is>
          <t>Build Terraform modules for project provisioning and governance</t>
        </is>
      </c>
      <c r="D12" s="52" t="inlineStr">
        <is>
          <t>EO Engineer</t>
        </is>
      </c>
      <c r="E12" s="53" t="n">
        <v>72</v>
      </c>
      <c r="F12" s="54">
        <f>'Estimate Settings'!$C$5</f>
        <v/>
      </c>
      <c r="G12" s="55">
        <f>$E12*$F12</f>
        <v/>
      </c>
      <c r="H12" s="56" t="n">
        <v>150</v>
      </c>
      <c r="I12" s="55">
        <f>TEXT($G12*$H12,"$#,##0")</f>
        <v/>
      </c>
      <c r="J12" s="52" t="inlineStr">
        <is>
          <t>Organization and Billing Setup</t>
        </is>
      </c>
      <c r="K12" s="52" t="inlineStr">
        <is>
          <t>Deliverable: Terraform modules for repeatable project deployment</t>
        </is>
      </c>
    </row>
    <row r="13" ht="26" customHeight="1">
      <c r="A13" s="45" t="inlineStr">
        <is>
          <t>Development</t>
        </is>
      </c>
      <c r="B13" s="46" t="inlineStr">
        <is>
          <t>Shared VPC Network Infrastructure</t>
        </is>
      </c>
      <c r="C13" s="46" t="inlineStr">
        <is>
          <t>Build hub-spoke VPC with Cloud NAT and load balancers</t>
        </is>
      </c>
      <c r="D13" s="46" t="inlineStr">
        <is>
          <t>EO Engineer</t>
        </is>
      </c>
      <c r="E13" s="47" t="n">
        <v>48</v>
      </c>
      <c r="F13" s="48">
        <f>'Estimate Settings'!$C$5</f>
        <v/>
      </c>
      <c r="G13" s="49">
        <f>$E13*$F13</f>
        <v/>
      </c>
      <c r="H13" s="50" t="n">
        <v>140</v>
      </c>
      <c r="I13" s="49">
        <f>TEXT($G13*$H13,"$#,##0")</f>
        <v/>
      </c>
      <c r="J13" s="46" t="inlineStr">
        <is>
          <t>Network Architecture Design</t>
        </is>
      </c>
      <c r="K13" s="46" t="inlineStr">
        <is>
          <t>Includes VPC subnets firewall rules and Cloud NAT gateways</t>
        </is>
      </c>
    </row>
    <row r="14" ht="26" customHeight="1">
      <c r="A14" s="51" t="inlineStr">
        <is>
          <t>Development</t>
        </is>
      </c>
      <c r="B14" s="52" t="inlineStr">
        <is>
          <t>Dedicated Interconnect Setup</t>
        </is>
      </c>
      <c r="C14" s="52" t="inlineStr">
        <is>
          <t>Configure Dedicated Interconnect 10 Gbps to on-premises</t>
        </is>
      </c>
      <c r="D14" s="52" t="inlineStr">
        <is>
          <t>EO Engineer</t>
        </is>
      </c>
      <c r="E14" s="53" t="n">
        <v>40</v>
      </c>
      <c r="F14" s="54">
        <f>'Estimate Settings'!$C$5</f>
        <v/>
      </c>
      <c r="G14" s="55">
        <f>$E14*$F14</f>
        <v/>
      </c>
      <c r="H14" s="56" t="n">
        <v>175</v>
      </c>
      <c r="I14" s="55">
        <f>TEXT($G14*$H14,"$#,##0")</f>
        <v/>
      </c>
      <c r="J14" s="52" t="inlineStr">
        <is>
          <t>Shared VPC Network Infrastructure</t>
        </is>
      </c>
      <c r="K14" s="52" t="inlineStr">
        <is>
          <t>Customer must coordinate on-premises network team and ISP</t>
        </is>
      </c>
    </row>
    <row r="15" ht="26" customHeight="1">
      <c r="A15" s="45" t="inlineStr">
        <is>
          <t>Development</t>
        </is>
      </c>
      <c r="B15" s="46" t="inlineStr">
        <is>
          <t>Security Baseline Implementation</t>
        </is>
      </c>
      <c r="C15" s="46" t="inlineStr">
        <is>
          <t>Deploy Security Command Center Chronicle and Cloud Armor</t>
        </is>
      </c>
      <c r="D15" s="46" t="inlineStr">
        <is>
          <t>EO Engineer</t>
        </is>
      </c>
      <c r="E15" s="47" t="n">
        <v>56</v>
      </c>
      <c r="F15" s="48">
        <f>'Estimate Settings'!$C$5</f>
        <v/>
      </c>
      <c r="G15" s="49">
        <f>$E15*$F15</f>
        <v/>
      </c>
      <c r="H15" s="50" t="n">
        <v>160</v>
      </c>
      <c r="I15" s="49">
        <f>TEXT($G15*$H15,"$#,##0")</f>
        <v/>
      </c>
      <c r="J15" s="46" t="inlineStr">
        <is>
          <t>Cloud Foundation Toolkit Implementation</t>
        </is>
      </c>
      <c r="K15" s="46" t="inlineStr">
        <is>
          <t>Includes Cloud IDS SCC Premium and organization policy enforcement</t>
        </is>
      </c>
    </row>
    <row r="16" ht="26" customHeight="1">
      <c r="A16" s="51" t="inlineStr">
        <is>
          <t>Development</t>
        </is>
      </c>
      <c r="B16" s="52" t="inlineStr">
        <is>
          <t>Organization Policy Configuration</t>
        </is>
      </c>
      <c r="C16" s="52" t="inlineStr">
        <is>
          <t>Implement organization policies and resource constraints</t>
        </is>
      </c>
      <c r="D16" s="52" t="inlineStr">
        <is>
          <t>EO Engineer</t>
        </is>
      </c>
      <c r="E16" s="53" t="n">
        <v>32</v>
      </c>
      <c r="F16" s="54">
        <f>'Estimate Settings'!$C$5</f>
        <v/>
      </c>
      <c r="G16" s="55">
        <f>$E16*$F16</f>
        <v/>
      </c>
      <c r="H16" s="56" t="n">
        <v>155</v>
      </c>
      <c r="I16" s="55">
        <f>TEXT($G16*$H16,"$#,##0")</f>
        <v/>
      </c>
      <c r="J16" s="52" t="inlineStr">
        <is>
          <t>Security Baseline Implementation</t>
        </is>
      </c>
      <c r="K16" s="52" t="inlineStr">
        <is>
          <t>Policy constraints for data residency resource locations and services</t>
        </is>
      </c>
    </row>
    <row r="17" ht="26" customHeight="1">
      <c r="A17" s="45" t="inlineStr">
        <is>
          <t>Development</t>
        </is>
      </c>
      <c r="B17" s="46" t="inlineStr">
        <is>
          <t>Identity and Access Implementation</t>
        </is>
      </c>
      <c r="C17" s="46" t="inlineStr">
        <is>
          <t>Configure Cloud Identity SSO and directory sync</t>
        </is>
      </c>
      <c r="D17" s="46" t="inlineStr">
        <is>
          <t>EO Engineer</t>
        </is>
      </c>
      <c r="E17" s="47" t="n">
        <v>32</v>
      </c>
      <c r="F17" s="48">
        <f>'Estimate Settings'!$C$5</f>
        <v/>
      </c>
      <c r="G17" s="49">
        <f>$E17*$F17</f>
        <v/>
      </c>
      <c r="H17" s="50" t="n">
        <v>155</v>
      </c>
      <c r="I17" s="49">
        <f>TEXT($G17*$H17,"$#,##0")</f>
        <v/>
      </c>
      <c r="J17" s="46" t="inlineStr">
        <is>
          <t>Identity and Access Design</t>
        </is>
      </c>
      <c r="K17" s="46" t="inlineStr">
        <is>
          <t>Includes SAML SSO setup Google Cloud Directory Sync (GCDS) configuration</t>
        </is>
      </c>
    </row>
    <row r="18" ht="26" customHeight="1">
      <c r="A18" s="51" t="inlineStr">
        <is>
          <t>Development</t>
        </is>
      </c>
      <c r="B18" s="52" t="inlineStr">
        <is>
          <t>Centralized Logging Setup</t>
        </is>
      </c>
      <c r="C18" s="52" t="inlineStr">
        <is>
          <t>Configure Cloud Logging sinks and BigQuery exports</t>
        </is>
      </c>
      <c r="D18" s="52" t="inlineStr">
        <is>
          <t>EO Engineer</t>
        </is>
      </c>
      <c r="E18" s="53" t="n">
        <v>32</v>
      </c>
      <c r="F18" s="54">
        <f>'Estimate Settings'!$C$5</f>
        <v/>
      </c>
      <c r="G18" s="55">
        <f>$E18*$F18</f>
        <v/>
      </c>
      <c r="H18" s="56" t="n">
        <v>130</v>
      </c>
      <c r="I18" s="55">
        <f>TEXT($G18*$H18,"$#,##0")</f>
        <v/>
      </c>
      <c r="J18" s="52" t="inlineStr">
        <is>
          <t>Cloud Foundation Toolkit Implementation</t>
        </is>
      </c>
      <c r="K18" s="52" t="inlineStr">
        <is>
          <t>Includes log aggregation long-term storage and compliance exports</t>
        </is>
      </c>
    </row>
    <row r="19" ht="26" customHeight="1">
      <c r="A19" s="45" t="inlineStr">
        <is>
          <t>Development</t>
        </is>
      </c>
      <c r="B19" s="46" t="inlineStr">
        <is>
          <t>Monitoring and Alerting</t>
        </is>
      </c>
      <c r="C19" s="46" t="inlineStr">
        <is>
          <t>Build Cloud Monitoring dashboards and alerting policies</t>
        </is>
      </c>
      <c r="D19" s="46" t="inlineStr">
        <is>
          <t>EO Engineer</t>
        </is>
      </c>
      <c r="E19" s="47" t="n">
        <v>24</v>
      </c>
      <c r="F19" s="48">
        <f>'Estimate Settings'!$C$5</f>
        <v/>
      </c>
      <c r="G19" s="49">
        <f>$E19*$F19</f>
        <v/>
      </c>
      <c r="H19" s="50" t="n">
        <v>130</v>
      </c>
      <c r="I19" s="49">
        <f>TEXT($G19*$H19,"$#,##0")</f>
        <v/>
      </c>
      <c r="J19" s="46" t="inlineStr">
        <is>
          <t>Centralized Logging Setup</t>
        </is>
      </c>
      <c r="K19" s="46" t="inlineStr">
        <is>
          <t>Includes SLO dashboards budget alerts and operational monitoring</t>
        </is>
      </c>
    </row>
    <row r="20" ht="26" customHeight="1">
      <c r="A20" s="51" t="inlineStr">
        <is>
          <t>Testing</t>
        </is>
      </c>
      <c r="B20" s="52" t="inlineStr">
        <is>
          <t>Infrastructure Testing</t>
        </is>
      </c>
      <c r="C20" s="52" t="inlineStr">
        <is>
          <t>Test Terraform modules project provisioning and network connectivity</t>
        </is>
      </c>
      <c r="D20" s="52" t="inlineStr">
        <is>
          <t>EO Engineer</t>
        </is>
      </c>
      <c r="E20" s="53" t="n">
        <v>32</v>
      </c>
      <c r="F20" s="54">
        <f>'Estimate Settings'!$C$6</f>
        <v/>
      </c>
      <c r="G20" s="55">
        <f>$E20*$F20</f>
        <v/>
      </c>
      <c r="H20" s="56" t="n">
        <v>120</v>
      </c>
      <c r="I20" s="55">
        <f>TEXT($G20*$H20,"$#,##0")</f>
        <v/>
      </c>
      <c r="J20" s="52" t="inlineStr">
        <is>
          <t>Monitoring and Alerting</t>
        </is>
      </c>
      <c r="K20" s="52" t="inlineStr">
        <is>
          <t>Includes automated testing with Terratest and validation scripts</t>
        </is>
      </c>
    </row>
    <row r="21" ht="26" customHeight="1">
      <c r="A21" s="45" t="inlineStr">
        <is>
          <t>Testing</t>
        </is>
      </c>
      <c r="B21" s="46" t="inlineStr">
        <is>
          <t>Policy and Compliance Testing</t>
        </is>
      </c>
      <c r="C21" s="46" t="inlineStr">
        <is>
          <t>Validate organization policies and security controls</t>
        </is>
      </c>
      <c r="D21" s="46" t="inlineStr">
        <is>
          <t>EO Engineer</t>
        </is>
      </c>
      <c r="E21" s="47" t="n">
        <v>24</v>
      </c>
      <c r="F21" s="48">
        <f>'Estimate Settings'!$C$6</f>
        <v/>
      </c>
      <c r="G21" s="49">
        <f>$E21*$F21</f>
        <v/>
      </c>
      <c r="H21" s="50" t="n">
        <v>140</v>
      </c>
      <c r="I21" s="49">
        <f>TEXT($G21*$H21,"$#,##0")</f>
        <v/>
      </c>
      <c r="J21" s="46" t="inlineStr">
        <is>
          <t>Organization Policy Configuration</t>
        </is>
      </c>
      <c r="K21" s="46" t="inlineStr">
        <is>
          <t>Verify policy enforcement and compliance with security baseline</t>
        </is>
      </c>
    </row>
    <row r="22" ht="26" customHeight="1">
      <c r="A22" s="51" t="inlineStr">
        <is>
          <t>Testing</t>
        </is>
      </c>
      <c r="B22" s="52" t="inlineStr">
        <is>
          <t>Security Testing</t>
        </is>
      </c>
      <c r="C22" s="52" t="inlineStr">
        <is>
          <t>Perform security assessments and penetration testing</t>
        </is>
      </c>
      <c r="D22" s="52" t="inlineStr">
        <is>
          <t>EO Engineer</t>
        </is>
      </c>
      <c r="E22" s="53" t="n">
        <v>16</v>
      </c>
      <c r="F22" s="54">
        <f>'Estimate Settings'!$C$6</f>
        <v/>
      </c>
      <c r="G22" s="55">
        <f>$E22*$F22</f>
        <v/>
      </c>
      <c r="H22" s="56" t="n">
        <v>175</v>
      </c>
      <c r="I22" s="55">
        <f>TEXT($G22*$H22,"$#,##0")</f>
        <v/>
      </c>
      <c r="J22" s="52" t="inlineStr">
        <is>
          <t>Security Baseline Implementation</t>
        </is>
      </c>
      <c r="K22" s="52" t="inlineStr">
        <is>
          <t>Includes vulnerability scanning and SCC Premium findings review</t>
        </is>
      </c>
    </row>
    <row r="23" ht="26" customHeight="1">
      <c r="A23" s="45" t="inlineStr">
        <is>
          <t>Testing</t>
        </is>
      </c>
      <c r="B23" s="46" t="inlineStr">
        <is>
          <t>Hybrid Connectivity Testing</t>
        </is>
      </c>
      <c r="C23" s="46" t="inlineStr">
        <is>
          <t>Test Dedicated Interconnect and on-premises connectivity</t>
        </is>
      </c>
      <c r="D23" s="46" t="inlineStr">
        <is>
          <t>EO Engineer</t>
        </is>
      </c>
      <c r="E23" s="47" t="n">
        <v>16</v>
      </c>
      <c r="F23" s="48">
        <f>'Estimate Settings'!$C$6</f>
        <v/>
      </c>
      <c r="G23" s="49">
        <f>$E23*$F23</f>
        <v/>
      </c>
      <c r="H23" s="50" t="n">
        <v>150</v>
      </c>
      <c r="I23" s="49">
        <f>TEXT($G23*$H23,"$#,##0")</f>
        <v/>
      </c>
      <c r="J23" s="46" t="inlineStr">
        <is>
          <t>Dedicated Interconnect Setup</t>
        </is>
      </c>
      <c r="K23" s="46" t="inlineStr">
        <is>
          <t>Customer must coordinate connectivity testing with network team</t>
        </is>
      </c>
    </row>
    <row r="24" ht="26" customHeight="1">
      <c r="A24" s="51" t="inlineStr">
        <is>
          <t>Deployment</t>
        </is>
      </c>
      <c r="B24" s="52" t="inlineStr">
        <is>
          <t>Foundation Deployment</t>
        </is>
      </c>
      <c r="C24" s="52" t="inlineStr">
        <is>
          <t>Deploy landing zone foundation to production</t>
        </is>
      </c>
      <c r="D24" s="52" t="inlineStr">
        <is>
          <t>EO Engineer</t>
        </is>
      </c>
      <c r="E24" s="53" t="n">
        <v>24</v>
      </c>
      <c r="F24" s="54">
        <f>'Estimate Settings'!$C$7</f>
        <v/>
      </c>
      <c r="G24" s="55">
        <f>$E24*$F24</f>
        <v/>
      </c>
      <c r="H24" s="56" t="n">
        <v>160</v>
      </c>
      <c r="I24" s="55">
        <f>TEXT($G24*$H24,"$#,##0")</f>
        <v/>
      </c>
      <c r="J24" s="52" t="inlineStr">
        <is>
          <t>Infrastructure Testing</t>
        </is>
      </c>
      <c r="K24" s="52" t="inlineStr">
        <is>
          <t>Includes production deployment validation and smoke testing</t>
        </is>
      </c>
    </row>
    <row r="25" ht="26" customHeight="1">
      <c r="A25" s="45" t="inlineStr">
        <is>
          <t>Deployment</t>
        </is>
      </c>
      <c r="B25" s="46" t="inlineStr">
        <is>
          <t>Pilot Team Onboarding</t>
        </is>
      </c>
      <c r="C25" s="46" t="inlineStr">
        <is>
          <t>Onboard 2 pilot teams to validate self-service workflows</t>
        </is>
      </c>
      <c r="D25" s="46" t="inlineStr">
        <is>
          <t>EO Engineer</t>
        </is>
      </c>
      <c r="E25" s="47" t="n">
        <v>32</v>
      </c>
      <c r="F25" s="48">
        <f>'Estimate Settings'!$C$7</f>
        <v/>
      </c>
      <c r="G25" s="49">
        <f>$E25*$F25</f>
        <v/>
      </c>
      <c r="H25" s="50" t="n">
        <v>130</v>
      </c>
      <c r="I25" s="49">
        <f>TEXT($G25*$H25,"$#,##0")</f>
        <v/>
      </c>
      <c r="J25" s="46" t="inlineStr">
        <is>
          <t>Foundation Deployment</t>
        </is>
      </c>
      <c r="K25" s="46" t="inlineStr">
        <is>
          <t>Includes project provisioning team training and workflow validation</t>
        </is>
      </c>
    </row>
    <row r="26" ht="26" customHeight="1">
      <c r="A26" s="51" t="inlineStr">
        <is>
          <t>Deployment</t>
        </is>
      </c>
      <c r="B26" s="52" t="inlineStr">
        <is>
          <t>Go-Live Support</t>
        </is>
      </c>
      <c r="C26" s="52" t="inlineStr">
        <is>
          <t>Provide support during initial platform operations</t>
        </is>
      </c>
      <c r="D26" s="52" t="inlineStr">
        <is>
          <t>EO Engineer</t>
        </is>
      </c>
      <c r="E26" s="53" t="n">
        <v>48</v>
      </c>
      <c r="F26" s="54">
        <f>'Estimate Settings'!$C$7</f>
        <v/>
      </c>
      <c r="G26" s="55">
        <f>$E26*$F26</f>
        <v/>
      </c>
      <c r="H26" s="56" t="n">
        <v>110</v>
      </c>
      <c r="I26" s="55">
        <f>TEXT($G26*$H26,"$#,##0")</f>
        <v/>
      </c>
      <c r="J26" s="52" t="inlineStr">
        <is>
          <t>Pilot Team Onboarding</t>
        </is>
      </c>
      <c r="K26" s="52" t="inlineStr">
        <is>
          <t>Includes issue resolution monitoring and operational support</t>
        </is>
      </c>
    </row>
    <row r="27" ht="26" customHeight="1">
      <c r="A27" s="45" t="inlineStr">
        <is>
          <t>Training</t>
        </is>
      </c>
      <c r="B27" s="46" t="inlineStr">
        <is>
          <t>Administrator Training</t>
        </is>
      </c>
      <c r="C27" s="46" t="inlineStr">
        <is>
          <t>Train platform admins on Google Admin console and Terraform</t>
        </is>
      </c>
      <c r="D27" s="46" t="inlineStr">
        <is>
          <t>EO Engineer</t>
        </is>
      </c>
      <c r="E27" s="47" t="n">
        <v>16</v>
      </c>
      <c r="F27" s="48">
        <f>'Estimate Settings'!$C$8</f>
        <v/>
      </c>
      <c r="G27" s="49">
        <f>$E27*$F27</f>
        <v/>
      </c>
      <c r="H27" s="50" t="n">
        <v>150</v>
      </c>
      <c r="I27" s="49">
        <f>TEXT($G27*$H27,"$#,##0")</f>
        <v/>
      </c>
      <c r="J27" s="46" t="inlineStr">
        <is>
          <t>Foundation Deployment</t>
        </is>
      </c>
      <c r="K27" s="46" t="inlineStr">
        <is>
          <t>Includes hands-on training with Cloud Foundation Toolkit and GAM</t>
        </is>
      </c>
    </row>
    <row r="28" ht="26" customHeight="1">
      <c r="A28" s="51" t="inlineStr">
        <is>
          <t>Training</t>
        </is>
      </c>
      <c r="B28" s="52" t="inlineStr">
        <is>
          <t>Platform User Training</t>
        </is>
      </c>
      <c r="C28" s="52" t="inlineStr">
        <is>
          <t>Train application teams on project provisioning and platform usage</t>
        </is>
      </c>
      <c r="D28" s="52" t="inlineStr">
        <is>
          <t>EO Engineer</t>
        </is>
      </c>
      <c r="E28" s="53" t="n">
        <v>16</v>
      </c>
      <c r="F28" s="54">
        <f>'Estimate Settings'!$C$8</f>
        <v/>
      </c>
      <c r="G28" s="55">
        <f>$E28*$F28</f>
        <v/>
      </c>
      <c r="H28" s="56" t="n">
        <v>130</v>
      </c>
      <c r="I28" s="55">
        <f>TEXT($G28*$H28,"$#,##0")</f>
        <v/>
      </c>
      <c r="J28" s="52" t="inlineStr">
        <is>
          <t>Administrator Training</t>
        </is>
      </c>
      <c r="K28" s="52" t="inlineStr">
        <is>
          <t>Includes self-service workflows best practices and support procedures</t>
        </is>
      </c>
    </row>
    <row r="29" ht="26" customHeight="1">
      <c r="A29" s="45" t="inlineStr">
        <is>
          <t>Training</t>
        </is>
      </c>
      <c r="B29" s="46" t="inlineStr">
        <is>
          <t>Documentation</t>
        </is>
      </c>
      <c r="C29" s="46" t="inlineStr">
        <is>
          <t>Create runbooks user guides and operational documentation</t>
        </is>
      </c>
      <c r="D29" s="46" t="inlineStr">
        <is>
          <t>EO Engineer</t>
        </is>
      </c>
      <c r="E29" s="47" t="n">
        <v>24</v>
      </c>
      <c r="F29" s="48">
        <f>'Estimate Settings'!$C$8</f>
        <v/>
      </c>
      <c r="G29" s="49">
        <f>$E29*$F29</f>
        <v/>
      </c>
      <c r="H29" s="50" t="n">
        <v>110</v>
      </c>
      <c r="I29" s="49">
        <f>TEXT($G29*$H29,"$#,##0")</f>
        <v/>
      </c>
      <c r="J29" s="46" t="inlineStr">
        <is>
          <t>Platform User Training</t>
        </is>
      </c>
      <c r="K29" s="46" t="inlineStr">
        <is>
          <t>Deliverable: Administrator runbooks troubleshooting guides platform docs</t>
        </is>
      </c>
    </row>
    <row r="30" ht="26" customHeight="1">
      <c r="A30" s="51" t="inlineStr">
        <is>
          <t>Closeout</t>
        </is>
      </c>
      <c r="B30" s="52" t="inlineStr">
        <is>
          <t>Knowledge Transfer</t>
        </is>
      </c>
      <c r="C30" s="52" t="inlineStr">
        <is>
          <t>Transfer platform ownership to operations team</t>
        </is>
      </c>
      <c r="D30" s="52" t="inlineStr">
        <is>
          <t>EO Engineer</t>
        </is>
      </c>
      <c r="E30" s="53" t="n">
        <v>16</v>
      </c>
      <c r="F30" s="54">
        <f>'Estimate Settings'!$C$9</f>
        <v/>
      </c>
      <c r="G30" s="55">
        <f>$E30*$F30</f>
        <v/>
      </c>
      <c r="H30" s="56" t="n">
        <v>140</v>
      </c>
      <c r="I30" s="55">
        <f>TEXT($G30*$H30,"$#,##0")</f>
        <v/>
      </c>
      <c r="J30" s="52" t="inlineStr">
        <is>
          <t>Documentation</t>
        </is>
      </c>
      <c r="K30" s="52" t="inlineStr">
        <is>
          <t>Includes operational handoff escalation procedures and maintenance</t>
        </is>
      </c>
    </row>
    <row r="31" ht="26" customHeight="1">
      <c r="A31" s="45" t="inlineStr">
        <is>
          <t>Closeout</t>
        </is>
      </c>
      <c r="B31" s="46" t="inlineStr">
        <is>
          <t>FinOps Dashboards Setup</t>
        </is>
      </c>
      <c r="C31" s="46" t="inlineStr">
        <is>
          <t>Establish cost allocation dashboards and budget controls</t>
        </is>
      </c>
      <c r="D31" s="46" t="inlineStr">
        <is>
          <t>EO Engineer</t>
        </is>
      </c>
      <c r="E31" s="47" t="n">
        <v>16</v>
      </c>
      <c r="F31" s="48">
        <f>'Estimate Settings'!$C$9</f>
        <v/>
      </c>
      <c r="G31" s="49">
        <f>$E31*$F31</f>
        <v/>
      </c>
      <c r="H31" s="50" t="n">
        <v>130</v>
      </c>
      <c r="I31" s="49">
        <f>TEXT($G31*$H31,"$#,##0")</f>
        <v/>
      </c>
      <c r="J31" s="46" t="inlineStr">
        <is>
          <t>Knowledge Transfer</t>
        </is>
      </c>
      <c r="K31" s="46" t="inlineStr">
        <is>
          <t>Includes BigQuery billing exports cost attribution and forecasting</t>
        </is>
      </c>
    </row>
    <row r="32" ht="26" customHeight="1">
      <c r="A32" s="51" t="inlineStr">
        <is>
          <t>Management</t>
        </is>
      </c>
      <c r="B32" s="52" t="inlineStr">
        <is>
          <t>Project Management</t>
        </is>
      </c>
      <c r="C32" s="52" t="inlineStr">
        <is>
          <t>Project coordination status reporting and stakeholder management</t>
        </is>
      </c>
      <c r="D32" s="52" t="inlineStr">
        <is>
          <t>EO Project Manager</t>
        </is>
      </c>
      <c r="E32" s="55">
        <f>ROUND(SUM(E27:E55)*0.20,0)</f>
        <v/>
      </c>
      <c r="F32" s="54">
        <f>'Estimate Settings'!$C$10</f>
        <v/>
      </c>
      <c r="G32" s="55">
        <f>$E32*$F32</f>
        <v/>
      </c>
      <c r="H32" s="56" t="n">
        <v>150</v>
      </c>
      <c r="I32" s="55">
        <f>TEXT($G32*$H32,"$#,##0")</f>
        <v/>
      </c>
      <c r="J32" s="52" t="inlineStr"/>
      <c r="K32" s="52" t="inlineStr">
        <is>
          <t>20% of engineering effort for project management overhead</t>
        </is>
      </c>
    </row>
    <row r="33" ht="26" customHeight="1">
      <c r="A33" s="45" t="inlineStr">
        <is>
          <t>Management</t>
        </is>
      </c>
      <c r="B33" s="46" t="inlineStr">
        <is>
          <t>Technical Leadership</t>
        </is>
      </c>
      <c r="C33" s="46" t="inlineStr">
        <is>
          <t>Quarterback oversight architecture review and technical governance</t>
        </is>
      </c>
      <c r="D33" s="46" t="inlineStr">
        <is>
          <t>EO Quarterback</t>
        </is>
      </c>
      <c r="E33" s="49">
        <f>ROUND(SUM(E27:E55)*0.25,0)</f>
        <v/>
      </c>
      <c r="F33" s="48">
        <f>'Estimate Settings'!$C$11</f>
        <v/>
      </c>
      <c r="G33" s="49">
        <f>$E33*$F33</f>
        <v/>
      </c>
      <c r="H33" s="50" t="n">
        <v>180</v>
      </c>
      <c r="I33" s="49">
        <f>TEXT($G33*$H33,"$#,##0")</f>
        <v/>
      </c>
      <c r="J33" s="46" t="inlineStr"/>
      <c r="K33" s="46" t="inlineStr">
        <is>
          <t>25% of engineering effort for technical leadership</t>
        </is>
      </c>
    </row>
    <row r="34" ht="26" customHeight="1">
      <c r="A34" s="51" t="inlineStr"/>
      <c r="B34" s="52" t="inlineStr"/>
      <c r="C34" s="52" t="inlineStr">
        <is>
          <t>TOTAL</t>
        </is>
      </c>
      <c r="D34" s="52" t="inlineStr"/>
      <c r="E34" s="55" t="inlineStr">
        <is>
          <t>$E27+$E28+$E29+$E30+$E31+$E32+$E33+$E34+$E35+$E36+$E37+$E38+$E39+$E40+$E41+$E42+$E43+$E44+$E45+$E46+$E47+$E48+$E49+$E50+$E51+$E52+$E53+$E54+$E55</t>
        </is>
      </c>
      <c r="F34" s="54" t="inlineStr"/>
      <c r="G34" s="55">
        <f>$G34+$G34+$G34+$G34+$G34+$G34+$G34+$G34+$G34+$G34+$G34+$G34+$G34+$G34+$G34+$G34+$G34+$G34+$G34+$G34+$G34+$G34+$G34+$G34+$G34+$G34+$G34+$G34+$G34+$G34+$G34</f>
        <v/>
      </c>
      <c r="H34" s="55" t="inlineStr"/>
      <c r="I34" s="55">
        <f>TEXT($G34*$H34,"$#,##0")</f>
        <v/>
      </c>
      <c r="J34" s="52" t="inlineStr"/>
      <c r="K34" s="52" t="inlineStr">
        <is>
          <t>Total landing zone implementation</t>
        </is>
      </c>
    </row>
  </sheetData>
  <autoFilter ref="A2:K34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5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37" t="inlineStr">
        <is>
          <t>Professional Services</t>
        </is>
      </c>
      <c r="B3" s="38" t="inlineStr">
        <is>
          <t>Partner Implementation Credit</t>
        </is>
      </c>
      <c r="C3" s="57" t="n">
        <v>-5000</v>
      </c>
      <c r="D3" s="38" t="inlineStr">
        <is>
          <t>Google Cloud partner implementation services discount</t>
        </is>
      </c>
    </row>
    <row r="4" ht="26" customHeight="1">
      <c r="A4" s="40" t="inlineStr">
        <is>
          <t>Professional Services</t>
        </is>
      </c>
      <c r="B4" s="41" t="inlineStr">
        <is>
          <t>Architecture Credit</t>
        </is>
      </c>
      <c r="C4" s="58" t="n">
        <v>0</v>
      </c>
      <c r="D4" s="41" t="inlineStr">
        <is>
          <t>No additional architecture credits</t>
        </is>
      </c>
    </row>
    <row r="5" ht="26" customHeight="1">
      <c r="A5" s="37" t="inlineStr">
        <is>
          <t>Cloud Infrastructure</t>
        </is>
      </c>
      <c r="B5" s="38" t="inlineStr">
        <is>
          <t>Migration Credit</t>
        </is>
      </c>
      <c r="C5" s="57" t="n">
        <v>-10000</v>
      </c>
      <c r="D5" s="38" t="inlineStr">
        <is>
          <t>20% Year 1 GCP consumption credit for new customers</t>
        </is>
      </c>
    </row>
    <row r="6" ht="26" customHeight="1">
      <c r="A6" s="40" t="inlineStr">
        <is>
          <t>Support &amp; Maintenance</t>
        </is>
      </c>
      <c r="B6" s="41" t="inlineStr">
        <is>
          <t>Support Credit</t>
        </is>
      </c>
      <c r="C6" s="58" t="n">
        <v>0</v>
      </c>
      <c r="D6" s="41" t="inlineStr">
        <is>
          <t>No support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2025-11-23T00:32:57Z</dcterms:modified>
  <cp:lastModifiedBy>Kishan Siram</cp:lastModifiedBy>
</cp:coreProperties>
</file>