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Guidelines'!$A$2:$F$10</definedName>
    <definedName name="_xlnm._FilterDatabase" localSheetId="2" hidden="1">'Infrastructure Costs'!$A$2:$K$27</definedName>
    <definedName name="_xlnm._FilterDatabase" localSheetId="3" hidden="1">'Credits'!$A$2:$D$6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Landing Zone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Cloud Infrastructure</t>
        </is>
      </c>
      <c r="B3" s="38" t="inlineStr">
        <is>
          <t>Number of GCP Projects</t>
        </is>
      </c>
      <c r="C3" s="39" t="inlineStr">
        <is>
          <t>10 projects</t>
        </is>
      </c>
      <c r="D3" s="39" t="inlineStr">
        <is>
          <t>30 projects</t>
        </is>
      </c>
      <c r="E3" s="39" t="inlineStr">
        <is>
          <t>75+ projects</t>
        </is>
      </c>
      <c r="F3" s="38" t="inlineStr">
        <is>
          <t>Managed projects within landing zone</t>
        </is>
      </c>
    </row>
    <row r="4" ht="26" customHeight="1">
      <c r="A4" s="40" t="inlineStr">
        <is>
          <t>Cloud Infrastructure</t>
        </is>
      </c>
      <c r="B4" s="41" t="inlineStr">
        <is>
          <t>Team Count</t>
        </is>
      </c>
      <c r="C4" s="42" t="inlineStr">
        <is>
          <t>3-5 teams</t>
        </is>
      </c>
      <c r="D4" s="42" t="inlineStr">
        <is>
          <t>6-15 teams</t>
        </is>
      </c>
      <c r="E4" s="42" t="inlineStr">
        <is>
          <t>20+ teams</t>
        </is>
      </c>
      <c r="F4" s="41" t="inlineStr">
        <is>
          <t>Application teams using the platform</t>
        </is>
      </c>
    </row>
    <row r="5" ht="26" customHeight="1">
      <c r="A5" s="37" t="inlineStr">
        <is>
          <t>Cloud Infrastructure</t>
        </is>
      </c>
      <c r="B5" s="38" t="inlineStr">
        <is>
          <t>Shared VPC Architecture</t>
        </is>
      </c>
      <c r="C5" s="39" t="inlineStr">
        <is>
          <t>Single hub-spoke</t>
        </is>
      </c>
      <c r="D5" s="39" t="inlineStr">
        <is>
          <t>Multi-hub regional</t>
        </is>
      </c>
      <c r="E5" s="39" t="inlineStr">
        <is>
          <t>Global multi-region</t>
        </is>
      </c>
      <c r="F5" s="38" t="inlineStr">
        <is>
          <t>Network complexity and scale</t>
        </is>
      </c>
    </row>
    <row r="6" ht="26" customHeight="1">
      <c r="A6" s="40" t="inlineStr">
        <is>
          <t>Cloud Infrastructure</t>
        </is>
      </c>
      <c r="B6" s="41" t="inlineStr">
        <is>
          <t>Hybrid Connectivity</t>
        </is>
      </c>
      <c r="C6" s="42" t="inlineStr">
        <is>
          <t>Cloud VPN 1 Gbps</t>
        </is>
      </c>
      <c r="D6" s="42" t="inlineStr">
        <is>
          <t>Interconnect 10 Gbps</t>
        </is>
      </c>
      <c r="E6" s="42" t="inlineStr">
        <is>
          <t>Interconnect 100 Gbps</t>
        </is>
      </c>
      <c r="F6" s="41" t="inlineStr">
        <is>
          <t>On-premises connectivity bandwidth</t>
        </is>
      </c>
    </row>
    <row r="7" ht="26" customHeight="1">
      <c r="A7" s="37" t="inlineStr">
        <is>
          <t>Cloud Infrastructure</t>
        </is>
      </c>
      <c r="B7" s="38" t="inlineStr">
        <is>
          <t>Logging Volume</t>
        </is>
      </c>
      <c r="C7" s="39" t="inlineStr">
        <is>
          <t>500 GB/month</t>
        </is>
      </c>
      <c r="D7" s="39" t="inlineStr">
        <is>
          <t>2 TB/month</t>
        </is>
      </c>
      <c r="E7" s="39" t="inlineStr">
        <is>
          <t>10+ TB/month</t>
        </is>
      </c>
      <c r="F7" s="38" t="inlineStr">
        <is>
          <t>Centralized Cloud Logging ingestion</t>
        </is>
      </c>
    </row>
    <row r="8" ht="26" customHeight="1">
      <c r="A8" s="40" t="inlineStr">
        <is>
          <t>Software Licenses</t>
        </is>
      </c>
      <c r="B8" s="41" t="inlineStr">
        <is>
          <t>Security Command Center</t>
        </is>
      </c>
      <c r="C8" s="42" t="inlineStr">
        <is>
          <t>Standard tier</t>
        </is>
      </c>
      <c r="D8" s="42" t="inlineStr">
        <is>
          <t>Premium tier</t>
        </is>
      </c>
      <c r="E8" s="42" t="inlineStr">
        <is>
          <t>Premium + Chronicle</t>
        </is>
      </c>
      <c r="F8" s="41" t="inlineStr">
        <is>
          <t>Security monitoring and threat detection</t>
        </is>
      </c>
    </row>
    <row r="9" ht="26" customHeight="1">
      <c r="A9" s="37" t="inlineStr">
        <is>
          <t>Software Licenses</t>
        </is>
      </c>
      <c r="B9" s="38" t="inlineStr">
        <is>
          <t>SIEM Integration</t>
        </is>
      </c>
      <c r="C9" s="39" t="inlineStr">
        <is>
          <t>None</t>
        </is>
      </c>
      <c r="D9" s="39" t="inlineStr">
        <is>
          <t>Chronicle 100 GB/mo</t>
        </is>
      </c>
      <c r="E9" s="39" t="inlineStr">
        <is>
          <t>Chronicle 500+ GB/mo</t>
        </is>
      </c>
      <c r="F9" s="38" t="inlineStr">
        <is>
          <t>Advanced security analytics</t>
        </is>
      </c>
    </row>
    <row r="10" ht="26" customHeight="1">
      <c r="A10" s="40" t="inlineStr">
        <is>
          <t>Support &amp; Maintenance</t>
        </is>
      </c>
      <c r="B10" s="41" t="inlineStr">
        <is>
          <t>GCP Support Level</t>
        </is>
      </c>
      <c r="C10" s="42" t="inlineStr">
        <is>
          <t>Standard</t>
        </is>
      </c>
      <c r="D10" s="42" t="inlineStr">
        <is>
          <t>Enhanced</t>
        </is>
      </c>
      <c r="E10" s="42" t="inlineStr">
        <is>
          <t>Premium Support</t>
        </is>
      </c>
      <c r="F10" s="41" t="inlineStr">
        <is>
          <t>Support coverage and SLA requirements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Cloud Infrastructure</t>
        </is>
      </c>
      <c r="B3" s="44" t="inlineStr">
        <is>
          <t>Shared VPC Network</t>
        </is>
      </c>
      <c r="C3" s="44" t="inlineStr">
        <is>
          <t>Hub-spoke VPC network with subnets across 3 regions</t>
        </is>
      </c>
      <c r="D3" s="45" t="n">
        <v>3</v>
      </c>
      <c r="E3" s="44" t="inlineStr">
        <is>
          <t>VPCs/Month</t>
        </is>
      </c>
      <c r="F3" s="46" t="n">
        <v>0</v>
      </c>
      <c r="G3" s="46">
        <f>D3*F3*12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VPC networking is free</t>
        </is>
      </c>
    </row>
    <row r="4" ht="26" customHeight="1">
      <c r="A4" s="47" t="inlineStr">
        <is>
          <t>Cloud Infrastructure</t>
        </is>
      </c>
      <c r="B4" s="48" t="inlineStr">
        <is>
          <t>Cloud NAT Gateway</t>
        </is>
      </c>
      <c r="C4" s="48" t="inlineStr">
        <is>
          <t>NAT gateway for internet egress (3 regions)</t>
        </is>
      </c>
      <c r="D4" s="49" t="n">
        <v>3</v>
      </c>
      <c r="E4" s="48" t="inlineStr">
        <is>
          <t>Gateways/Month</t>
        </is>
      </c>
      <c r="F4" s="50" t="n">
        <v>140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Managed NAT service</t>
        </is>
      </c>
    </row>
    <row r="5" ht="26" customHeight="1">
      <c r="A5" s="43" t="inlineStr">
        <is>
          <t>Cloud Infrastructure</t>
        </is>
      </c>
      <c r="B5" s="44" t="inlineStr">
        <is>
          <t>Cloud Interconnect</t>
        </is>
      </c>
      <c r="C5" s="44" t="inlineStr">
        <is>
          <t>Dedicated Interconnect 10 Gbps for hybrid connectivity</t>
        </is>
      </c>
      <c r="D5" s="45" t="n">
        <v>1</v>
      </c>
      <c r="E5" s="44" t="inlineStr">
        <is>
          <t>Connection/Month</t>
        </is>
      </c>
      <c r="F5" s="46" t="n">
        <v>2000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On-premises connectivity</t>
        </is>
      </c>
    </row>
    <row r="6" ht="26" customHeight="1">
      <c r="A6" s="47" t="inlineStr">
        <is>
          <t>Cloud Infrastructure</t>
        </is>
      </c>
      <c r="B6" s="48" t="inlineStr">
        <is>
          <t>Interconnect VLAN</t>
        </is>
      </c>
      <c r="C6" s="48" t="inlineStr">
        <is>
          <t>VLAN attachments for Interconnect (4 attachments)</t>
        </is>
      </c>
      <c r="D6" s="49" t="n">
        <v>4</v>
      </c>
      <c r="E6" s="48" t="inlineStr">
        <is>
          <t>Attachments/Month</t>
        </is>
      </c>
      <c r="F6" s="50" t="n">
        <v>100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VLAN attachment charges</t>
        </is>
      </c>
    </row>
    <row r="7" ht="26" customHeight="1">
      <c r="A7" s="43" t="inlineStr">
        <is>
          <t>Cloud Infrastructure</t>
        </is>
      </c>
      <c r="B7" s="44" t="inlineStr">
        <is>
          <t>Cloud Load Balancer</t>
        </is>
      </c>
      <c r="C7" s="44" t="inlineStr">
        <is>
          <t>Internal HTTP(S) load balancer for shared services</t>
        </is>
      </c>
      <c r="D7" s="45" t="n">
        <v>2</v>
      </c>
      <c r="E7" s="44" t="inlineStr">
        <is>
          <t>Load Balancers/Month</t>
        </is>
      </c>
      <c r="F7" s="46" t="n">
        <v>18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Internal load balancing</t>
        </is>
      </c>
    </row>
    <row r="8" ht="26" customHeight="1">
      <c r="A8" s="47" t="inlineStr">
        <is>
          <t>Cloud Infrastructure</t>
        </is>
      </c>
      <c r="B8" s="48" t="inlineStr">
        <is>
          <t>Cloud Armor</t>
        </is>
      </c>
      <c r="C8" s="48" t="inlineStr">
        <is>
          <t>DDoS protection and WAF for external services</t>
        </is>
      </c>
      <c r="D8" s="49" t="n">
        <v>1</v>
      </c>
      <c r="E8" s="48" t="inlineStr">
        <is>
          <t>Policy/Month</t>
        </is>
      </c>
      <c r="F8" s="50" t="n">
        <v>500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Advanced DDoS protection</t>
        </is>
      </c>
    </row>
    <row r="9" ht="26" customHeight="1">
      <c r="A9" s="43" t="inlineStr">
        <is>
          <t>Cloud Infrastructure</t>
        </is>
      </c>
      <c r="B9" s="44" t="inlineStr">
        <is>
          <t>Cloud IDS</t>
        </is>
      </c>
      <c r="C9" s="44" t="inlineStr">
        <is>
          <t>Intrusion Detection System for VPC monitoring</t>
        </is>
      </c>
      <c r="D9" s="45" t="n">
        <v>3</v>
      </c>
      <c r="E9" s="44" t="inlineStr">
        <is>
          <t>Endpoints/Month</t>
        </is>
      </c>
      <c r="F9" s="46" t="n">
        <v>550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Network threat detection</t>
        </is>
      </c>
    </row>
    <row r="10" ht="26" customHeight="1">
      <c r="A10" s="47" t="inlineStr">
        <is>
          <t>Cloud Infrastructure</t>
        </is>
      </c>
      <c r="B10" s="48" t="inlineStr">
        <is>
          <t>Cloud Logging</t>
        </is>
      </c>
      <c r="C10" s="48" t="inlineStr">
        <is>
          <t>Centralized logging sink (500 GB/month ingestion)</t>
        </is>
      </c>
      <c r="D10" s="49" t="n">
        <v>500</v>
      </c>
      <c r="E10" s="48" t="inlineStr">
        <is>
          <t>GB/Month</t>
        </is>
      </c>
      <c r="F10" s="50" t="n">
        <v>2.25</v>
      </c>
      <c r="G10" s="50">
        <f>D10*F10*12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Log aggregation and retention</t>
        </is>
      </c>
    </row>
    <row r="11" ht="26" customHeight="1">
      <c r="A11" s="43" t="inlineStr">
        <is>
          <t>Cloud Infrastructure</t>
        </is>
      </c>
      <c r="B11" s="44" t="inlineStr">
        <is>
          <t>Cloud Monitoring</t>
        </is>
      </c>
      <c r="C11" s="44" t="inlineStr">
        <is>
          <t>Metrics and monitoring for all projects</t>
        </is>
      </c>
      <c r="D11" s="45" t="n">
        <v>1</v>
      </c>
      <c r="E11" s="44" t="inlineStr">
        <is>
          <t>Service/Month</t>
        </is>
      </c>
      <c r="F11" s="46" t="n">
        <v>350</v>
      </c>
      <c r="G11" s="46">
        <f>D11*F11*12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Centralized monitoring</t>
        </is>
      </c>
    </row>
    <row r="12" ht="26" customHeight="1">
      <c r="A12" s="47" t="inlineStr">
        <is>
          <t>Cloud Infrastructure</t>
        </is>
      </c>
      <c r="B12" s="48" t="inlineStr">
        <is>
          <t>Cloud Storage</t>
        </is>
      </c>
      <c r="C12" s="48" t="inlineStr">
        <is>
          <t>Log storage and archives (5 TB standard + 10 TB archive)</t>
        </is>
      </c>
      <c r="D12" s="49" t="n">
        <v>15</v>
      </c>
      <c r="E12" s="48" t="inlineStr">
        <is>
          <t>TB/Month</t>
        </is>
      </c>
      <c r="F12" s="50" t="n">
        <v>1.5</v>
      </c>
      <c r="G12" s="50">
        <f>D12*F12*12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Long-term log retention</t>
        </is>
      </c>
    </row>
    <row r="13" ht="26" customHeight="1">
      <c r="A13" s="43" t="inlineStr">
        <is>
          <t>Cloud Infrastructure</t>
        </is>
      </c>
      <c r="B13" s="44" t="inlineStr">
        <is>
          <t>Cloud DNS</t>
        </is>
      </c>
      <c r="C13" s="44" t="inlineStr">
        <is>
          <t>Private DNS zones for internal services (50 zones)</t>
        </is>
      </c>
      <c r="D13" s="45" t="n">
        <v>50</v>
      </c>
      <c r="E13" s="44" t="inlineStr">
        <is>
          <t>Zones/Month</t>
        </is>
      </c>
      <c r="F13" s="46" t="n">
        <v>0.2</v>
      </c>
      <c r="G13" s="46">
        <f>D13*F13*12</f>
        <v/>
      </c>
      <c r="H13" s="46">
        <f>G13</f>
        <v/>
      </c>
      <c r="I13" s="46">
        <f>G13</f>
        <v/>
      </c>
      <c r="J13" s="46">
        <f>G13+H13+I13</f>
        <v/>
      </c>
      <c r="K13" s="44" t="inlineStr">
        <is>
          <t>Internal DNS management</t>
        </is>
      </c>
    </row>
    <row r="14" ht="26" customHeight="1">
      <c r="A14" s="47" t="inlineStr">
        <is>
          <t>Cloud Infrastructure</t>
        </is>
      </c>
      <c r="B14" s="48" t="inlineStr">
        <is>
          <t>VPC Flow Logs</t>
        </is>
      </c>
      <c r="C14" s="48" t="inlineStr">
        <is>
          <t>Flow logs for network monitoring (200 GB/month)</t>
        </is>
      </c>
      <c r="D14" s="49" t="n">
        <v>200</v>
      </c>
      <c r="E14" s="48" t="inlineStr">
        <is>
          <t>GB/Month</t>
        </is>
      </c>
      <c r="F14" s="50" t="n">
        <v>0.5</v>
      </c>
      <c r="G14" s="50">
        <f>D14*F14*12</f>
        <v/>
      </c>
      <c r="H14" s="50">
        <f>G14</f>
        <v/>
      </c>
      <c r="I14" s="50">
        <f>G14</f>
        <v/>
      </c>
      <c r="J14" s="50">
        <f>G14+H14+I14</f>
        <v/>
      </c>
      <c r="K14" s="48" t="inlineStr">
        <is>
          <t>Network traffic analysis</t>
        </is>
      </c>
    </row>
    <row r="15" ht="26" customHeight="1">
      <c r="A15" s="43" t="inlineStr">
        <is>
          <t>Cloud Infrastructure</t>
        </is>
      </c>
      <c r="B15" s="44" t="inlineStr">
        <is>
          <t>Cloud KMS</t>
        </is>
      </c>
      <c r="C15" s="44" t="inlineStr">
        <is>
          <t>Encryption key management (100 keys)</t>
        </is>
      </c>
      <c r="D15" s="45" t="n">
        <v>100</v>
      </c>
      <c r="E15" s="44" t="inlineStr">
        <is>
          <t>Keys/Month</t>
        </is>
      </c>
      <c r="F15" s="46" t="n">
        <v>0.06</v>
      </c>
      <c r="G15" s="46">
        <f>D15*F15*12</f>
        <v/>
      </c>
      <c r="H15" s="46">
        <f>G15</f>
        <v/>
      </c>
      <c r="I15" s="46">
        <f>G15</f>
        <v/>
      </c>
      <c r="J15" s="46">
        <f>G15+H15+I15</f>
        <v/>
      </c>
      <c r="K15" s="44" t="inlineStr">
        <is>
          <t>CMEK key management</t>
        </is>
      </c>
    </row>
    <row r="16" ht="26" customHeight="1">
      <c r="A16" s="47" t="inlineStr">
        <is>
          <t>Cloud Infrastructure</t>
        </is>
      </c>
      <c r="B16" s="48" t="inlineStr">
        <is>
          <t>Secret Manager</t>
        </is>
      </c>
      <c r="C16" s="48" t="inlineStr">
        <is>
          <t>Centralized secrets management (200 secrets)</t>
        </is>
      </c>
      <c r="D16" s="49" t="n">
        <v>200</v>
      </c>
      <c r="E16" s="48" t="inlineStr">
        <is>
          <t>Secrets/Month</t>
        </is>
      </c>
      <c r="F16" s="50" t="n">
        <v>0.4</v>
      </c>
      <c r="G16" s="50">
        <f>D16*F16*12</f>
        <v/>
      </c>
      <c r="H16" s="50">
        <f>G16</f>
        <v/>
      </c>
      <c r="I16" s="50">
        <f>G16</f>
        <v/>
      </c>
      <c r="J16" s="50">
        <f>G16+H16+I16</f>
        <v/>
      </c>
      <c r="K16" s="48" t="inlineStr">
        <is>
          <t>Secret storage and access</t>
        </is>
      </c>
    </row>
    <row r="17" ht="26" customHeight="1">
      <c r="A17" s="43" t="inlineStr">
        <is>
          <t>Cloud Infrastructure</t>
        </is>
      </c>
      <c r="B17" s="44" t="inlineStr">
        <is>
          <t>Cloud Build</t>
        </is>
      </c>
      <c r="C17" s="44" t="inlineStr">
        <is>
          <t>CI/CD automation for infrastructure (500 builds/month)</t>
        </is>
      </c>
      <c r="D17" s="45" t="n">
        <v>500</v>
      </c>
      <c r="E17" s="44" t="inlineStr">
        <is>
          <t>Build Minutes/Month</t>
        </is>
      </c>
      <c r="F17" s="46" t="n">
        <v>0.003</v>
      </c>
      <c r="G17" s="46">
        <f>D17*F17*12</f>
        <v/>
      </c>
      <c r="H17" s="46">
        <f>G17</f>
        <v/>
      </c>
      <c r="I17" s="46">
        <f>G17</f>
        <v/>
      </c>
      <c r="J17" s="46">
        <f>G17+H17+I17</f>
        <v/>
      </c>
      <c r="K17" s="44" t="inlineStr">
        <is>
          <t>Infrastructure automation</t>
        </is>
      </c>
    </row>
    <row r="18" ht="26" customHeight="1">
      <c r="A18" s="47" t="inlineStr">
        <is>
          <t>Cloud Infrastructure</t>
        </is>
      </c>
      <c r="B18" s="48" t="inlineStr">
        <is>
          <t>Artifact Registry</t>
        </is>
      </c>
      <c r="C18" s="48" t="inlineStr">
        <is>
          <t>Container and package repository (500 GB storage)</t>
        </is>
      </c>
      <c r="D18" s="49" t="n">
        <v>500</v>
      </c>
      <c r="E18" s="48" t="inlineStr">
        <is>
          <t>GB/Month</t>
        </is>
      </c>
      <c r="F18" s="50" t="n">
        <v>0.1</v>
      </c>
      <c r="G18" s="50">
        <f>D18*F18*12</f>
        <v/>
      </c>
      <c r="H18" s="50">
        <f>G18</f>
        <v/>
      </c>
      <c r="I18" s="50">
        <f>G18</f>
        <v/>
      </c>
      <c r="J18" s="50">
        <f>G18+H18+I18</f>
        <v/>
      </c>
      <c r="K18" s="48" t="inlineStr">
        <is>
          <t>Centralized artifact storage</t>
        </is>
      </c>
    </row>
    <row r="19" ht="26" customHeight="1">
      <c r="A19" s="43" t="inlineStr">
        <is>
          <t>Cloud Infrastructure</t>
        </is>
      </c>
      <c r="B19" s="44" t="inlineStr">
        <is>
          <t>Data Transfer Out</t>
        </is>
      </c>
      <c r="C19" s="44" t="inlineStr">
        <is>
          <t>Internet egress (1 TB/month average)</t>
        </is>
      </c>
      <c r="D19" s="45" t="n">
        <v>1000</v>
      </c>
      <c r="E19" s="44" t="inlineStr">
        <is>
          <t>GB/Month</t>
        </is>
      </c>
      <c r="F19" s="46" t="n">
        <v>0.12</v>
      </c>
      <c r="G19" s="46">
        <f>D19*F19*12</f>
        <v/>
      </c>
      <c r="H19" s="46">
        <f>G19</f>
        <v/>
      </c>
      <c r="I19" s="46">
        <f>G19</f>
        <v/>
      </c>
      <c r="J19" s="46">
        <f>G19+H19+I19</f>
        <v/>
      </c>
      <c r="K19" s="44" t="inlineStr">
        <is>
          <t>Outbound data transfer</t>
        </is>
      </c>
    </row>
    <row r="20" ht="26" customHeight="1">
      <c r="A20" s="47" t="inlineStr">
        <is>
          <t>Software Licenses</t>
        </is>
      </c>
      <c r="B20" s="48" t="inlineStr">
        <is>
          <t>Security Command Center Premium</t>
        </is>
      </c>
      <c r="C20" s="48" t="inlineStr">
        <is>
          <t>Advanced threat detection and compliance monitoring</t>
        </is>
      </c>
      <c r="D20" s="49" t="n">
        <v>1</v>
      </c>
      <c r="E20" s="48" t="inlineStr">
        <is>
          <t>Service/Month</t>
        </is>
      </c>
      <c r="F20" s="50" t="n">
        <v>1250</v>
      </c>
      <c r="G20" s="50">
        <f>D20*F20*12</f>
        <v/>
      </c>
      <c r="H20" s="50">
        <f>G20</f>
        <v/>
      </c>
      <c r="I20" s="50">
        <f>G20</f>
        <v/>
      </c>
      <c r="J20" s="50">
        <f>G20+H20+I20</f>
        <v/>
      </c>
      <c r="K20" s="48" t="inlineStr">
        <is>
          <t>Premium security features</t>
        </is>
      </c>
    </row>
    <row r="21" ht="26" customHeight="1">
      <c r="A21" s="43" t="inlineStr">
        <is>
          <t>Software Licenses</t>
        </is>
      </c>
      <c r="B21" s="44" t="inlineStr">
        <is>
          <t>Chronicle SIEM</t>
        </is>
      </c>
      <c r="C21" s="44" t="inlineStr">
        <is>
          <t>Security analytics platform (100 GB/month)</t>
        </is>
      </c>
      <c r="D21" s="45" t="n">
        <v>100</v>
      </c>
      <c r="E21" s="44" t="inlineStr">
        <is>
          <t>GB/Month</t>
        </is>
      </c>
      <c r="F21" s="46" t="n">
        <v>250</v>
      </c>
      <c r="G21" s="46">
        <f>D21*F21*12</f>
        <v/>
      </c>
      <c r="H21" s="46">
        <f>G21</f>
        <v/>
      </c>
      <c r="I21" s="46">
        <f>G21</f>
        <v/>
      </c>
      <c r="J21" s="46">
        <f>G21+H21+I21</f>
        <v/>
      </c>
      <c r="K21" s="44" t="inlineStr">
        <is>
          <t>Advanced SIEM capabilities</t>
        </is>
      </c>
    </row>
    <row r="22" ht="26" customHeight="1">
      <c r="A22" s="47" t="inlineStr">
        <is>
          <t>Support &amp; Maintenance</t>
        </is>
      </c>
      <c r="B22" s="48" t="inlineStr">
        <is>
          <t>Google Cloud Support Enhanced</t>
        </is>
      </c>
      <c r="C22" s="48" t="inlineStr">
        <is>
          <t>Enhanced support (9% of cloud infrastructure spend)</t>
        </is>
      </c>
      <c r="D22" s="49" t="n">
        <v>1</v>
      </c>
      <c r="E22" s="48" t="inlineStr">
        <is>
          <t>Service/Month</t>
        </is>
      </c>
      <c r="F22" s="50" t="n">
        <v>1500</v>
      </c>
      <c r="G22" s="50">
        <f>D22*F22*12</f>
        <v/>
      </c>
      <c r="H22" s="50">
        <f>G22*1.03</f>
        <v/>
      </c>
      <c r="I22" s="50">
        <f>G22*1.06</f>
        <v/>
      </c>
      <c r="J22" s="50">
        <f>G22+H22+I22</f>
        <v/>
      </c>
      <c r="K22" s="48" t="inlineStr">
        <is>
          <t>9% of cloud costs with 3% annual growth</t>
        </is>
      </c>
    </row>
    <row r="23" ht="26" customHeight="1">
      <c r="A23" s="43" t="inlineStr">
        <is>
          <t>Professional Services</t>
        </is>
      </c>
      <c r="B23" s="44" t="inlineStr">
        <is>
          <t>Architecture and Design</t>
        </is>
      </c>
      <c r="C23" s="44" t="inlineStr">
        <is>
          <t>Landing zone architecture design and documentation</t>
        </is>
      </c>
      <c r="D23" s="45" t="n">
        <v>100</v>
      </c>
      <c r="E23" s="44" t="inlineStr">
        <is>
          <t>Hours</t>
        </is>
      </c>
      <c r="F23" s="46" t="n">
        <v>250</v>
      </c>
      <c r="G23" s="46">
        <f>D23*F23</f>
        <v/>
      </c>
      <c r="H23" s="46">
        <f>0</f>
        <v/>
      </c>
      <c r="I23" s="46">
        <f>0</f>
        <v/>
      </c>
      <c r="J23" s="46">
        <f>G23</f>
        <v/>
      </c>
      <c r="K23" s="44" t="inlineStr">
        <is>
          <t>One-time design effort</t>
        </is>
      </c>
    </row>
    <row r="24" ht="26" customHeight="1">
      <c r="A24" s="47" t="inlineStr">
        <is>
          <t>Professional Services</t>
        </is>
      </c>
      <c r="B24" s="48" t="inlineStr">
        <is>
          <t>Implementation Services</t>
        </is>
      </c>
      <c r="C24" s="48" t="inlineStr">
        <is>
          <t>Infrastructure deployment and configuration</t>
        </is>
      </c>
      <c r="D24" s="49" t="n">
        <v>160</v>
      </c>
      <c r="E24" s="48" t="inlineStr">
        <is>
          <t>Hours</t>
        </is>
      </c>
      <c r="F24" s="50" t="n">
        <v>225</v>
      </c>
      <c r="G24" s="50">
        <f>D24*F24</f>
        <v/>
      </c>
      <c r="H24" s="50">
        <f>0</f>
        <v/>
      </c>
      <c r="I24" s="50">
        <f>0</f>
        <v/>
      </c>
      <c r="J24" s="50">
        <f>G24</f>
        <v/>
      </c>
      <c r="K24" s="48" t="inlineStr">
        <is>
          <t>Initial implementation</t>
        </is>
      </c>
    </row>
    <row r="25" ht="26" customHeight="1">
      <c r="A25" s="43" t="inlineStr">
        <is>
          <t>Professional Services</t>
        </is>
      </c>
      <c r="B25" s="44" t="inlineStr">
        <is>
          <t>Security Baseline Configuration</t>
        </is>
      </c>
      <c r="C25" s="44" t="inlineStr">
        <is>
          <t>Security controls policy implementation and validation</t>
        </is>
      </c>
      <c r="D25" s="45" t="n">
        <v>40</v>
      </c>
      <c r="E25" s="44" t="inlineStr">
        <is>
          <t>Hours</t>
        </is>
      </c>
      <c r="F25" s="46" t="n">
        <v>250</v>
      </c>
      <c r="G25" s="46">
        <f>D25*F25</f>
        <v/>
      </c>
      <c r="H25" s="46">
        <f>0</f>
        <v/>
      </c>
      <c r="I25" s="46">
        <f>0</f>
        <v/>
      </c>
      <c r="J25" s="46">
        <f>G25</f>
        <v/>
      </c>
      <c r="K25" s="44" t="inlineStr">
        <is>
          <t>Security hardening</t>
        </is>
      </c>
    </row>
    <row r="26" ht="26" customHeight="1">
      <c r="A26" s="47" t="inlineStr">
        <is>
          <t>Professional Services</t>
        </is>
      </c>
      <c r="B26" s="48" t="inlineStr">
        <is>
          <t>Training and Knowledge Transfer</t>
        </is>
      </c>
      <c r="C26" s="48" t="inlineStr">
        <is>
          <t>Administrator and developer training</t>
        </is>
      </c>
      <c r="D26" s="49" t="n">
        <v>24</v>
      </c>
      <c r="E26" s="48" t="inlineStr">
        <is>
          <t>Hours</t>
        </is>
      </c>
      <c r="F26" s="50" t="n">
        <v>200</v>
      </c>
      <c r="G26" s="50">
        <f>D26*F26</f>
        <v/>
      </c>
      <c r="H26" s="50">
        <f>0</f>
        <v/>
      </c>
      <c r="I26" s="50">
        <f>0</f>
        <v/>
      </c>
      <c r="J26" s="50">
        <f>G26</f>
        <v/>
      </c>
      <c r="K26" s="48" t="inlineStr">
        <is>
          <t>Team enablement</t>
        </is>
      </c>
    </row>
    <row r="27" ht="26" customHeight="1">
      <c r="A27" s="51" t="inlineStr">
        <is>
          <t>TOTAL</t>
        </is>
      </c>
      <c r="B27" s="52" t="n"/>
      <c r="C27" s="52" t="n"/>
      <c r="D27" s="52" t="n"/>
      <c r="E27" s="52" t="n"/>
      <c r="F27" s="52" t="n"/>
      <c r="G27" s="53">
        <f>SUM(G3:G26)</f>
        <v/>
      </c>
      <c r="H27" s="53">
        <f>SUM(H3:H26)</f>
        <v/>
      </c>
      <c r="I27" s="53">
        <f>SUM(I3:I26)</f>
        <v/>
      </c>
      <c r="J27" s="53">
        <f>SUM(J3:J26)</f>
        <v/>
      </c>
      <c r="K27" s="52" t="n"/>
    </row>
  </sheetData>
  <autoFilter ref="A2:K27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Cloud Infrastructure</t>
        </is>
      </c>
      <c r="B3" s="44" t="inlineStr">
        <is>
          <t>GCP Migration Credit</t>
        </is>
      </c>
      <c r="C3" s="46" t="n">
        <v>-10000</v>
      </c>
      <c r="D3" s="44" t="inlineStr">
        <is>
          <t>20% Year 1 infrastructure consumption credit</t>
        </is>
      </c>
    </row>
    <row r="4" ht="26" customHeight="1">
      <c r="A4" s="47" t="inlineStr">
        <is>
          <t>Software Licenses</t>
        </is>
      </c>
      <c r="B4" s="48" t="inlineStr">
        <is>
          <t>Partner Credit</t>
        </is>
      </c>
      <c r="C4" s="50" t="n">
        <v>0</v>
      </c>
      <c r="D4" s="48" t="inlineStr">
        <is>
          <t>No software credits available</t>
        </is>
      </c>
    </row>
    <row r="5" ht="26" customHeight="1">
      <c r="A5" s="43" t="inlineStr">
        <is>
          <t>Support &amp; Maintenance</t>
        </is>
      </c>
      <c r="B5" s="44" t="inlineStr">
        <is>
          <t>Program Credit</t>
        </is>
      </c>
      <c r="C5" s="46" t="n">
        <v>0</v>
      </c>
      <c r="D5" s="44" t="inlineStr">
        <is>
          <t>No support credits available</t>
        </is>
      </c>
    </row>
    <row r="6" ht="26" customHeight="1">
      <c r="A6" s="47" t="inlineStr">
        <is>
          <t>Professional Services</t>
        </is>
      </c>
      <c r="B6" s="48" t="inlineStr">
        <is>
          <t>Implementation Credit</t>
        </is>
      </c>
      <c r="C6" s="50" t="n">
        <v>-5000</v>
      </c>
      <c r="D6" s="48" t="inlineStr">
        <is>
          <t>Partner implementation discount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Cloud Infrastructure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2025-11-22T23:50:34Z</dcterms:modified>
  <cp:lastModifiedBy>Kishan Siram</cp:lastModifiedBy>
</cp:coreProperties>
</file>