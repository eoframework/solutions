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Assumptions'!$A$2:$G$15</definedName>
    <definedName name="_xlnm._FilterDatabase" localSheetId="2" hidden="1">'Estimate Settings'!$A$2:$D$11</definedName>
    <definedName name="_xlnm._FilterDatabase" localSheetId="3" hidden="1">'LOE'!$A$2:$K$26</definedName>
    <definedName name="_xlnm._FilterDatabase" localSheetId="4" hidden="1">'Credits'!$A$2:$D$6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GOOGLE - Modern-Workspace - Workspace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User Base</t>
        </is>
      </c>
      <c r="B3" s="38" t="inlineStr">
        <is>
          <t>User Count</t>
        </is>
      </c>
      <c r="C3" s="39" t="inlineStr">
        <is>
          <t>500 licensed users</t>
        </is>
      </c>
      <c r="D3" s="38" t="inlineStr">
        <is>
          <t>100 users</t>
        </is>
      </c>
      <c r="E3" s="38" t="inlineStr">
        <is>
          <t>500 users</t>
        </is>
      </c>
      <c r="F3" s="38" t="inlineStr">
        <is>
          <t>2000+ users</t>
        </is>
      </c>
      <c r="G3" s="38" t="inlineStr">
        <is>
          <t>Total Google Workspace licenses</t>
        </is>
      </c>
    </row>
    <row r="4" ht="26" customHeight="1">
      <c r="A4" s="40" t="inlineStr">
        <is>
          <t>User Base</t>
        </is>
      </c>
      <c r="B4" s="41" t="inlineStr">
        <is>
          <t>Workspace Edition</t>
        </is>
      </c>
      <c r="C4" s="39" t="inlineStr">
        <is>
          <t>Business Plus</t>
        </is>
      </c>
      <c r="D4" s="41" t="inlineStr">
        <is>
          <t>Business Standard</t>
        </is>
      </c>
      <c r="E4" s="41" t="inlineStr">
        <is>
          <t>Business Plus</t>
        </is>
      </c>
      <c r="F4" s="41" t="inlineStr">
        <is>
          <t>Enterprise Plus</t>
        </is>
      </c>
      <c r="G4" s="41" t="inlineStr">
        <is>
          <t>Feature tier and storage capacity</t>
        </is>
      </c>
    </row>
    <row r="5" ht="26" customHeight="1">
      <c r="A5" s="37" t="inlineStr">
        <is>
          <t>Migration</t>
        </is>
      </c>
      <c r="B5" s="38" t="inlineStr">
        <is>
          <t>Email Migration</t>
        </is>
      </c>
      <c r="C5" s="39" t="inlineStr">
        <is>
          <t>500 mailboxes (2.5 TB)</t>
        </is>
      </c>
      <c r="D5" s="38" t="inlineStr">
        <is>
          <t>100 mailboxes</t>
        </is>
      </c>
      <c r="E5" s="38" t="inlineStr">
        <is>
          <t>500 mailboxes</t>
        </is>
      </c>
      <c r="F5" s="38" t="inlineStr">
        <is>
          <t>2000+ mailboxes</t>
        </is>
      </c>
      <c r="G5" s="38" t="inlineStr">
        <is>
          <t>Exchange to Gmail migration volume</t>
        </is>
      </c>
    </row>
    <row r="6" ht="26" customHeight="1">
      <c r="A6" s="40" t="inlineStr">
        <is>
          <t>Migration</t>
        </is>
      </c>
      <c r="B6" s="41" t="inlineStr">
        <is>
          <t>File Migration</t>
        </is>
      </c>
      <c r="C6" s="39" t="inlineStr">
        <is>
          <t>File servers to Drive (3 TB)</t>
        </is>
      </c>
      <c r="D6" s="41" t="inlineStr">
        <is>
          <t>1 TB</t>
        </is>
      </c>
      <c r="E6" s="41" t="inlineStr">
        <is>
          <t>3 TB</t>
        </is>
      </c>
      <c r="F6" s="41" t="inlineStr">
        <is>
          <t>10+ TB</t>
        </is>
      </c>
      <c r="G6" s="41" t="inlineStr">
        <is>
          <t>Document migration complexity</t>
        </is>
      </c>
    </row>
    <row r="7" ht="26" customHeight="1">
      <c r="A7" s="37" t="inlineStr">
        <is>
          <t>Integration</t>
        </is>
      </c>
      <c r="B7" s="38" t="inlineStr">
        <is>
          <t>Identity Integration</t>
        </is>
      </c>
      <c r="C7" s="39" t="inlineStr">
        <is>
          <t>SAML SSO with Azure AD</t>
        </is>
      </c>
      <c r="D7" s="38" t="inlineStr">
        <is>
          <t>Basic auth</t>
        </is>
      </c>
      <c r="E7" s="38" t="inlineStr">
        <is>
          <t>SAML SSO</t>
        </is>
      </c>
      <c r="F7" s="38" t="inlineStr">
        <is>
          <t>Federated + directory sync</t>
        </is>
      </c>
      <c r="G7" s="38" t="inlineStr">
        <is>
          <t>Authentication complexity</t>
        </is>
      </c>
    </row>
    <row r="8" ht="26" customHeight="1">
      <c r="A8" s="40" t="inlineStr">
        <is>
          <t>Integration</t>
        </is>
      </c>
      <c r="B8" s="41" t="inlineStr">
        <is>
          <t>Distribution Lists</t>
        </is>
      </c>
      <c r="C8" s="39" t="inlineStr">
        <is>
          <t>150 groups</t>
        </is>
      </c>
      <c r="D8" s="41" t="inlineStr">
        <is>
          <t>50 groups</t>
        </is>
      </c>
      <c r="E8" s="41" t="inlineStr">
        <is>
          <t>150 groups</t>
        </is>
      </c>
      <c r="F8" s="41" t="inlineStr">
        <is>
          <t>500+ groups</t>
        </is>
      </c>
      <c r="G8" s="41" t="inlineStr">
        <is>
          <t>Email group migration count</t>
        </is>
      </c>
    </row>
    <row r="9" ht="26" customHeight="1">
      <c r="A9" s="37" t="inlineStr">
        <is>
          <t>Security</t>
        </is>
      </c>
      <c r="B9" s="38" t="inlineStr">
        <is>
          <t>DLP Policies</t>
        </is>
      </c>
      <c r="C9" s="39" t="inlineStr">
        <is>
          <t>Sensitive content detection</t>
        </is>
      </c>
      <c r="D9" s="38" t="inlineStr">
        <is>
          <t>Basic DLP</t>
        </is>
      </c>
      <c r="E9" s="38" t="inlineStr">
        <is>
          <t>Standard DLP</t>
        </is>
      </c>
      <c r="F9" s="38" t="inlineStr">
        <is>
          <t>Advanced DLP + custom</t>
        </is>
      </c>
      <c r="G9" s="38" t="inlineStr">
        <is>
          <t>Data loss prevention complexity</t>
        </is>
      </c>
    </row>
    <row r="10" ht="26" customHeight="1">
      <c r="A10" s="40" t="inlineStr">
        <is>
          <t>Security</t>
        </is>
      </c>
      <c r="B10" s="41" t="inlineStr">
        <is>
          <t>Mobile Management</t>
        </is>
      </c>
      <c r="C10" s="39" t="inlineStr">
        <is>
          <t>Advanced mobile device management</t>
        </is>
      </c>
      <c r="D10" s="41" t="inlineStr">
        <is>
          <t>Basic MDM</t>
        </is>
      </c>
      <c r="E10" s="41" t="inlineStr">
        <is>
          <t>Advanced MDM</t>
        </is>
      </c>
      <c r="F10" s="41" t="inlineStr">
        <is>
          <t>Enterprise EMM</t>
        </is>
      </c>
      <c r="G10" s="41" t="inlineStr">
        <is>
          <t>Mobile security requirements</t>
        </is>
      </c>
    </row>
    <row r="11" ht="26" customHeight="1">
      <c r="A11" s="37" t="inlineStr">
        <is>
          <t>Compliance</t>
        </is>
      </c>
      <c r="B11" s="38" t="inlineStr">
        <is>
          <t>Retention Policy</t>
        </is>
      </c>
      <c r="C11" s="39" t="inlineStr">
        <is>
          <t>7-year retention (Vault)</t>
        </is>
      </c>
      <c r="D11" s="38" t="inlineStr">
        <is>
          <t>3-year retention</t>
        </is>
      </c>
      <c r="E11" s="38" t="inlineStr">
        <is>
          <t>7-year retention</t>
        </is>
      </c>
      <c r="F11" s="38" t="inlineStr">
        <is>
          <t>Unlimited + legal hold</t>
        </is>
      </c>
      <c r="G11" s="38" t="inlineStr">
        <is>
          <t>Data retention requirements</t>
        </is>
      </c>
    </row>
    <row r="12" ht="26" customHeight="1">
      <c r="A12" s="40" t="inlineStr">
        <is>
          <t>Deployment</t>
        </is>
      </c>
      <c r="B12" s="41" t="inlineStr">
        <is>
          <t>Deployment Approach</t>
        </is>
      </c>
      <c r="C12" s="39" t="inlineStr">
        <is>
          <t>Phased by department (5 waves)</t>
        </is>
      </c>
      <c r="D12" s="41" t="inlineStr">
        <is>
          <t>Big bang</t>
        </is>
      </c>
      <c r="E12" s="41" t="inlineStr">
        <is>
          <t>Phased rollout</t>
        </is>
      </c>
      <c r="F12" s="41" t="inlineStr">
        <is>
          <t>Complex multi-phase</t>
        </is>
      </c>
      <c r="G12" s="41" t="inlineStr">
        <is>
          <t>Migration strategy complexity</t>
        </is>
      </c>
    </row>
    <row r="13" ht="26" customHeight="1">
      <c r="A13" s="37" t="inlineStr">
        <is>
          <t>Training</t>
        </is>
      </c>
      <c r="B13" s="38" t="inlineStr">
        <is>
          <t>Training Approach</t>
        </is>
      </c>
      <c r="C13" s="39" t="inlineStr">
        <is>
          <t>Virtual + self-service</t>
        </is>
      </c>
      <c r="D13" s="38" t="inlineStr">
        <is>
          <t>Self-service only</t>
        </is>
      </c>
      <c r="E13" s="38" t="inlineStr">
        <is>
          <t>Virtual training</t>
        </is>
      </c>
      <c r="F13" s="38" t="inlineStr">
        <is>
          <t>In-person + virtual</t>
        </is>
      </c>
      <c r="G13" s="38" t="inlineStr">
        <is>
          <t>User enablement scope</t>
        </is>
      </c>
    </row>
    <row r="14" ht="26" customHeight="1">
      <c r="A14" s="40" t="inlineStr">
        <is>
          <t>Technical Environment</t>
        </is>
      </c>
      <c r="B14" s="41" t="inlineStr">
        <is>
          <t>Coexistence Period</t>
        </is>
      </c>
      <c r="C14" s="39" t="inlineStr">
        <is>
          <t>4 weeks with Exchange</t>
        </is>
      </c>
      <c r="D14" s="41" t="inlineStr">
        <is>
          <t>2 weeks</t>
        </is>
      </c>
      <c r="E14" s="41" t="inlineStr">
        <is>
          <t>4 weeks</t>
        </is>
      </c>
      <c r="F14" s="41" t="inlineStr">
        <is>
          <t>8+ weeks</t>
        </is>
      </c>
      <c r="G14" s="41" t="inlineStr">
        <is>
          <t>Parallel operation complexity</t>
        </is>
      </c>
    </row>
    <row r="15" ht="26" customHeight="1">
      <c r="A15" s="37" t="inlineStr">
        <is>
          <t>Technical Environment</t>
        </is>
      </c>
      <c r="B15" s="38" t="inlineStr">
        <is>
          <t>Directory Sync</t>
        </is>
      </c>
      <c r="C15" s="39" t="inlineStr">
        <is>
          <t>GCDS for automated provisioning</t>
        </is>
      </c>
      <c r="D15" s="38" t="inlineStr">
        <is>
          <t>Manual sync</t>
        </is>
      </c>
      <c r="E15" s="38" t="inlineStr">
        <is>
          <t>Automated GCDS</t>
        </is>
      </c>
      <c r="F15" s="38" t="inlineStr">
        <is>
          <t>Complex multi-directory</t>
        </is>
      </c>
      <c r="G15" s="38" t="inlineStr">
        <is>
          <t>User provisioning automation</t>
        </is>
      </c>
    </row>
  </sheetData>
  <autoFilter ref="A2:G15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(Migration Assessment, Environment Analysis, Training Needs)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(Migration Planning, Stakeholder Alignment)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(Workspace Configuration, SSO Setup, DLP Policies, Vault Setup, Mobile Management)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(Pilot Validation, Migration Testing, UAT)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(Pilot Migration, Email/File Migration, Group Migration, Go-Live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 Training, End-User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Hypercare Support)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- 20%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- 25%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Migration Assessment</t>
        </is>
      </c>
      <c r="C3" s="46" t="inlineStr">
        <is>
          <t>Exchange and file server inventory and migration planning</t>
        </is>
      </c>
      <c r="D3" s="46" t="inlineStr">
        <is>
          <t>EO Engineer</t>
        </is>
      </c>
      <c r="E3" s="47" t="n">
        <v>24</v>
      </c>
      <c r="F3" s="48">
        <f>'Estimate Settings'!$C$3</f>
        <v/>
      </c>
      <c r="G3" s="49">
        <f>$E3*$F3</f>
        <v/>
      </c>
      <c r="H3" s="50" t="n">
        <v>200</v>
      </c>
      <c r="I3" s="49">
        <f>TEXT($G3*$H3,"$#,##0")</f>
        <v/>
      </c>
      <c r="J3" s="46" t="inlineStr"/>
      <c r="K3" s="46" t="inlineStr">
        <is>
          <t>Customer must provide Exchange admin access and mailbox inventory</t>
        </is>
      </c>
    </row>
    <row r="4" ht="26" customHeight="1">
      <c r="A4" s="51" t="inlineStr">
        <is>
          <t>Discovery</t>
        </is>
      </c>
      <c r="B4" s="52" t="inlineStr">
        <is>
          <t>Environment Analysis</t>
        </is>
      </c>
      <c r="C4" s="52" t="inlineStr">
        <is>
          <t>Analyze distribution lists groups and calendar complexity</t>
        </is>
      </c>
      <c r="D4" s="52" t="inlineStr">
        <is>
          <t>EO Engineer</t>
        </is>
      </c>
      <c r="E4" s="53" t="n">
        <v>16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Identify migration dependencies and integration requirements</t>
        </is>
      </c>
    </row>
    <row r="5" ht="26" customHeight="1">
      <c r="A5" s="45" t="inlineStr">
        <is>
          <t>Discovery</t>
        </is>
      </c>
      <c r="B5" s="46" t="inlineStr">
        <is>
          <t>Training Needs Assessment</t>
        </is>
      </c>
      <c r="C5" s="46" t="inlineStr">
        <is>
          <t>User training requirements and change management planning</t>
        </is>
      </c>
      <c r="D5" s="46" t="inlineStr">
        <is>
          <t>EO Engineer</t>
        </is>
      </c>
      <c r="E5" s="47" t="n">
        <v>8</v>
      </c>
      <c r="F5" s="48">
        <f>'Estimate Settings'!$C$3</f>
        <v/>
      </c>
      <c r="G5" s="49">
        <f>$E5*$F5</f>
        <v/>
      </c>
      <c r="H5" s="50" t="n">
        <v>150</v>
      </c>
      <c r="I5" s="49">
        <f>TEXT($G5*$H5,"$#,##0")</f>
        <v/>
      </c>
      <c r="J5" s="46" t="inlineStr"/>
      <c r="K5" s="46" t="inlineStr">
        <is>
          <t>Define training approach and communication strategy</t>
        </is>
      </c>
    </row>
    <row r="6" ht="26" customHeight="1">
      <c r="A6" s="51" t="inlineStr">
        <is>
          <t>Development</t>
        </is>
      </c>
      <c r="B6" s="52" t="inlineStr">
        <is>
          <t>Workspace Configuration</t>
        </is>
      </c>
      <c r="C6" s="52" t="inlineStr">
        <is>
          <t>Google Workspace tenant setup domain verification and OU structure</t>
        </is>
      </c>
      <c r="D6" s="52" t="inlineStr">
        <is>
          <t>EO Engineer</t>
        </is>
      </c>
      <c r="E6" s="53" t="n">
        <v>16</v>
      </c>
      <c r="F6" s="54">
        <f>'Estimate Settings'!$C$5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>
        <is>
          <t>Migration Assessment</t>
        </is>
      </c>
      <c r="K6" s="52" t="inlineStr">
        <is>
          <t>Deliverable: Configured Workspace tenant with organizational units</t>
        </is>
      </c>
    </row>
    <row r="7" ht="26" customHeight="1">
      <c r="A7" s="45" t="inlineStr">
        <is>
          <t>Development</t>
        </is>
      </c>
      <c r="B7" s="46" t="inlineStr">
        <is>
          <t>SSO Integration</t>
        </is>
      </c>
      <c r="C7" s="46" t="inlineStr">
        <is>
          <t>SAML SSO setup with Azure AD and directory sync (GCDS) deployment</t>
        </is>
      </c>
      <c r="D7" s="46" t="inlineStr">
        <is>
          <t>EO Engineer</t>
        </is>
      </c>
      <c r="E7" s="47" t="n">
        <v>24</v>
      </c>
      <c r="F7" s="48">
        <f>'Estimate Settings'!$C$5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Workspace Configuration</t>
        </is>
      </c>
      <c r="K7" s="46" t="inlineStr">
        <is>
          <t>Includes SAML metadata exchange and GCDS configuration testing</t>
        </is>
      </c>
    </row>
    <row r="8" ht="26" customHeight="1">
      <c r="A8" s="51" t="inlineStr">
        <is>
          <t>Development</t>
        </is>
      </c>
      <c r="B8" s="52" t="inlineStr">
        <is>
          <t>DLP Configuration</t>
        </is>
      </c>
      <c r="C8" s="52" t="inlineStr">
        <is>
          <t>Data Loss Prevention policy setup for sensitive content</t>
        </is>
      </c>
      <c r="D8" s="52" t="inlineStr">
        <is>
          <t>EO Engineer</t>
        </is>
      </c>
      <c r="E8" s="53" t="n">
        <v>16</v>
      </c>
      <c r="F8" s="54">
        <f>'Estimate Settings'!$C$5</f>
        <v/>
      </c>
      <c r="G8" s="55">
        <f>$E8*$F8</f>
        <v/>
      </c>
      <c r="H8" s="56" t="n">
        <v>175</v>
      </c>
      <c r="I8" s="55">
        <f>TEXT($G8*$H8,"$#,##0")</f>
        <v/>
      </c>
      <c r="J8" s="52" t="inlineStr">
        <is>
          <t>Workspace Configuration</t>
        </is>
      </c>
      <c r="K8" s="52" t="inlineStr">
        <is>
          <t>Configure DLP rules for PII PHI payment data</t>
        </is>
      </c>
    </row>
    <row r="9" ht="26" customHeight="1">
      <c r="A9" s="45" t="inlineStr">
        <is>
          <t>Development</t>
        </is>
      </c>
      <c r="B9" s="46" t="inlineStr">
        <is>
          <t>Vault Setup</t>
        </is>
      </c>
      <c r="C9" s="46" t="inlineStr">
        <is>
          <t>Google Vault configuration for 7-year retention and eDiscovery</t>
        </is>
      </c>
      <c r="D9" s="46" t="inlineStr">
        <is>
          <t>EO Engineer</t>
        </is>
      </c>
      <c r="E9" s="47" t="n">
        <v>8</v>
      </c>
      <c r="F9" s="48">
        <f>'Estimate Settings'!$C$5</f>
        <v/>
      </c>
      <c r="G9" s="49">
        <f>$E9*$F9</f>
        <v/>
      </c>
      <c r="H9" s="50" t="n">
        <v>150</v>
      </c>
      <c r="I9" s="49">
        <f>TEXT($G9*$H9,"$#,##0")</f>
        <v/>
      </c>
      <c r="J9" s="46" t="inlineStr">
        <is>
          <t>Workspace Configuration</t>
        </is>
      </c>
      <c r="K9" s="46" t="inlineStr">
        <is>
          <t>Setup retention policies and legal hold capabilities</t>
        </is>
      </c>
    </row>
    <row r="10" ht="26" customHeight="1">
      <c r="A10" s="51" t="inlineStr">
        <is>
          <t>Development</t>
        </is>
      </c>
      <c r="B10" s="52" t="inlineStr">
        <is>
          <t>Mobile Management</t>
        </is>
      </c>
      <c r="C10" s="52" t="inlineStr">
        <is>
          <t>Advanced mobile device management policy configuration</t>
        </is>
      </c>
      <c r="D10" s="52" t="inlineStr">
        <is>
          <t>EO Engineer</t>
        </is>
      </c>
      <c r="E10" s="53" t="n">
        <v>8</v>
      </c>
      <c r="F10" s="54">
        <f>'Estimate Settings'!$C$5</f>
        <v/>
      </c>
      <c r="G10" s="55">
        <f>$E10*$F10</f>
        <v/>
      </c>
      <c r="H10" s="56" t="n">
        <v>150</v>
      </c>
      <c r="I10" s="55">
        <f>TEXT($G10*$H10,"$#,##0")</f>
        <v/>
      </c>
      <c r="J10" s="52" t="inlineStr">
        <is>
          <t>Workspace Configuration</t>
        </is>
      </c>
      <c r="K10" s="52" t="inlineStr">
        <is>
          <t>Configure device policies passcode requirements remote wipe</t>
        </is>
      </c>
    </row>
    <row r="11" ht="26" customHeight="1">
      <c r="A11" s="45" t="inlineStr">
        <is>
          <t>Deployment</t>
        </is>
      </c>
      <c r="B11" s="46" t="inlineStr">
        <is>
          <t>Pilot Migration</t>
        </is>
      </c>
      <c r="C11" s="46" t="inlineStr">
        <is>
          <t>Pilot migration of 25 IT and early adopter users</t>
        </is>
      </c>
      <c r="D11" s="46" t="inlineStr">
        <is>
          <t>EO Engineer</t>
        </is>
      </c>
      <c r="E11" s="47" t="n">
        <v>24</v>
      </c>
      <c r="F11" s="48">
        <f>'Estimate Settings'!$C$7</f>
        <v/>
      </c>
      <c r="G11" s="49">
        <f>$E11*$F11</f>
        <v/>
      </c>
      <c r="H11" s="50" t="n">
        <v>140</v>
      </c>
      <c r="I11" s="49">
        <f>TEXT($G11*$H11,"$#,##0")</f>
        <v/>
      </c>
      <c r="J11" s="46" t="inlineStr">
        <is>
          <t>Vault Setup</t>
        </is>
      </c>
      <c r="K11" s="46" t="inlineStr">
        <is>
          <t>Validate migration tools workflows and training materials</t>
        </is>
      </c>
    </row>
    <row r="12" ht="26" customHeight="1">
      <c r="A12" s="51" t="inlineStr">
        <is>
          <t>Deployment</t>
        </is>
      </c>
      <c r="B12" s="52" t="inlineStr">
        <is>
          <t>Email Migration Wave 1-5</t>
        </is>
      </c>
      <c r="C12" s="52" t="inlineStr">
        <is>
          <t>Mailbox migration for 475 users in 5 waves (95 users/week)</t>
        </is>
      </c>
      <c r="D12" s="52" t="inlineStr">
        <is>
          <t>EO Engineer</t>
        </is>
      </c>
      <c r="E12" s="53" t="n">
        <v>80</v>
      </c>
      <c r="F12" s="54">
        <f>'Estimate Settings'!$C$7</f>
        <v/>
      </c>
      <c r="G12" s="55">
        <f>$E12*$F12</f>
        <v/>
      </c>
      <c r="H12" s="56" t="n">
        <v>140</v>
      </c>
      <c r="I12" s="55">
        <f>TEXT($G12*$H12,"$#,##0")</f>
        <v/>
      </c>
      <c r="J12" s="52" t="inlineStr">
        <is>
          <t>Pilot Migration</t>
        </is>
      </c>
      <c r="K12" s="52" t="inlineStr">
        <is>
          <t>Exchange to Gmail migration with folder structure preservation</t>
        </is>
      </c>
    </row>
    <row r="13" ht="26" customHeight="1">
      <c r="A13" s="45" t="inlineStr">
        <is>
          <t>Deployment</t>
        </is>
      </c>
      <c r="B13" s="46" t="inlineStr">
        <is>
          <t>File Migration</t>
        </is>
      </c>
      <c r="C13" s="46" t="inlineStr">
        <is>
          <t>File server to Google Drive migration (3 TB with permissions)</t>
        </is>
      </c>
      <c r="D13" s="46" t="inlineStr">
        <is>
          <t>EO Engineer</t>
        </is>
      </c>
      <c r="E13" s="47" t="n">
        <v>48</v>
      </c>
      <c r="F13" s="48">
        <f>'Estimate Settings'!$C$7</f>
        <v/>
      </c>
      <c r="G13" s="49">
        <f>$E13*$F13</f>
        <v/>
      </c>
      <c r="H13" s="50" t="n">
        <v>130</v>
      </c>
      <c r="I13" s="49">
        <f>TEXT($G13*$H13,"$#,##0")</f>
        <v/>
      </c>
      <c r="J13" s="46" t="inlineStr">
        <is>
          <t>Email Migration Wave 1-5</t>
        </is>
      </c>
      <c r="K13" s="46" t="inlineStr">
        <is>
          <t>Migrate files with ACL to Drive sharing permission mapping</t>
        </is>
      </c>
    </row>
    <row r="14" ht="26" customHeight="1">
      <c r="A14" s="51" t="inlineStr">
        <is>
          <t>Deployment</t>
        </is>
      </c>
      <c r="B14" s="52" t="inlineStr">
        <is>
          <t>Calendar and Contacts</t>
        </is>
      </c>
      <c r="C14" s="52" t="inlineStr">
        <is>
          <t>Calendar and contacts migration for all 500 users</t>
        </is>
      </c>
      <c r="D14" s="52" t="inlineStr">
        <is>
          <t>EO Engineer</t>
        </is>
      </c>
      <c r="E14" s="53" t="n">
        <v>16</v>
      </c>
      <c r="F14" s="54">
        <f>'Estimate Settings'!$C$7</f>
        <v/>
      </c>
      <c r="G14" s="55">
        <f>$E14*$F14</f>
        <v/>
      </c>
      <c r="H14" s="56" t="n">
        <v>120</v>
      </c>
      <c r="I14" s="55">
        <f>TEXT($G14*$H14,"$#,##0")</f>
        <v/>
      </c>
      <c r="J14" s="52" t="inlineStr">
        <is>
          <t>Email Migration Wave 1-5</t>
        </is>
      </c>
      <c r="K14" s="52" t="inlineStr">
        <is>
          <t>Preserve recurring appointments and contact deduplication</t>
        </is>
      </c>
    </row>
    <row r="15" ht="26" customHeight="1">
      <c r="A15" s="45" t="inlineStr">
        <is>
          <t>Deployment</t>
        </is>
      </c>
      <c r="B15" s="46" t="inlineStr">
        <is>
          <t>Distribution Lists</t>
        </is>
      </c>
      <c r="C15" s="46" t="inlineStr">
        <is>
          <t>Migration of 150 distribution lists to Google Groups</t>
        </is>
      </c>
      <c r="D15" s="46" t="inlineStr">
        <is>
          <t>EO Engineer</t>
        </is>
      </c>
      <c r="E15" s="47" t="n">
        <v>16</v>
      </c>
      <c r="F15" s="48">
        <f>'Estimate Settings'!$C$7</f>
        <v/>
      </c>
      <c r="G15" s="49">
        <f>$E15*$F15</f>
        <v/>
      </c>
      <c r="H15" s="50" t="n">
        <v>120</v>
      </c>
      <c r="I15" s="49">
        <f>TEXT($G15*$H15,"$#,##0")</f>
        <v/>
      </c>
      <c r="J15" s="46" t="inlineStr">
        <is>
          <t>Email Migration Wave 1-5</t>
        </is>
      </c>
      <c r="K15" s="46" t="inlineStr">
        <is>
          <t>Preserve group membership and email addresses</t>
        </is>
      </c>
    </row>
    <row r="16" ht="26" customHeight="1">
      <c r="A16" s="51" t="inlineStr">
        <is>
          <t>Testing</t>
        </is>
      </c>
      <c r="B16" s="52" t="inlineStr">
        <is>
          <t>Pilot Validation</t>
        </is>
      </c>
      <c r="C16" s="52" t="inlineStr">
        <is>
          <t>Pilot user testing and workflow validation</t>
        </is>
      </c>
      <c r="D16" s="52" t="inlineStr">
        <is>
          <t>EO Engineer</t>
        </is>
      </c>
      <c r="E16" s="53" t="n">
        <v>16</v>
      </c>
      <c r="F16" s="54">
        <f>'Estimate Settings'!$C$6</f>
        <v/>
      </c>
      <c r="G16" s="55">
        <f>$E16*$F16</f>
        <v/>
      </c>
      <c r="H16" s="56" t="n">
        <v>120</v>
      </c>
      <c r="I16" s="55">
        <f>TEXT($G16*$H16,"$#,##0")</f>
        <v/>
      </c>
      <c r="J16" s="52" t="inlineStr">
        <is>
          <t>Pilot Migration</t>
        </is>
      </c>
      <c r="K16" s="52" t="inlineStr">
        <is>
          <t>Validate Gmail Drive Docs Meet functionality with pilot users</t>
        </is>
      </c>
    </row>
    <row r="17" ht="26" customHeight="1">
      <c r="A17" s="45" t="inlineStr">
        <is>
          <t>Testing</t>
        </is>
      </c>
      <c r="B17" s="46" t="inlineStr">
        <is>
          <t>Migration Testing</t>
        </is>
      </c>
      <c r="C17" s="46" t="inlineStr">
        <is>
          <t>Data integrity validation and migration quality checks</t>
        </is>
      </c>
      <c r="D17" s="46" t="inlineStr">
        <is>
          <t>EO Engineer</t>
        </is>
      </c>
      <c r="E17" s="47" t="n">
        <v>24</v>
      </c>
      <c r="F17" s="48">
        <f>'Estimate Settings'!$C$6</f>
        <v/>
      </c>
      <c r="G17" s="49">
        <f>$E17*$F17</f>
        <v/>
      </c>
      <c r="H17" s="50" t="n">
        <v>130</v>
      </c>
      <c r="I17" s="49">
        <f>TEXT($G17*$H17,"$#,##0")</f>
        <v/>
      </c>
      <c r="J17" s="46" t="inlineStr">
        <is>
          <t>File Migration</t>
        </is>
      </c>
      <c r="K17" s="46" t="inlineStr">
        <is>
          <t>Ensure 100% data migration with zero data loss</t>
        </is>
      </c>
    </row>
    <row r="18" ht="26" customHeight="1">
      <c r="A18" s="51" t="inlineStr">
        <is>
          <t>Testing</t>
        </is>
      </c>
      <c r="B18" s="52" t="inlineStr">
        <is>
          <t>UAT Coordination</t>
        </is>
      </c>
      <c r="C18" s="52" t="inlineStr">
        <is>
          <t>User acceptance testing coordination with business stakeholders</t>
        </is>
      </c>
      <c r="D18" s="52" t="inlineStr">
        <is>
          <t>EO Engineer</t>
        </is>
      </c>
      <c r="E18" s="53" t="n">
        <v>16</v>
      </c>
      <c r="F18" s="54">
        <f>'Estimate Settings'!$C$6</f>
        <v/>
      </c>
      <c r="G18" s="55">
        <f>$E18*$F18</f>
        <v/>
      </c>
      <c r="H18" s="56" t="n">
        <v>140</v>
      </c>
      <c r="I18" s="55">
        <f>TEXT($G18*$H18,"$#,##0")</f>
        <v/>
      </c>
      <c r="J18" s="52" t="inlineStr">
        <is>
          <t>Migration Testing</t>
        </is>
      </c>
      <c r="K18" s="52" t="inlineStr">
        <is>
          <t>Business validation of collaboration workflows</t>
        </is>
      </c>
    </row>
    <row r="19" ht="26" customHeight="1">
      <c r="A19" s="45" t="inlineStr">
        <is>
          <t>Training</t>
        </is>
      </c>
      <c r="B19" s="46" t="inlineStr">
        <is>
          <t>Administrator Training</t>
        </is>
      </c>
      <c r="C19" s="46" t="inlineStr">
        <is>
          <t>Google Admin Console GAM scripting and troubleshooting training</t>
        </is>
      </c>
      <c r="D19" s="46" t="inlineStr">
        <is>
          <t>EO Engineer</t>
        </is>
      </c>
      <c r="E19" s="47" t="n">
        <v>16</v>
      </c>
      <c r="F19" s="48">
        <f>'Estimate Settings'!$C$8</f>
        <v/>
      </c>
      <c r="G19" s="49">
        <f>$E19*$F19</f>
        <v/>
      </c>
      <c r="H19" s="50" t="n">
        <v>150</v>
      </c>
      <c r="I19" s="49">
        <f>TEXT($G19*$H19,"$#,##0")</f>
        <v/>
      </c>
      <c r="J19" s="46" t="inlineStr">
        <is>
          <t>UAT Coordination</t>
        </is>
      </c>
      <c r="K19" s="46" t="inlineStr">
        <is>
          <t>Hands-on training for IT administrators</t>
        </is>
      </c>
    </row>
    <row r="20" ht="26" customHeight="1">
      <c r="A20" s="51" t="inlineStr">
        <is>
          <t>Training</t>
        </is>
      </c>
      <c r="B20" s="52" t="inlineStr">
        <is>
          <t>End-User Training</t>
        </is>
      </c>
      <c r="C20" s="52" t="inlineStr">
        <is>
          <t>Virtual training sessions for Gmail Drive Docs Meet (10 sessions)</t>
        </is>
      </c>
      <c r="D20" s="52" t="inlineStr">
        <is>
          <t>EO Engineer</t>
        </is>
      </c>
      <c r="E20" s="53" t="n">
        <v>40</v>
      </c>
      <c r="F20" s="54">
        <f>'Estimate Settings'!$C$8</f>
        <v/>
      </c>
      <c r="G20" s="55">
        <f>$E20*$F20</f>
        <v/>
      </c>
      <c r="H20" s="56" t="n">
        <v>125</v>
      </c>
      <c r="I20" s="55">
        <f>TEXT($G20*$H20,"$#,##0")</f>
        <v/>
      </c>
      <c r="J20" s="52" t="inlineStr">
        <is>
          <t>Administrator Training</t>
        </is>
      </c>
      <c r="K20" s="52" t="inlineStr">
        <is>
          <t>2 sessions per migration wave covering core functionality</t>
        </is>
      </c>
    </row>
    <row r="21" ht="26" customHeight="1">
      <c r="A21" s="45" t="inlineStr">
        <is>
          <t>Training</t>
        </is>
      </c>
      <c r="B21" s="46" t="inlineStr">
        <is>
          <t>Training Materials</t>
        </is>
      </c>
      <c r="C21" s="46" t="inlineStr">
        <is>
          <t>Custom quick start guides video tutorials and FAQ documentation</t>
        </is>
      </c>
      <c r="D21" s="46" t="inlineStr">
        <is>
          <t>EO Engineer</t>
        </is>
      </c>
      <c r="E21" s="47" t="n">
        <v>24</v>
      </c>
      <c r="F21" s="48">
        <f>'Estimate Settings'!$C$8</f>
        <v/>
      </c>
      <c r="G21" s="49">
        <f>$E21*$F21</f>
        <v/>
      </c>
      <c r="H21" s="50" t="n">
        <v>110</v>
      </c>
      <c r="I21" s="49">
        <f>TEXT($G21*$H21,"$#,##0")</f>
        <v/>
      </c>
      <c r="J21" s="46" t="inlineStr">
        <is>
          <t>End-User Training</t>
        </is>
      </c>
      <c r="K21" s="46" t="inlineStr">
        <is>
          <t>Deliverable: Self-service training resources and help documentation</t>
        </is>
      </c>
    </row>
    <row r="22" ht="26" customHeight="1">
      <c r="A22" s="51" t="inlineStr">
        <is>
          <t>Closeout</t>
        </is>
      </c>
      <c r="B22" s="52" t="inlineStr">
        <is>
          <t>Knowledge Transfer</t>
        </is>
      </c>
      <c r="C22" s="52" t="inlineStr">
        <is>
          <t>Operations handoff and support procedures documentation</t>
        </is>
      </c>
      <c r="D22" s="52" t="inlineStr">
        <is>
          <t>EO Engineer</t>
        </is>
      </c>
      <c r="E22" s="53" t="n">
        <v>8</v>
      </c>
      <c r="F22" s="54">
        <f>'Estimate Settings'!$C$9</f>
        <v/>
      </c>
      <c r="G22" s="55">
        <f>$E22*$F22</f>
        <v/>
      </c>
      <c r="H22" s="56" t="n">
        <v>140</v>
      </c>
      <c r="I22" s="55">
        <f>TEXT($G22*$H22,"$#,##0")</f>
        <v/>
      </c>
      <c r="J22" s="52" t="inlineStr">
        <is>
          <t>Training Materials</t>
        </is>
      </c>
      <c r="K22" s="52" t="inlineStr">
        <is>
          <t>Transfer operational ownership to IT team</t>
        </is>
      </c>
    </row>
    <row r="23" ht="26" customHeight="1">
      <c r="A23" s="45" t="inlineStr">
        <is>
          <t>Closeout</t>
        </is>
      </c>
      <c r="B23" s="46" t="inlineStr">
        <is>
          <t>Hypercare Support</t>
        </is>
      </c>
      <c r="C23" s="46" t="inlineStr">
        <is>
          <t>Post-migration support and issue resolution (4 weeks)</t>
        </is>
      </c>
      <c r="D23" s="46" t="inlineStr">
        <is>
          <t>EO Engineer</t>
        </is>
      </c>
      <c r="E23" s="47" t="n">
        <v>80</v>
      </c>
      <c r="F23" s="48">
        <f>'Estimate Settings'!$C$9</f>
        <v/>
      </c>
      <c r="G23" s="49">
        <f>$E23*$F23</f>
        <v/>
      </c>
      <c r="H23" s="50" t="n">
        <v>110</v>
      </c>
      <c r="I23" s="49">
        <f>TEXT($G23*$H23,"$#,##0")</f>
        <v/>
      </c>
      <c r="J23" s="46" t="inlineStr">
        <is>
          <t>Knowledge Transfer</t>
        </is>
      </c>
      <c r="K23" s="46" t="inlineStr">
        <is>
          <t>Daily monitoring rapid issue resolution optimization support</t>
        </is>
      </c>
    </row>
    <row r="24" ht="26" customHeight="1">
      <c r="A24" s="51" t="inlineStr">
        <is>
          <t>Management</t>
        </is>
      </c>
      <c r="B24" s="52" t="inlineStr">
        <is>
          <t>Project Management</t>
        </is>
      </c>
      <c r="C24" s="52" t="inlineStr">
        <is>
          <t>Project coordination status reporting stakeholder management</t>
        </is>
      </c>
      <c r="D24" s="52" t="inlineStr">
        <is>
          <t>EO Project Manager</t>
        </is>
      </c>
      <c r="E24" s="55">
        <f>ROUND(SUM(E19:E39)*0.20,0)</f>
        <v/>
      </c>
      <c r="F24" s="54">
        <f>'Estimate Settings'!$C$10</f>
        <v/>
      </c>
      <c r="G24" s="55">
        <f>$E24*$F24</f>
        <v/>
      </c>
      <c r="H24" s="56" t="n">
        <v>150</v>
      </c>
      <c r="I24" s="55">
        <f>TEXT($G24*$H24,"$#,##0")</f>
        <v/>
      </c>
      <c r="J24" s="52" t="inlineStr"/>
      <c r="K24" s="52" t="inlineStr">
        <is>
          <t>20% of engineering effort for project management</t>
        </is>
      </c>
    </row>
    <row r="25" ht="26" customHeight="1">
      <c r="A25" s="45" t="inlineStr">
        <is>
          <t>Management</t>
        </is>
      </c>
      <c r="B25" s="46" t="inlineStr">
        <is>
          <t>Technical Leadership</t>
        </is>
      </c>
      <c r="C25" s="46" t="inlineStr">
        <is>
          <t>Quarterback oversight migration strategy technical governance</t>
        </is>
      </c>
      <c r="D25" s="46" t="inlineStr">
        <is>
          <t>EO Quarterback</t>
        </is>
      </c>
      <c r="E25" s="49">
        <f>ROUND(SUM(E19:E39)*0.25,0)</f>
        <v/>
      </c>
      <c r="F25" s="48">
        <f>'Estimate Settings'!$C$11</f>
        <v/>
      </c>
      <c r="G25" s="49">
        <f>$E25*$F25</f>
        <v/>
      </c>
      <c r="H25" s="50" t="n">
        <v>180</v>
      </c>
      <c r="I25" s="49">
        <f>TEXT($G25*$H25,"$#,##0")</f>
        <v/>
      </c>
      <c r="J25" s="46" t="inlineStr"/>
      <c r="K25" s="46" t="inlineStr">
        <is>
          <t>25% of engineering effort for technical leadership</t>
        </is>
      </c>
    </row>
    <row r="26" ht="26" customHeight="1">
      <c r="A26" s="51" t="inlineStr"/>
      <c r="B26" s="52" t="inlineStr"/>
      <c r="C26" s="52" t="inlineStr">
        <is>
          <t>TOTAL</t>
        </is>
      </c>
      <c r="D26" s="52" t="inlineStr"/>
      <c r="E26" s="55" t="inlineStr">
        <is>
          <t>$E19+$E20+$E21+$E22+$E23+$E24+$E25+$E26+$E27+$E28+$E29+$E30+$E31+$E32+$E33+$E34+$E35+$E36+$E37+$E38+$E39</t>
        </is>
      </c>
      <c r="F26" s="54" t="inlineStr"/>
      <c r="G26" s="55">
        <f>$G26+$G26+$G26+$G26+$G26+$G26+$G26+$G26+$G26+$G26+$G26+$G26+$G26+$G26+$G26+$G26+$G26+$G26+$G26+$G26+$G26+$G26+$G26</f>
        <v/>
      </c>
      <c r="H26" s="55" t="inlineStr"/>
      <c r="I26" s="55">
        <f>TEXT($G26*$H26,"$#,##0")</f>
        <v/>
      </c>
      <c r="J26" s="52" t="inlineStr"/>
      <c r="K26" s="52" t="inlineStr">
        <is>
          <t>Total Workspace migration implementation</t>
        </is>
      </c>
    </row>
  </sheetData>
  <autoFilter ref="A2:K26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37" t="inlineStr">
        <is>
          <t>Professional Services</t>
        </is>
      </c>
      <c r="B3" s="38" t="inlineStr">
        <is>
          <t>Partner Migration Credit</t>
        </is>
      </c>
      <c r="C3" s="57" t="n">
        <v>-3000</v>
      </c>
      <c r="D3" s="38" t="inlineStr">
        <is>
          <t>Google Workspace partner migration services discount</t>
        </is>
      </c>
    </row>
    <row r="4" ht="26" customHeight="1">
      <c r="A4" s="40" t="inlineStr">
        <is>
          <t>Software Licenses</t>
        </is>
      </c>
      <c r="B4" s="41" t="inlineStr">
        <is>
          <t>New Customer Promotion</t>
        </is>
      </c>
      <c r="C4" s="58" t="n">
        <v>-10000</v>
      </c>
      <c r="D4" s="41" t="inlineStr">
        <is>
          <t>First 3 months free for new Google Workspace customers (500 users)</t>
        </is>
      </c>
    </row>
    <row r="5" ht="26" customHeight="1">
      <c r="A5" s="37" t="inlineStr">
        <is>
          <t>Cloud Infrastructure</t>
        </is>
      </c>
      <c r="B5" s="38" t="inlineStr">
        <is>
          <t>Infrastructure Credit</t>
        </is>
      </c>
      <c r="C5" s="57" t="n">
        <v>0</v>
      </c>
      <c r="D5" s="38" t="inlineStr">
        <is>
          <t>No infrastructure credits available</t>
        </is>
      </c>
    </row>
    <row r="6" ht="26" customHeight="1">
      <c r="A6" s="40" t="inlineStr">
        <is>
          <t>Support &amp; Maintenance</t>
        </is>
      </c>
      <c r="B6" s="41" t="inlineStr">
        <is>
          <t>Support Credit</t>
        </is>
      </c>
      <c r="C6" s="58" t="n">
        <v>0</v>
      </c>
      <c r="D6" s="41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2025-11-22T23:50:24Z</dcterms:modified>
  <cp:lastModifiedBy>Kishan Siram</cp:lastModifiedBy>
</cp:coreProperties>
</file>