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Costs'!$A$2:$K$18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Workspace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Software Licenses</t>
        </is>
      </c>
      <c r="B3" s="38" t="inlineStr">
        <is>
          <t>User Count</t>
        </is>
      </c>
      <c r="C3" s="39" t="inlineStr">
        <is>
          <t>100 users</t>
        </is>
      </c>
      <c r="D3" s="39" t="inlineStr">
        <is>
          <t>500 users</t>
        </is>
      </c>
      <c r="E3" s="39" t="inlineStr">
        <is>
          <t>2000+ users</t>
        </is>
      </c>
      <c r="F3" s="38" t="inlineStr">
        <is>
          <t>Total licensed users</t>
        </is>
      </c>
    </row>
    <row r="4" ht="26" customHeight="1">
      <c r="A4" s="40" t="inlineStr">
        <is>
          <t>Software Licenses</t>
        </is>
      </c>
      <c r="B4" s="41" t="inlineStr">
        <is>
          <t>Workspace Edition</t>
        </is>
      </c>
      <c r="C4" s="42" t="inlineStr">
        <is>
          <t>Business Standard</t>
        </is>
      </c>
      <c r="D4" s="42" t="inlineStr">
        <is>
          <t>Business Plus</t>
        </is>
      </c>
      <c r="E4" s="42" t="inlineStr">
        <is>
          <t>Enterprise Plus</t>
        </is>
      </c>
      <c r="F4" s="41" t="inlineStr">
        <is>
          <t>Feature tier and storage capacity</t>
        </is>
      </c>
    </row>
    <row r="5" ht="26" customHeight="1">
      <c r="A5" s="37" t="inlineStr">
        <is>
          <t>Software Licenses</t>
        </is>
      </c>
      <c r="B5" s="38" t="inlineStr">
        <is>
          <t>Storage per User</t>
        </is>
      </c>
      <c r="C5" s="39" t="inlineStr">
        <is>
          <t>2 TB per user</t>
        </is>
      </c>
      <c r="D5" s="39" t="inlineStr">
        <is>
          <t>5 TB per user</t>
        </is>
      </c>
      <c r="E5" s="39" t="inlineStr">
        <is>
          <t>Unlimited storage</t>
        </is>
      </c>
      <c r="F5" s="38" t="inlineStr">
        <is>
          <t>Google Drive capacity allocation</t>
        </is>
      </c>
    </row>
    <row r="6" ht="26" customHeight="1">
      <c r="A6" s="40" t="inlineStr">
        <is>
          <t>Software Licenses</t>
        </is>
      </c>
      <c r="B6" s="41" t="inlineStr">
        <is>
          <t>Google Meet Capacity</t>
        </is>
      </c>
      <c r="C6" s="42" t="inlineStr">
        <is>
          <t>150 participants</t>
        </is>
      </c>
      <c r="D6" s="42" t="inlineStr">
        <is>
          <t>500 participants</t>
        </is>
      </c>
      <c r="E6" s="42" t="inlineStr">
        <is>
          <t>500 participants + recording</t>
        </is>
      </c>
      <c r="F6" s="41" t="inlineStr">
        <is>
          <t>Video conferencing scale</t>
        </is>
      </c>
    </row>
    <row r="7" ht="26" customHeight="1">
      <c r="A7" s="37" t="inlineStr">
        <is>
          <t>Software Licenses</t>
        </is>
      </c>
      <c r="B7" s="38" t="inlineStr">
        <is>
          <t>Google Vault</t>
        </is>
      </c>
      <c r="C7" s="39" t="inlineStr">
        <is>
          <t>Not included</t>
        </is>
      </c>
      <c r="D7" s="39" t="inlineStr">
        <is>
          <t>Included</t>
        </is>
      </c>
      <c r="E7" s="39" t="inlineStr">
        <is>
          <t>Included + advanced features</t>
        </is>
      </c>
      <c r="F7" s="38" t="inlineStr">
        <is>
          <t>Email and file retention compliance</t>
        </is>
      </c>
    </row>
    <row r="8" ht="26" customHeight="1">
      <c r="A8" s="40" t="inlineStr">
        <is>
          <t>Support &amp; Maintenance</t>
        </is>
      </c>
      <c r="B8" s="41" t="inlineStr">
        <is>
          <t>Support Level</t>
        </is>
      </c>
      <c r="C8" s="42" t="inlineStr">
        <is>
          <t>Standard</t>
        </is>
      </c>
      <c r="D8" s="42" t="inlineStr">
        <is>
          <t>Enhanced</t>
        </is>
      </c>
      <c r="E8" s="42" t="inlineStr">
        <is>
          <t>Premium Support</t>
        </is>
      </c>
      <c r="F8" s="41" t="inlineStr">
        <is>
          <t>Support coverage and SLA requirements</t>
        </is>
      </c>
    </row>
    <row r="9" ht="26" customHeight="1">
      <c r="A9" s="37" t="inlineStr">
        <is>
          <t>Professional Services</t>
        </is>
      </c>
      <c r="B9" s="38" t="inlineStr">
        <is>
          <t>Migration Complexity</t>
        </is>
      </c>
      <c r="C9" s="39" t="inlineStr">
        <is>
          <t>Email only</t>
        </is>
      </c>
      <c r="D9" s="39" t="inlineStr">
        <is>
          <t>Email + Files (2 TB)</t>
        </is>
      </c>
      <c r="E9" s="39" t="inlineStr">
        <is>
          <t>Email + Files (10+ TB) + Custom</t>
        </is>
      </c>
      <c r="F9" s="38" t="inlineStr">
        <is>
          <t>Migration scope and data volume</t>
        </is>
      </c>
    </row>
    <row r="10" ht="26" customHeight="1">
      <c r="A10" s="40" t="inlineStr">
        <is>
          <t>Professional Services</t>
        </is>
      </c>
      <c r="B10" s="41" t="inlineStr">
        <is>
          <t>Training Scope</t>
        </is>
      </c>
      <c r="C10" s="42" t="inlineStr">
        <is>
          <t>Self-service</t>
        </is>
      </c>
      <c r="D10" s="42" t="inlineStr">
        <is>
          <t>Virtual training</t>
        </is>
      </c>
      <c r="E10" s="42" t="inlineStr">
        <is>
          <t>In-person + virtual + e-learning</t>
        </is>
      </c>
      <c r="F10" s="41" t="inlineStr">
        <is>
          <t>User enablement approach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Google Workspace Business Plus</t>
        </is>
      </c>
      <c r="C3" s="44" t="inlineStr">
        <is>
          <t>Business Plus edition (500 users @ $18/user/month)</t>
        </is>
      </c>
      <c r="D3" s="45" t="n">
        <v>500</v>
      </c>
      <c r="E3" s="44" t="inlineStr">
        <is>
          <t>Users/Month</t>
        </is>
      </c>
      <c r="F3" s="46" t="n">
        <v>18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Core productivity suite</t>
        </is>
      </c>
    </row>
    <row r="4" ht="26" customHeight="1">
      <c r="A4" s="47" t="inlineStr">
        <is>
          <t>Software Licenses</t>
        </is>
      </c>
      <c r="B4" s="48" t="inlineStr">
        <is>
          <t>Google Vault</t>
        </is>
      </c>
      <c r="C4" s="48" t="inlineStr">
        <is>
          <t>eDiscovery and retention (included in Business Plus)</t>
        </is>
      </c>
      <c r="D4" s="49" t="n">
        <v>500</v>
      </c>
      <c r="E4" s="48" t="inlineStr">
        <is>
          <t>Users/Month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Legal hold and compliance</t>
        </is>
      </c>
    </row>
    <row r="5" ht="26" customHeight="1">
      <c r="A5" s="43" t="inlineStr">
        <is>
          <t>Software Licenses</t>
        </is>
      </c>
      <c r="B5" s="44" t="inlineStr">
        <is>
          <t>Cloud Identity Premium</t>
        </is>
      </c>
      <c r="C5" s="44" t="inlineStr">
        <is>
          <t>Advanced identity and endpoint management (100 admins)</t>
        </is>
      </c>
      <c r="D5" s="45" t="n">
        <v>100</v>
      </c>
      <c r="E5" s="44" t="inlineStr">
        <is>
          <t>Users/Month</t>
        </is>
      </c>
      <c r="F5" s="46" t="n">
        <v>6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Enhanced security and device management</t>
        </is>
      </c>
    </row>
    <row r="6" ht="26" customHeight="1">
      <c r="A6" s="47" t="inlineStr">
        <is>
          <t>Professional Services</t>
        </is>
      </c>
      <c r="B6" s="48" t="inlineStr">
        <is>
          <t>Migration Planning and Design</t>
        </is>
      </c>
      <c r="C6" s="48" t="inlineStr">
        <is>
          <t>Requirements gathering and migration strategy</t>
        </is>
      </c>
      <c r="D6" s="49" t="n">
        <v>40</v>
      </c>
      <c r="E6" s="48" t="inlineStr">
        <is>
          <t>Hours</t>
        </is>
      </c>
      <c r="F6" s="50" t="n">
        <v>200</v>
      </c>
      <c r="G6" s="50">
        <f>D6*F6</f>
        <v/>
      </c>
      <c r="H6" s="50">
        <f>0</f>
        <v/>
      </c>
      <c r="I6" s="50">
        <f>0</f>
        <v/>
      </c>
      <c r="J6" s="50">
        <f>G6</f>
        <v/>
      </c>
      <c r="K6" s="48" t="inlineStr">
        <is>
          <t>One-time planning effort</t>
        </is>
      </c>
    </row>
    <row r="7" ht="26" customHeight="1">
      <c r="A7" s="43" t="inlineStr">
        <is>
          <t>Professional Services</t>
        </is>
      </c>
      <c r="B7" s="44" t="inlineStr">
        <is>
          <t>Email Migration from Exchange</t>
        </is>
      </c>
      <c r="C7" s="44" t="inlineStr">
        <is>
          <t>Mailbox migration (500 users avg 5 GB each)</t>
        </is>
      </c>
      <c r="D7" s="45" t="n">
        <v>500</v>
      </c>
      <c r="E7" s="44" t="inlineStr">
        <is>
          <t>Mailboxes</t>
        </is>
      </c>
      <c r="F7" s="46" t="n">
        <v>40</v>
      </c>
      <c r="G7" s="46">
        <f>D7*F7</f>
        <v/>
      </c>
      <c r="H7" s="46">
        <f>0</f>
        <v/>
      </c>
      <c r="I7" s="46">
        <f>0</f>
        <v/>
      </c>
      <c r="J7" s="46">
        <f>G7</f>
        <v/>
      </c>
      <c r="K7" s="44" t="inlineStr">
        <is>
          <t>Email data migration</t>
        </is>
      </c>
    </row>
    <row r="8" ht="26" customHeight="1">
      <c r="A8" s="47" t="inlineStr">
        <is>
          <t>Professional Services</t>
        </is>
      </c>
      <c r="B8" s="48" t="inlineStr">
        <is>
          <t>File Migration to Drive</t>
        </is>
      </c>
      <c r="C8" s="48" t="inlineStr">
        <is>
          <t>File server to Google Drive migration (3 TB total)</t>
        </is>
      </c>
      <c r="D8" s="49" t="n">
        <v>3000</v>
      </c>
      <c r="E8" s="48" t="inlineStr">
        <is>
          <t>GB</t>
        </is>
      </c>
      <c r="F8" s="50" t="n">
        <v>10</v>
      </c>
      <c r="G8" s="50">
        <f>D8*F8</f>
        <v/>
      </c>
      <c r="H8" s="50">
        <f>0</f>
        <v/>
      </c>
      <c r="I8" s="50">
        <f>0</f>
        <v/>
      </c>
      <c r="J8" s="50">
        <f>G8</f>
        <v/>
      </c>
      <c r="K8" s="48" t="inlineStr">
        <is>
          <t>File data migration</t>
        </is>
      </c>
    </row>
    <row r="9" ht="26" customHeight="1">
      <c r="A9" s="43" t="inlineStr">
        <is>
          <t>Professional Services</t>
        </is>
      </c>
      <c r="B9" s="44" t="inlineStr">
        <is>
          <t>Calendar and Contacts Migration</t>
        </is>
      </c>
      <c r="C9" s="44" t="inlineStr">
        <is>
          <t>Calendar and contact migration (500 users)</t>
        </is>
      </c>
      <c r="D9" s="45" t="n">
        <v>500</v>
      </c>
      <c r="E9" s="44" t="inlineStr">
        <is>
          <t>Users</t>
        </is>
      </c>
      <c r="F9" s="46" t="n">
        <v>8</v>
      </c>
      <c r="G9" s="46">
        <f>D9*F9</f>
        <v/>
      </c>
      <c r="H9" s="46">
        <f>0</f>
        <v/>
      </c>
      <c r="I9" s="46">
        <f>0</f>
        <v/>
      </c>
      <c r="J9" s="46">
        <f>G9</f>
        <v/>
      </c>
      <c r="K9" s="44" t="inlineStr">
        <is>
          <t>Schedule and contact data</t>
        </is>
      </c>
    </row>
    <row r="10" ht="26" customHeight="1">
      <c r="A10" s="47" t="inlineStr">
        <is>
          <t>Professional Services</t>
        </is>
      </c>
      <c r="B10" s="48" t="inlineStr">
        <is>
          <t>Distribution List Migration</t>
        </is>
      </c>
      <c r="C10" s="48" t="inlineStr">
        <is>
          <t>Group and distribution list migration (150 groups)</t>
        </is>
      </c>
      <c r="D10" s="49" t="n">
        <v>150</v>
      </c>
      <c r="E10" s="48" t="inlineStr">
        <is>
          <t>Groups</t>
        </is>
      </c>
      <c r="F10" s="50" t="n">
        <v>15</v>
      </c>
      <c r="G10" s="50">
        <f>D10*F10</f>
        <v/>
      </c>
      <c r="H10" s="50">
        <f>0</f>
        <v/>
      </c>
      <c r="I10" s="50">
        <f>0</f>
        <v/>
      </c>
      <c r="J10" s="50">
        <f>G10</f>
        <v/>
      </c>
      <c r="K10" s="48" t="inlineStr">
        <is>
          <t>Email group configuration</t>
        </is>
      </c>
    </row>
    <row r="11" ht="26" customHeight="1">
      <c r="A11" s="43" t="inlineStr">
        <is>
          <t>Professional Services</t>
        </is>
      </c>
      <c r="B11" s="44" t="inlineStr">
        <is>
          <t>Configuration and Setup</t>
        </is>
      </c>
      <c r="C11" s="44" t="inlineStr">
        <is>
          <t>Google Admin console and security configuration</t>
        </is>
      </c>
      <c r="D11" s="45" t="n">
        <v>32</v>
      </c>
      <c r="E11" s="44" t="inlineStr">
        <is>
          <t>Hours</t>
        </is>
      </c>
      <c r="F11" s="46" t="n">
        <v>175</v>
      </c>
      <c r="G11" s="46">
        <f>D11*F11</f>
        <v/>
      </c>
      <c r="H11" s="46">
        <f>0</f>
        <v/>
      </c>
      <c r="I11" s="46">
        <f>0</f>
        <v/>
      </c>
      <c r="J11" s="46">
        <f>G11</f>
        <v/>
      </c>
      <c r="K11" s="44" t="inlineStr">
        <is>
          <t>Platform configuration</t>
        </is>
      </c>
    </row>
    <row r="12" ht="26" customHeight="1">
      <c r="A12" s="47" t="inlineStr">
        <is>
          <t>Professional Services</t>
        </is>
      </c>
      <c r="B12" s="48" t="inlineStr">
        <is>
          <t>SSO and Identity Integration</t>
        </is>
      </c>
      <c r="C12" s="48" t="inlineStr">
        <is>
          <t>SAML SSO and directory sync configuration</t>
        </is>
      </c>
      <c r="D12" s="49" t="n">
        <v>24</v>
      </c>
      <c r="E12" s="48" t="inlineStr">
        <is>
          <t>Hours</t>
        </is>
      </c>
      <c r="F12" s="50" t="n">
        <v>200</v>
      </c>
      <c r="G12" s="50">
        <f>D12*F12</f>
        <v/>
      </c>
      <c r="H12" s="50">
        <f>0</f>
        <v/>
      </c>
      <c r="I12" s="50">
        <f>0</f>
        <v/>
      </c>
      <c r="J12" s="50">
        <f>G12</f>
        <v/>
      </c>
      <c r="K12" s="48" t="inlineStr">
        <is>
          <t>Identity provider integration</t>
        </is>
      </c>
    </row>
    <row r="13" ht="26" customHeight="1">
      <c r="A13" s="43" t="inlineStr">
        <is>
          <t>Professional Services</t>
        </is>
      </c>
      <c r="B13" s="44" t="inlineStr">
        <is>
          <t>Security Policy Configuration</t>
        </is>
      </c>
      <c r="C13" s="44" t="inlineStr">
        <is>
          <t>DLP policies mobile management endpoint controls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</f>
        <v/>
      </c>
      <c r="K13" s="44" t="inlineStr">
        <is>
          <t>Security hardening</t>
        </is>
      </c>
    </row>
    <row r="14" ht="26" customHeight="1">
      <c r="A14" s="47" t="inlineStr">
        <is>
          <t>Professional Services</t>
        </is>
      </c>
      <c r="B14" s="48" t="inlineStr">
        <is>
          <t>Administrator Training</t>
        </is>
      </c>
      <c r="C14" s="48" t="inlineStr">
        <is>
          <t>Google Admin console and GAM training (2 days)</t>
        </is>
      </c>
      <c r="D14" s="49" t="n">
        <v>16</v>
      </c>
      <c r="E14" s="48" t="inlineStr">
        <is>
          <t>Hours</t>
        </is>
      </c>
      <c r="F14" s="50" t="n">
        <v>150</v>
      </c>
      <c r="G14" s="50">
        <f>D14*F14</f>
        <v/>
      </c>
      <c r="H14" s="50">
        <f>0</f>
        <v/>
      </c>
      <c r="I14" s="50">
        <f>0</f>
        <v/>
      </c>
      <c r="J14" s="50">
        <f>G14</f>
        <v/>
      </c>
      <c r="K14" s="48" t="inlineStr">
        <is>
          <t>Admin enablement</t>
        </is>
      </c>
    </row>
    <row r="15" ht="26" customHeight="1">
      <c r="A15" s="43" t="inlineStr">
        <is>
          <t>Professional Services</t>
        </is>
      </c>
      <c r="B15" s="44" t="inlineStr">
        <is>
          <t>End User Training</t>
        </is>
      </c>
      <c r="C15" s="44" t="inlineStr">
        <is>
          <t>Virtual training sessions (10 sessions @ 4 hours each)</t>
        </is>
      </c>
      <c r="D15" s="45" t="n">
        <v>40</v>
      </c>
      <c r="E15" s="44" t="inlineStr">
        <is>
          <t>Hours</t>
        </is>
      </c>
      <c r="F15" s="46" t="n">
        <v>125</v>
      </c>
      <c r="G15" s="46">
        <f>D15*F15</f>
        <v/>
      </c>
      <c r="H15" s="46">
        <f>0</f>
        <v/>
      </c>
      <c r="I15" s="46">
        <f>0</f>
        <v/>
      </c>
      <c r="J15" s="46">
        <f>G15</f>
        <v/>
      </c>
      <c r="K15" s="44" t="inlineStr">
        <is>
          <t>User enablement</t>
        </is>
      </c>
    </row>
    <row r="16" ht="26" customHeight="1">
      <c r="A16" s="47" t="inlineStr">
        <is>
          <t>Professional Services</t>
        </is>
      </c>
      <c r="B16" s="48" t="inlineStr">
        <is>
          <t>Training Materials Development</t>
        </is>
      </c>
      <c r="C16" s="48" t="inlineStr">
        <is>
          <t>Custom quick start guides and video tutorials</t>
        </is>
      </c>
      <c r="D16" s="49" t="n">
        <v>24</v>
      </c>
      <c r="E16" s="48" t="inlineStr">
        <is>
          <t>Hours</t>
        </is>
      </c>
      <c r="F16" s="50" t="n">
        <v>140</v>
      </c>
      <c r="G16" s="50">
        <f>D16*F16</f>
        <v/>
      </c>
      <c r="H16" s="50">
        <f>0</f>
        <v/>
      </c>
      <c r="I16" s="50">
        <f>0</f>
        <v/>
      </c>
      <c r="J16" s="50">
        <f>G16</f>
        <v/>
      </c>
      <c r="K16" s="48" t="inlineStr">
        <is>
          <t>Documentation creation</t>
        </is>
      </c>
    </row>
    <row r="17" ht="26" customHeight="1">
      <c r="A17" s="43" t="inlineStr">
        <is>
          <t>Professional Services</t>
        </is>
      </c>
      <c r="B17" s="44" t="inlineStr">
        <is>
          <t>Go-Live Support</t>
        </is>
      </c>
      <c r="C17" s="44" t="inlineStr">
        <is>
          <t>Post-migration support (2 weeks)</t>
        </is>
      </c>
      <c r="D17" s="45" t="n">
        <v>80</v>
      </c>
      <c r="E17" s="44" t="inlineStr">
        <is>
          <t>Hours</t>
        </is>
      </c>
      <c r="F17" s="46" t="n">
        <v>110</v>
      </c>
      <c r="G17" s="46">
        <f>D17*F17</f>
        <v/>
      </c>
      <c r="H17" s="46">
        <f>0</f>
        <v/>
      </c>
      <c r="I17" s="46">
        <f>0</f>
        <v/>
      </c>
      <c r="J17" s="46">
        <f>G17</f>
        <v/>
      </c>
      <c r="K17" s="44" t="inlineStr">
        <is>
          <t>Hypercare period support</t>
        </is>
      </c>
    </row>
    <row r="18" ht="26" customHeight="1">
      <c r="A18" s="51" t="inlineStr">
        <is>
          <t>TOTAL</t>
        </is>
      </c>
      <c r="B18" s="52" t="n"/>
      <c r="C18" s="52" t="n"/>
      <c r="D18" s="52" t="n"/>
      <c r="E18" s="52" t="n"/>
      <c r="F18" s="52" t="n"/>
      <c r="G18" s="53">
        <f>SUM(G3:G17)</f>
        <v/>
      </c>
      <c r="H18" s="53">
        <f>SUM(H3:H17)</f>
        <v/>
      </c>
      <c r="I18" s="53">
        <f>SUM(I3:I17)</f>
        <v/>
      </c>
      <c r="J18" s="53">
        <f>SUM(J3:J17)</f>
        <v/>
      </c>
      <c r="K18" s="52" t="n"/>
    </row>
  </sheetData>
  <autoFilter ref="A2:K18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Google Workspace Promo</t>
        </is>
      </c>
      <c r="C3" s="46" t="n">
        <v>-10000</v>
      </c>
      <c r="D3" s="44" t="inlineStr">
        <is>
          <t>First 3 months free for new customers (500 users @ $18/mo)</t>
        </is>
      </c>
    </row>
    <row r="4" ht="26" customHeight="1">
      <c r="A4" s="47" t="inlineStr">
        <is>
          <t>Professional Services</t>
        </is>
      </c>
      <c r="B4" s="48" t="inlineStr">
        <is>
          <t>Migration Credit</t>
        </is>
      </c>
      <c r="C4" s="50" t="n">
        <v>-3000</v>
      </c>
      <c r="D4" s="48" t="inlineStr">
        <is>
          <t>Partner migration services discount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Cloud Infrastructure</t>
        </is>
      </c>
      <c r="B6" s="48" t="inlineStr">
        <is>
          <t>Infrastructure Credit</t>
        </is>
      </c>
      <c r="C6" s="50" t="n">
        <v>0</v>
      </c>
      <c r="D6" s="48" t="inlineStr">
        <is>
          <t>No infrastructure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Cloud Infrastructure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2025-11-22T19:59:10Z</dcterms:modified>
  <cp:lastModifiedBy>Kishan Siram</cp:lastModifiedBy>
</cp:coreProperties>
</file>