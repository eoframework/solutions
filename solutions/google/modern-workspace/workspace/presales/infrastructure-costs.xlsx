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Costs'!$A$2:$K$6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Workspace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Software Licenses</t>
        </is>
      </c>
      <c r="B3" s="38" t="inlineStr">
        <is>
          <t>User Count</t>
        </is>
      </c>
      <c r="C3" s="39" t="inlineStr">
        <is>
          <t>100 users</t>
        </is>
      </c>
      <c r="D3" s="39" t="inlineStr">
        <is>
          <t>500 users</t>
        </is>
      </c>
      <c r="E3" s="39" t="inlineStr">
        <is>
          <t>2000+ users</t>
        </is>
      </c>
      <c r="F3" s="38" t="inlineStr">
        <is>
          <t>Total licensed users</t>
        </is>
      </c>
    </row>
    <row r="4" ht="26" customHeight="1">
      <c r="A4" s="40" t="inlineStr">
        <is>
          <t>Software Licenses</t>
        </is>
      </c>
      <c r="B4" s="41" t="inlineStr">
        <is>
          <t>Workspace Edition</t>
        </is>
      </c>
      <c r="C4" s="42" t="inlineStr">
        <is>
          <t>Business Standard</t>
        </is>
      </c>
      <c r="D4" s="42" t="inlineStr">
        <is>
          <t>Business Plus</t>
        </is>
      </c>
      <c r="E4" s="42" t="inlineStr">
        <is>
          <t>Enterprise Plus</t>
        </is>
      </c>
      <c r="F4" s="41" t="inlineStr">
        <is>
          <t>Feature tier and storage capacity</t>
        </is>
      </c>
    </row>
    <row r="5" ht="26" customHeight="1">
      <c r="A5" s="37" t="inlineStr">
        <is>
          <t>Software Licenses</t>
        </is>
      </c>
      <c r="B5" s="38" t="inlineStr">
        <is>
          <t>Storage per User</t>
        </is>
      </c>
      <c r="C5" s="39" t="inlineStr">
        <is>
          <t>2 TB per user</t>
        </is>
      </c>
      <c r="D5" s="39" t="inlineStr">
        <is>
          <t>5 TB per user</t>
        </is>
      </c>
      <c r="E5" s="39" t="inlineStr">
        <is>
          <t>Unlimited storage</t>
        </is>
      </c>
      <c r="F5" s="38" t="inlineStr">
        <is>
          <t>Google Drive capacity allocation</t>
        </is>
      </c>
    </row>
    <row r="6" ht="26" customHeight="1">
      <c r="A6" s="40" t="inlineStr">
        <is>
          <t>Software Licenses</t>
        </is>
      </c>
      <c r="B6" s="41" t="inlineStr">
        <is>
          <t>Google Meet Capacity</t>
        </is>
      </c>
      <c r="C6" s="42" t="inlineStr">
        <is>
          <t>150 participants</t>
        </is>
      </c>
      <c r="D6" s="42" t="inlineStr">
        <is>
          <t>500 participants</t>
        </is>
      </c>
      <c r="E6" s="42" t="inlineStr">
        <is>
          <t>500 participants + recording</t>
        </is>
      </c>
      <c r="F6" s="41" t="inlineStr">
        <is>
          <t>Video conferencing scale</t>
        </is>
      </c>
    </row>
    <row r="7" ht="26" customHeight="1">
      <c r="A7" s="37" t="inlineStr">
        <is>
          <t>Software Licenses</t>
        </is>
      </c>
      <c r="B7" s="38" t="inlineStr">
        <is>
          <t>Google Vault</t>
        </is>
      </c>
      <c r="C7" s="39" t="inlineStr">
        <is>
          <t>Not included</t>
        </is>
      </c>
      <c r="D7" s="39" t="inlineStr">
        <is>
          <t>Included</t>
        </is>
      </c>
      <c r="E7" s="39" t="inlineStr">
        <is>
          <t>Included + advanced features</t>
        </is>
      </c>
      <c r="F7" s="38" t="inlineStr">
        <is>
          <t>Email and file retention compliance</t>
        </is>
      </c>
    </row>
    <row r="8" ht="26" customHeight="1">
      <c r="A8" s="40" t="inlineStr">
        <is>
          <t>Support &amp; Maintenance</t>
        </is>
      </c>
      <c r="B8" s="41" t="inlineStr">
        <is>
          <t>Support Level</t>
        </is>
      </c>
      <c r="C8" s="42" t="inlineStr">
        <is>
          <t>Standard</t>
        </is>
      </c>
      <c r="D8" s="42" t="inlineStr">
        <is>
          <t>Enhanced</t>
        </is>
      </c>
      <c r="E8" s="42" t="inlineStr">
        <is>
          <t>Premium Support</t>
        </is>
      </c>
      <c r="F8" s="41" t="inlineStr">
        <is>
          <t>Support coverage and SLA requirements</t>
        </is>
      </c>
    </row>
    <row r="9" ht="26" customHeight="1">
      <c r="A9" s="37" t="inlineStr">
        <is>
          <t>Professional Services</t>
        </is>
      </c>
      <c r="B9" s="38" t="inlineStr">
        <is>
          <t>Migration Complexity</t>
        </is>
      </c>
      <c r="C9" s="39" t="inlineStr">
        <is>
          <t>Email only</t>
        </is>
      </c>
      <c r="D9" s="39" t="inlineStr">
        <is>
          <t>Email + Files (2 TB)</t>
        </is>
      </c>
      <c r="E9" s="39" t="inlineStr">
        <is>
          <t>Email + Files (10+ TB) + Custom</t>
        </is>
      </c>
      <c r="F9" s="38" t="inlineStr">
        <is>
          <t>Migration scope and data volume</t>
        </is>
      </c>
    </row>
    <row r="10" ht="26" customHeight="1">
      <c r="A10" s="40" t="inlineStr">
        <is>
          <t>Professional Services</t>
        </is>
      </c>
      <c r="B10" s="41" t="inlineStr">
        <is>
          <t>Training Scope</t>
        </is>
      </c>
      <c r="C10" s="42" t="inlineStr">
        <is>
          <t>Self-service</t>
        </is>
      </c>
      <c r="D10" s="42" t="inlineStr">
        <is>
          <t>Virtual training</t>
        </is>
      </c>
      <c r="E10" s="42" t="inlineStr">
        <is>
          <t>In-person + virtual + e-learning</t>
        </is>
      </c>
      <c r="F10" s="41" t="inlineStr">
        <is>
          <t>User enablement approach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Google Workspace Business Plus</t>
        </is>
      </c>
      <c r="C3" s="44" t="inlineStr">
        <is>
          <t>Business Plus edition (500 users @ $18/user/month)</t>
        </is>
      </c>
      <c r="D3" s="45" t="n">
        <v>500</v>
      </c>
      <c r="E3" s="44" t="inlineStr">
        <is>
          <t>Users/Month</t>
        </is>
      </c>
      <c r="F3" s="46" t="n">
        <v>18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Core productivity suite</t>
        </is>
      </c>
    </row>
    <row r="4" ht="26" customHeight="1">
      <c r="A4" s="47" t="inlineStr">
        <is>
          <t>Software Licenses</t>
        </is>
      </c>
      <c r="B4" s="48" t="inlineStr">
        <is>
          <t>Google Vault</t>
        </is>
      </c>
      <c r="C4" s="48" t="inlineStr">
        <is>
          <t>eDiscovery and retention (included in Business Plus)</t>
        </is>
      </c>
      <c r="D4" s="49" t="n">
        <v>500</v>
      </c>
      <c r="E4" s="48" t="inlineStr">
        <is>
          <t>Users/Month</t>
        </is>
      </c>
      <c r="F4" s="50" t="n">
        <v>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Legal hold and compliance</t>
        </is>
      </c>
    </row>
    <row r="5" ht="26" customHeight="1">
      <c r="A5" s="43" t="inlineStr">
        <is>
          <t>Software Licenses</t>
        </is>
      </c>
      <c r="B5" s="44" t="inlineStr">
        <is>
          <t>Cloud Identity Premium</t>
        </is>
      </c>
      <c r="C5" s="44" t="inlineStr">
        <is>
          <t>Advanced identity and endpoint management (100 admins)</t>
        </is>
      </c>
      <c r="D5" s="45" t="n">
        <v>100</v>
      </c>
      <c r="E5" s="44" t="inlineStr">
        <is>
          <t>Users/Month</t>
        </is>
      </c>
      <c r="F5" s="46" t="n">
        <v>6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Enhanced security and device management</t>
        </is>
      </c>
    </row>
    <row r="6" ht="26" customHeight="1">
      <c r="A6" s="51" t="inlineStr">
        <is>
          <t>TOTAL</t>
        </is>
      </c>
      <c r="B6" s="52" t="n"/>
      <c r="C6" s="52" t="n"/>
      <c r="D6" s="52" t="n"/>
      <c r="E6" s="52" t="n"/>
      <c r="F6" s="52" t="n"/>
      <c r="G6" s="53">
        <f>SUM(G3:G5)</f>
        <v/>
      </c>
      <c r="H6" s="53">
        <f>SUM(H3:H5)</f>
        <v/>
      </c>
      <c r="I6" s="53">
        <f>SUM(I3:I5)</f>
        <v/>
      </c>
      <c r="J6" s="53">
        <f>SUM(J3:J5)</f>
        <v/>
      </c>
      <c r="K6" s="52" t="n"/>
    </row>
  </sheetData>
  <autoFilter ref="A2:K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Google Workspace Promo</t>
        </is>
      </c>
      <c r="C3" s="46" t="n">
        <v>-10000</v>
      </c>
      <c r="D3" s="44" t="inlineStr">
        <is>
          <t>First 3 months free for new customers (500 users @ $18/mo)</t>
        </is>
      </c>
    </row>
    <row r="4" ht="26" customHeight="1">
      <c r="A4" s="47" t="inlineStr">
        <is>
          <t>Professional Services</t>
        </is>
      </c>
      <c r="B4" s="48" t="inlineStr">
        <is>
          <t>Migration Credit</t>
        </is>
      </c>
      <c r="C4" s="50" t="n">
        <v>-3000</v>
      </c>
      <c r="D4" s="48" t="inlineStr">
        <is>
          <t>Partner migration services discount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Cloud Services</t>
        </is>
      </c>
      <c r="B6" s="48" t="inlineStr">
        <is>
          <t>Infrastructure Credit</t>
        </is>
      </c>
      <c r="C6" s="50" t="n">
        <v>0</v>
      </c>
      <c r="D6" s="48" t="inlineStr">
        <is>
          <t>No infrastructure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Services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Professional Services</t>
        </is>
      </c>
      <c r="B6" s="53">
        <f>SUMIF('Infrastructure Costs'!$A:$A,A6,'Infrastructure Costs'!$G:$G)</f>
        <v/>
      </c>
      <c r="C6" s="53">
        <f>SUMIF(Credits!$A:$A,A6,Credits!$C:$C)</f>
        <v/>
      </c>
      <c r="D6" s="53">
        <f>B6+C6</f>
        <v/>
      </c>
      <c r="E6" s="53">
        <f>SUMIF('Infrastructure Costs'!$A:$A,A6,'Infrastructure Costs'!$H:$H)</f>
        <v/>
      </c>
      <c r="F6" s="53">
        <f>SUMIF('Infrastructure Costs'!$A:$A,A6,'Infrastructure Costs'!$I:$I)</f>
        <v/>
      </c>
      <c r="G6" s="53">
        <f>D6+E6+F6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SUM(G3:G6)</f>
        <v/>
      </c>
    </row>
    <row r="8"/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2025-11-26T16:03:59Z</dcterms:modified>
  <cp:lastModifiedBy>Kishan Siram</cp:lastModifiedBy>
</cp:coreProperties>
</file>