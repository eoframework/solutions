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Assumptions'!$A$2:$H$18</definedName>
    <definedName name="_xlnm._FilterDatabase" localSheetId="2" hidden="1">'Estimate Settings'!$A$2:$E$11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Ai - Intelligent Document Processing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2-3 document types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AWS Textract/Comprehend only</t>
        </is>
      </c>
      <c r="D4" s="41" t="inlineStr">
        <is>
          <t>AWS Textract/Comprehend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S3 and email ingestion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1000-5000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AWS region (us-east-1)</t>
        </is>
      </c>
      <c r="D11" s="38" t="inlineStr">
        <is>
          <t>Single AWS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(Lambda S3 Textract)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AWS Lambda S3 Textract Comprehend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IAM SSE-S3</t>
        </is>
      </c>
      <c r="D14" s="41" t="inlineStr">
        <is>
          <t>Basic encryption IAM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Standard 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AWS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(AWS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IDP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requirements documentation and document processing workflow analysis</t>
        </is>
      </c>
    </row>
    <row r="4" ht="26" customHeight="1">
      <c r="A4" s="51" t="inlineStr">
        <is>
          <t>Discovery</t>
        </is>
      </c>
      <c r="B4" s="52" t="inlineStr">
        <is>
          <t>Document Analysis</t>
        </is>
      </c>
      <c r="C4" s="52" t="inlineStr">
        <is>
          <t>Analyze document types volumes and data extraction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document samples for each document type</t>
        </is>
      </c>
    </row>
    <row r="5" ht="26" customHeight="1">
      <c r="A5" s="45" t="inlineStr">
        <is>
          <t>Discovery</t>
        </is>
      </c>
      <c r="B5" s="46" t="inlineStr">
        <is>
          <t>AWS Environment Assessment</t>
        </is>
      </c>
      <c r="C5" s="46" t="inlineStr">
        <is>
          <t>Evaluate AWS infrastructure and AI/ML services readiness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AWS account access and service limits information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data privacy compliance and security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PII/PHI handling requirements and document retention policies</t>
        </is>
      </c>
    </row>
    <row r="7" ht="26" customHeight="1">
      <c r="A7" s="45" t="inlineStr">
        <is>
          <t>Planning</t>
        </is>
      </c>
      <c r="B7" s="46" t="inlineStr">
        <is>
          <t>IDP Solution Design</t>
        </is>
      </c>
      <c r="C7" s="46" t="inlineStr">
        <is>
          <t>Design AWS AI/ML architecture with Textract Comprehend A2I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AWS architecture diagram with AI/ML service integration design</t>
        </is>
      </c>
    </row>
    <row r="8" ht="26" customHeight="1">
      <c r="A8" s="51" t="inlineStr">
        <is>
          <t>Planning</t>
        </is>
      </c>
      <c r="B8" s="52" t="inlineStr">
        <is>
          <t>Data Flow Design</t>
        </is>
      </c>
      <c r="C8" s="52" t="inlineStr">
        <is>
          <t>Design document ingestion processing and output workflows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Document Analysis</t>
        </is>
      </c>
      <c r="K8" s="52" t="inlineStr">
        <is>
          <t>Deliverable: Document processing workflow and data flow diagrams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security controls encryption and access for documents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Compliance Review</t>
        </is>
      </c>
      <c r="K9" s="46" t="inlineStr">
        <is>
          <t>Document encryption at rest/transit IAM roles and audit logging design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IDP Solution Design</t>
        </is>
      </c>
      <c r="K10" s="52" t="inlineStr">
        <is>
          <t>Deliverable: Project plan with phased rollout and milestone schedule</t>
        </is>
      </c>
    </row>
    <row r="11" ht="26" customHeight="1">
      <c r="A11" s="45" t="inlineStr">
        <is>
          <t>Development</t>
        </is>
      </c>
      <c r="B11" s="46" t="inlineStr">
        <is>
          <t>AWS Infrastructure Setup</t>
        </is>
      </c>
      <c r="C11" s="46" t="inlineStr">
        <is>
          <t>Provision Textract Comprehend S3 Lambda and supporting services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IDP Solution Design</t>
        </is>
      </c>
      <c r="K11" s="46" t="inlineStr">
        <is>
          <t>Includes S3 buckets Lambda functions API Gateway and CloudWatch setup</t>
        </is>
      </c>
    </row>
    <row r="12" ht="26" customHeight="1">
      <c r="A12" s="51" t="inlineStr">
        <is>
          <t>Development</t>
        </is>
      </c>
      <c r="B12" s="52" t="inlineStr">
        <is>
          <t>Document Processing Pipeline</t>
        </is>
      </c>
      <c r="C12" s="52" t="inlineStr">
        <is>
          <t>Build document ingestion and processing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130</v>
      </c>
      <c r="I12" s="55">
        <f>TEXT($G12*$H12,"$#,##0")</f>
        <v/>
      </c>
      <c r="J12" s="52" t="inlineStr">
        <is>
          <t>AWS Infrastructure Setup</t>
        </is>
      </c>
      <c r="K12" s="52" t="inlineStr">
        <is>
          <t>Serverless event-driven pipeline with error handling and retry logic</t>
        </is>
      </c>
    </row>
    <row r="13" ht="26" customHeight="1">
      <c r="A13" s="45" t="inlineStr">
        <is>
          <t>Development</t>
        </is>
      </c>
      <c r="B13" s="46" t="inlineStr">
        <is>
          <t>AI/ML Model Integration</t>
        </is>
      </c>
      <c r="C13" s="46" t="inlineStr">
        <is>
          <t>Integrate AWS Textract Comprehend and A2I services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Document Processing Pipeline</t>
        </is>
      </c>
      <c r="K13" s="46" t="inlineStr">
        <is>
          <t>Configure Textract APIs Comprehend entity recognition and A2I workflows</t>
        </is>
      </c>
    </row>
    <row r="14" ht="26" customHeight="1">
      <c r="A14" s="51" t="inlineStr">
        <is>
          <t>Development</t>
        </is>
      </c>
      <c r="B14" s="52" t="inlineStr">
        <is>
          <t>Custom Classification Models</t>
        </is>
      </c>
      <c r="C14" s="52" t="inlineStr">
        <is>
          <t>Develop minimal classification logic for 2-3 document types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AI/ML Model Integration</t>
        </is>
      </c>
      <c r="K14" s="52" t="inlineStr">
        <is>
          <t>Simple classification using AWS pre-built services - not full custom ML models</t>
        </is>
      </c>
    </row>
    <row r="15" ht="26" customHeight="1">
      <c r="A15" s="45" t="inlineStr">
        <is>
          <t>Development</t>
        </is>
      </c>
      <c r="B15" s="46" t="inlineStr">
        <is>
          <t>Data Extraction Logic</t>
        </is>
      </c>
      <c r="C15" s="46" t="inlineStr">
        <is>
          <t>Build structured data extraction and validation logic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130</v>
      </c>
      <c r="I15" s="49">
        <f>TEXT($G15*$H15,"$#,##0")</f>
        <v/>
      </c>
      <c r="J15" s="46" t="inlineStr">
        <is>
          <t>Custom Classification Models</t>
        </is>
      </c>
      <c r="K15" s="46" t="inlineStr">
        <is>
          <t>Includes field validation business rules and confidence scoring</t>
        </is>
      </c>
    </row>
    <row r="16" ht="26" customHeight="1">
      <c r="A16" s="51" t="inlineStr">
        <is>
          <t>Development</t>
        </is>
      </c>
      <c r="B16" s="52" t="inlineStr">
        <is>
          <t>API Development</t>
        </is>
      </c>
      <c r="C16" s="52" t="inlineStr">
        <is>
          <t>Create REST APIs for document submission and retrieval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125</v>
      </c>
      <c r="I16" s="55">
        <f>TEXT($G16*$H16,"$#,##0")</f>
        <v/>
      </c>
      <c r="J16" s="52" t="inlineStr">
        <is>
          <t>Data Extraction Logic</t>
        </is>
      </c>
      <c r="K16" s="52" t="inlineStr">
        <is>
          <t>API Gateway endpoints with authentication and rate limiting</t>
        </is>
      </c>
    </row>
    <row r="17" ht="26" customHeight="1">
      <c r="A17" s="45" t="inlineStr">
        <is>
          <t>Development</t>
        </is>
      </c>
      <c r="B17" s="46" t="inlineStr">
        <is>
          <t>Web Interface</t>
        </is>
      </c>
      <c r="C17" s="46" t="inlineStr">
        <is>
          <t>Build document upload and results viewing interface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125</v>
      </c>
      <c r="I17" s="49">
        <f>TEXT($G17*$H17,"$#,##0")</f>
        <v/>
      </c>
      <c r="J17" s="46" t="inlineStr">
        <is>
          <t>API Development</t>
        </is>
      </c>
      <c r="K17" s="46" t="inlineStr">
        <is>
          <t>Simple upload UI with drag-drop and results dashboard - not full application</t>
        </is>
      </c>
    </row>
    <row r="18" ht="26" customHeight="1">
      <c r="A18" s="51" t="inlineStr">
        <is>
          <t>Testing</t>
        </is>
      </c>
      <c r="B18" s="52" t="inlineStr">
        <is>
          <t>Unit Testing</t>
        </is>
      </c>
      <c r="C18" s="52" t="inlineStr">
        <is>
          <t>Develop automated tests for all processing components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Data Extraction Logic</t>
        </is>
      </c>
      <c r="K18" s="52" t="inlineStr">
        <is>
          <t>Automated test suite for Lambda functions and API endpoints</t>
        </is>
      </c>
    </row>
    <row r="19" ht="26" customHeight="1">
      <c r="A19" s="45" t="inlineStr">
        <is>
          <t>Testing</t>
        </is>
      </c>
      <c r="B19" s="46" t="inlineStr">
        <is>
          <t>Document Processing Testing</t>
        </is>
      </c>
      <c r="C19" s="46" t="inlineStr">
        <is>
          <t>Test various document types formats and qualities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Web Interface</t>
        </is>
      </c>
      <c r="K19" s="46" t="inlineStr">
        <is>
          <t>Customer must provide comprehensive test document library with variations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Test system performance with high document volumes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140</v>
      </c>
      <c r="I20" s="55">
        <f>TEXT($G20*$H20,"$#,##0")</f>
        <v/>
      </c>
      <c r="J20" s="52" t="inlineStr">
        <is>
          <t>Document Processing Testing</t>
        </is>
      </c>
      <c r="K20" s="52" t="inlineStr">
        <is>
          <t>Load testing with realistic document volumes and concurrent processing</t>
        </is>
      </c>
    </row>
    <row r="21" ht="26" customHeight="1">
      <c r="A21" s="45" t="inlineStr">
        <is>
          <t>Testing</t>
        </is>
      </c>
      <c r="B21" s="46" t="inlineStr">
        <is>
          <t>Accuracy Testing</t>
        </is>
      </c>
      <c r="C21" s="46" t="inlineStr">
        <is>
          <t>Validate AI/ML model accuracy and data extraction quality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Statistical validation of extraction accuracy against labeled test dataset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testing on document handling pipeline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Accuracy Testing</t>
        </is>
      </c>
      <c r="K22" s="52" t="inlineStr">
        <is>
          <t>Includes IAM policy validation encryption testing and audit log verification</t>
        </is>
      </c>
    </row>
    <row r="23" ht="26" customHeight="1">
      <c r="A23" s="45" t="inlineStr">
        <is>
          <t>Deployment</t>
        </is>
      </c>
      <c r="B23" s="46" t="inlineStr">
        <is>
          <t>Production Deployment</t>
        </is>
      </c>
      <c r="C23" s="46" t="inlineStr">
        <is>
          <t>Deploy IDP solution to production AWS environment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160</v>
      </c>
      <c r="I23" s="49">
        <f>TEXT($G23*$H23,"$#,##0")</f>
        <v/>
      </c>
      <c r="J23" s="46" t="inlineStr">
        <is>
          <t>Security Testing</t>
        </is>
      </c>
      <c r="K23" s="46" t="inlineStr">
        <is>
          <t>Blue-green deployment with rollback procedures and smoke testing</t>
        </is>
      </c>
    </row>
    <row r="24" ht="26" customHeight="1">
      <c r="A24" s="51" t="inlineStr">
        <is>
          <t>Deployment</t>
        </is>
      </c>
      <c r="B24" s="52" t="inlineStr">
        <is>
          <t>Model Deployment</t>
        </is>
      </c>
      <c r="C24" s="52" t="inlineStr">
        <is>
          <t>Deploy trained ML models to production endpoints</t>
        </is>
      </c>
      <c r="D24" s="52" t="inlineStr">
        <is>
          <t>EO Engineer</t>
        </is>
      </c>
      <c r="E24" s="53" t="n">
        <v>16</v>
      </c>
      <c r="F24" s="54">
        <f>'Estimate Settings'!$C$7</f>
        <v/>
      </c>
      <c r="G24" s="55">
        <f>$E24*$F24</f>
        <v/>
      </c>
      <c r="H24" s="56" t="n">
        <v>170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Deploy classification logic and configure production Textract/Comprehend</t>
        </is>
      </c>
    </row>
    <row r="25" ht="26" customHeight="1">
      <c r="A25" s="45" t="inlineStr">
        <is>
          <t>Deployment</t>
        </is>
      </c>
      <c r="B25" s="46" t="inlineStr">
        <is>
          <t>Go-Live Support</t>
        </is>
      </c>
      <c r="C25" s="46" t="inlineStr">
        <is>
          <t>Provide support during initial production rollout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110</v>
      </c>
      <c r="I25" s="49">
        <f>TEXT($G25*$H25,"$#,##0")</f>
        <v/>
      </c>
      <c r="J25" s="46" t="inlineStr">
        <is>
          <t>Model Deployment</t>
        </is>
      </c>
      <c r="K25" s="46" t="inlineStr">
        <is>
          <t>Daily monitoring rapid issue response and accuracy validation during hypercare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system administrators on IDP solution management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130</v>
      </c>
      <c r="I26" s="55">
        <f>TEXT($G26*$H26,"$#,##0")</f>
        <v/>
      </c>
      <c r="J26" s="52" t="inlineStr">
        <is>
          <t>Production Deployment</t>
        </is>
      </c>
      <c r="K26" s="52" t="inlineStr">
        <is>
          <t>Includes AWS service management CloudWatch monitoring and troubleshooting</t>
        </is>
      </c>
    </row>
    <row r="27" ht="26" customHeight="1">
      <c r="A27" s="45" t="inlineStr">
        <is>
          <t>Training</t>
        </is>
      </c>
      <c r="B27" s="46" t="inlineStr">
        <is>
          <t>Business User Training</t>
        </is>
      </c>
      <c r="C27" s="46" t="inlineStr">
        <is>
          <t>Train users on document submission and results review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120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Role-based training for document processors and quality reviewers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user guides technical documentation and runbooks</t>
        </is>
      </c>
      <c r="D28" s="52" t="inlineStr">
        <is>
          <t>EO Engineer</t>
        </is>
      </c>
      <c r="E28" s="53" t="n">
        <v>24</v>
      </c>
      <c r="F28" s="54">
        <f>'Estimate Settings'!$C$8</f>
        <v/>
      </c>
      <c r="G28" s="55">
        <f>$E28*$F28</f>
        <v/>
      </c>
      <c r="H28" s="56" t="n">
        <v>110</v>
      </c>
      <c r="I28" s="55">
        <f>TEXT($G28*$H28,"$#,##0")</f>
        <v/>
      </c>
      <c r="J28" s="52" t="inlineStr">
        <is>
          <t>Business User Training</t>
        </is>
      </c>
      <c r="K28" s="52" t="inlineStr">
        <is>
          <t>Deliverable: Operations runbook user guides and troubleshooting procedures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solution ownership to client operations team</t>
        </is>
      </c>
      <c r="D29" s="46" t="inlineStr">
        <is>
          <t>EO Engineer</t>
        </is>
      </c>
      <c r="E29" s="47" t="n">
        <v>16</v>
      </c>
      <c r="F29" s="48">
        <f>'Estimate Settings'!$C$9</f>
        <v/>
      </c>
      <c r="G29" s="49">
        <f>$E29*$F29</f>
        <v/>
      </c>
      <c r="H29" s="50" t="n">
        <v>140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AWS architecture model details and procedures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performance metrics and monitoring baselines</t>
        </is>
      </c>
      <c r="D30" s="52" t="inlineStr">
        <is>
          <t>EO Engineer</t>
        </is>
      </c>
      <c r="E30" s="53" t="n">
        <v>8</v>
      </c>
      <c r="F30" s="54">
        <f>'Estimate Settings'!$C$9</f>
        <v/>
      </c>
      <c r="G30" s="55">
        <f>$E30*$F30</f>
        <v/>
      </c>
      <c r="H30" s="56" t="n">
        <v>130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accuracy SLAs processing time metrics and cost monitoring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Quarterback technical oversight and architecture review</t>
        </is>
      </c>
      <c r="D31" s="46" t="inlineStr">
        <is>
          <t>EO Quarterback</t>
        </is>
      </c>
      <c r="E31" s="49">
        <f>ROUND(SUM($G$3:$G$30)*0.10,0)</f>
        <v/>
      </c>
      <c r="F31" s="48">
        <f>'Estimate Settings'!$C$11</f>
        <v/>
      </c>
      <c r="G31" s="49">
        <f>$E31*$F31</f>
        <v/>
      </c>
      <c r="H31" s="50" t="n">
        <v>200</v>
      </c>
      <c r="I31" s="49">
        <f>TEXT($G31*$H31,"$#,##0")</f>
        <v/>
      </c>
      <c r="J31" s="46" t="inlineStr"/>
      <c r="K31" s="46" t="inlineStr">
        <is>
          <t>AWS AI/ML architecture review and technical escalation support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management activities</t>
        </is>
      </c>
      <c r="D32" s="52" t="inlineStr">
        <is>
          <t>EO Project Manager</t>
        </is>
      </c>
      <c r="E32" s="55">
        <f>ROUND(SUM($G$3:$G$30)*0.10,0)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Includes weekly status reporting risk management and stakeholder coordination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SUM($G$3:$G$32)</f>
        <v/>
      </c>
      <c r="H33" s="58" t="inlineStr">
        <is>
          <t>TOTAL COST</t>
        </is>
      </c>
      <c r="I33" s="58">
        <f>TEXT(SUMPRODUCT($G$3:$G$32,$H$3:$H$32),"$#,##0")</f>
        <v/>
      </c>
      <c r="J33" s="57" t="inlineStr"/>
      <c r="K33" s="57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59" t="n">
        <v>-10000</v>
      </c>
      <c r="C3" s="38" t="inlineStr">
        <is>
          <t>AWS Partner Network (APN) credit for solution architecture and AI/ML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SUMPRODUCT($G$3:$G$32,$H$3:$H$32)-10000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2025-11-21T18:30:36Z</dcterms:modified>
  <cp:lastModifiedBy>Kishan Siram</cp:lastModifiedBy>
</cp:coreProperties>
</file>