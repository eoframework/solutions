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PE ASSUMPTIONS" sheetId="1" state="visible" r:id="rId1"/>
    <sheet xmlns:r="http://schemas.openxmlformats.org/officeDocument/2006/relationships" name="ESTIMATE SETTINGS" sheetId="2" state="visible" r:id="rId2"/>
    <sheet xmlns:r="http://schemas.openxmlformats.org/officeDocument/2006/relationships" name="EFFORT ESTIMATE" sheetId="3" state="visible" r:id="rId3"/>
    <sheet xmlns:r="http://schemas.openxmlformats.org/officeDocument/2006/relationships" name="PROFESSIONAL SERVICES CREDITS" sheetId="4" state="visible" r:id="rId4"/>
  </sheets>
  <definedNames>
    <definedName name="_xlnm._FilterDatabase" localSheetId="0" hidden="1">'SCOPE ASSUMPTIONS'!$A$2:$H$19</definedName>
    <definedName name="_xlnm._FilterDatabase" localSheetId="1" hidden="1">'ESTIMATE SETTINGS'!$A$2:$E$12</definedName>
    <definedName name="_xlnm._FilterDatabase" localSheetId="2" hidden="1">'EFFORT ESTIMATE'!$A$2:$K$33</definedName>
    <definedName name="_xlnm._FilterDatabase" localSheetId="3" hidden="1">'PROFESSIONAL SERVICES CREDITS'!$A$2:$C$5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30" customWidth="1" min="3" max="3"/>
    <col width="25" customWidth="1" min="4" max="4"/>
    <col width="25" customWidth="1" min="5" max="5"/>
    <col width="30" customWidth="1" min="6" max="6"/>
    <col width="40" customWidth="1" min="7" max="7"/>
    <col width="15" customWidth="1" min="8" max="8"/>
  </cols>
  <sheetData>
    <row r="1" ht="25" customHeight="1">
      <c r="A1" s="1" t="inlineStr">
        <is>
          <t># SCOPE ASSUMPTIONS - BASELINE (MULTIPLIER 1.0),,,,,,,,,,</t>
        </is>
      </c>
    </row>
    <row r="2" ht="30" customHeight="1">
      <c r="A2" s="2" t="inlineStr">
        <is>
          <t>Category</t>
        </is>
      </c>
      <c r="B2" s="2" t="inlineStr">
        <is>
          <t>Baseline Assumption</t>
        </is>
      </c>
      <c r="C2" s="2" t="inlineStr">
        <is>
          <t>Current Scope</t>
        </is>
      </c>
      <c r="D2" s="2" t="inlineStr">
        <is>
          <t>Small (1x)</t>
        </is>
      </c>
      <c r="E2" s="2" t="inlineStr">
        <is>
          <t>Medium (2x)</t>
        </is>
      </c>
      <c r="F2" s="2" t="inlineStr">
        <is>
          <t>Large (3x)</t>
        </is>
      </c>
      <c r="G2" s="2" t="inlineStr">
        <is>
          <t>Notes</t>
        </is>
      </c>
      <c r="H2" s="2" t="inlineStr"/>
    </row>
    <row r="3">
      <c r="A3" s="3" t="inlineStr">
        <is>
          <t>Solution Scope</t>
        </is>
      </c>
      <c r="B3" s="4" t="inlineStr">
        <is>
          <t>Document Types</t>
        </is>
      </c>
      <c r="C3" s="4" t="inlineStr">
        <is>
          <t>2-3 document types</t>
        </is>
      </c>
      <c r="D3" s="4" t="inlineStr">
        <is>
          <t>2-3 document types</t>
        </is>
      </c>
      <c r="E3" s="4" t="inlineStr">
        <is>
          <t>4-6 document types</t>
        </is>
      </c>
      <c r="F3" s="4" t="inlineStr">
        <is>
          <t>8+ document types or complex variations</t>
        </is>
      </c>
      <c r="G3" s="4" t="inlineStr">
        <is>
          <t>Standard document types for IDP</t>
        </is>
      </c>
      <c r="H3" s="4" t="inlineStr"/>
    </row>
    <row r="4">
      <c r="A4" s="3" t="inlineStr">
        <is>
          <t>Solution Scope</t>
        </is>
      </c>
      <c r="B4" s="4" t="inlineStr">
        <is>
          <t>AI/ML Complexity</t>
        </is>
      </c>
      <c r="C4" s="4" t="inlineStr">
        <is>
          <t>AWS Textract/Comprehend only</t>
        </is>
      </c>
      <c r="D4" s="4" t="inlineStr">
        <is>
          <t>AWS Textract/Comprehend only</t>
        </is>
      </c>
      <c r="E4" s="4" t="inlineStr">
        <is>
          <t>Custom classification models</t>
        </is>
      </c>
      <c r="F4" s="4" t="inlineStr">
        <is>
          <t>Advanced custom models + NLP</t>
        </is>
      </c>
      <c r="G4" s="4" t="inlineStr">
        <is>
          <t>Pre-built vs custom model development</t>
        </is>
      </c>
      <c r="H4" s="4" t="inlineStr"/>
    </row>
    <row r="5">
      <c r="A5" s="3" t="inlineStr">
        <is>
          <t>Integration</t>
        </is>
      </c>
      <c r="B5" s="4" t="inlineStr">
        <is>
          <t>External System Integrations</t>
        </is>
      </c>
      <c r="C5" s="4" t="inlineStr">
        <is>
          <t>2 REST APIs</t>
        </is>
      </c>
      <c r="D5" s="4" t="inlineStr">
        <is>
          <t>2 REST APIs</t>
        </is>
      </c>
      <c r="E5" s="4" t="inlineStr">
        <is>
          <t>4-6 systems</t>
        </is>
      </c>
      <c r="F5" s="4" t="inlineStr">
        <is>
          <t>8+ systems or complex protocols</t>
        </is>
      </c>
      <c r="G5" s="4" t="inlineStr">
        <is>
          <t>Standard REST/API integrations for document flow</t>
        </is>
      </c>
      <c r="H5" s="4" t="inlineStr"/>
    </row>
    <row r="6">
      <c r="A6" s="3" t="inlineStr">
        <is>
          <t>Integration</t>
        </is>
      </c>
      <c r="B6" s="4" t="inlineStr">
        <is>
          <t>Data Sources</t>
        </is>
      </c>
      <c r="C6" s="4" t="inlineStr">
        <is>
          <t>S3 and email ingestion</t>
        </is>
      </c>
      <c r="D6" s="4" t="inlineStr">
        <is>
          <t>2-3 data sources</t>
        </is>
      </c>
      <c r="E6" s="4" t="inlineStr">
        <is>
          <t>4-6 data sources</t>
        </is>
      </c>
      <c r="F6" s="4" t="inlineStr">
        <is>
          <t>8+ data sources or complex formats</t>
        </is>
      </c>
      <c r="G6" s="4" t="inlineStr">
        <is>
          <t>Document input channels and storage</t>
        </is>
      </c>
      <c r="H6" s="4" t="inlineStr"/>
    </row>
    <row r="7">
      <c r="A7" s="3" t="inlineStr">
        <is>
          <t>User Base</t>
        </is>
      </c>
      <c r="B7" s="4" t="inlineStr">
        <is>
          <t>Total Users</t>
        </is>
      </c>
      <c r="C7" s="4" t="inlineStr">
        <is>
          <t>50 users</t>
        </is>
      </c>
      <c r="D7" s="4" t="inlineStr">
        <is>
          <t>50 users</t>
        </is>
      </c>
      <c r="E7" s="4" t="inlineStr">
        <is>
          <t>100-250 users</t>
        </is>
      </c>
      <c r="F7" s="4" t="inlineStr">
        <is>
          <t>500+ users</t>
        </is>
      </c>
      <c r="G7" s="4" t="inlineStr">
        <is>
          <t>Users submitting and reviewing documents</t>
        </is>
      </c>
      <c r="H7" s="4" t="inlineStr"/>
    </row>
    <row r="8">
      <c r="A8" s="3" t="inlineStr">
        <is>
          <t>User Base</t>
        </is>
      </c>
      <c r="B8" s="4" t="inlineStr">
        <is>
          <t>User Roles</t>
        </is>
      </c>
      <c r="C8" s="4" t="inlineStr">
        <is>
          <t>3 roles (submitter reviewer admin)</t>
        </is>
      </c>
      <c r="D8" s="4" t="inlineStr">
        <is>
          <t>2-3 standard roles</t>
        </is>
      </c>
      <c r="E8" s="4" t="inlineStr">
        <is>
          <t>4-6 roles</t>
        </is>
      </c>
      <c r="F8" s="4" t="inlineStr">
        <is>
          <t>8+ roles with complex permissions</t>
        </is>
      </c>
      <c r="G8" s="4" t="inlineStr">
        <is>
          <t>Document processors reviewers administrators</t>
        </is>
      </c>
      <c r="H8" s="4" t="inlineStr"/>
    </row>
    <row r="9">
      <c r="A9" s="3" t="inlineStr">
        <is>
          <t>Data Volume</t>
        </is>
      </c>
      <c r="B9" s="4" t="inlineStr">
        <is>
          <t>Document Processing Volume</t>
        </is>
      </c>
      <c r="C9" s="4" t="inlineStr">
        <is>
          <t>1000-5000 docs/month</t>
        </is>
      </c>
      <c r="D9" s="4" t="inlineStr">
        <is>
          <t>1000-5000 docs/month</t>
        </is>
      </c>
      <c r="E9" s="4" t="inlineStr">
        <is>
          <t>10000-50000 docs/month</t>
        </is>
      </c>
      <c r="F9" s="4" t="inlineStr">
        <is>
          <t>100000+ docs/month</t>
        </is>
      </c>
      <c r="G9" s="4" t="inlineStr">
        <is>
          <t>Monthly document processing volume</t>
        </is>
      </c>
      <c r="H9" s="4" t="inlineStr"/>
    </row>
    <row r="10">
      <c r="A10" s="3" t="inlineStr">
        <is>
          <t>Data Volume</t>
        </is>
      </c>
      <c r="B10" s="4" t="inlineStr">
        <is>
          <t>Data Storage Requirements</t>
        </is>
      </c>
      <c r="C10" s="4" t="inlineStr">
        <is>
          <t>500 GB</t>
        </is>
      </c>
      <c r="D10" s="4" t="inlineStr">
        <is>
          <t>500 GB</t>
        </is>
      </c>
      <c r="E10" s="4" t="inlineStr">
        <is>
          <t>2 TB</t>
        </is>
      </c>
      <c r="F10" s="4" t="inlineStr">
        <is>
          <t>10+ TB</t>
        </is>
      </c>
      <c r="G10" s="4" t="inlineStr">
        <is>
          <t>Document storage and retention</t>
        </is>
      </c>
      <c r="H10" s="4" t="inlineStr"/>
    </row>
    <row r="11">
      <c r="A11" s="3" t="inlineStr">
        <is>
          <t>Technical Environment</t>
        </is>
      </c>
      <c r="B11" s="4" t="inlineStr">
        <is>
          <t>Deployment Regions</t>
        </is>
      </c>
      <c r="C11" s="4" t="inlineStr">
        <is>
          <t>Single AWS region (us-east-1)</t>
        </is>
      </c>
      <c r="D11" s="4" t="inlineStr">
        <is>
          <t>Single AWS region</t>
        </is>
      </c>
      <c r="E11" s="4" t="inlineStr">
        <is>
          <t>2-3 regions</t>
        </is>
      </c>
      <c r="F11" s="4" t="inlineStr">
        <is>
          <t>Global multi-region</t>
        </is>
      </c>
      <c r="G11" s="4" t="inlineStr">
        <is>
          <t>Geographic distribution for IDP</t>
        </is>
      </c>
      <c r="H11" s="4" t="inlineStr"/>
    </row>
    <row r="12">
      <c r="A12" s="3" t="inlineStr">
        <is>
          <t>Technical Environment</t>
        </is>
      </c>
      <c r="B12" s="4" t="inlineStr">
        <is>
          <t>Availability Requirements</t>
        </is>
      </c>
      <c r="C12" s="4" t="inlineStr">
        <is>
          <t>Standard (99.5%)</t>
        </is>
      </c>
      <c r="D12" s="4" t="inlineStr">
        <is>
          <t>Standard (99.5%)</t>
        </is>
      </c>
      <c r="E12" s="4" t="inlineStr">
        <is>
          <t>High availability (99.9%)</t>
        </is>
      </c>
      <c r="F12" s="4" t="inlineStr">
        <is>
          <t>Mission critical (99.95%+)</t>
        </is>
      </c>
      <c r="G12" s="4" t="inlineStr">
        <is>
          <t>SLA for document processing</t>
        </is>
      </c>
      <c r="H12" s="4" t="inlineStr"/>
    </row>
    <row r="13">
      <c r="A13" s="3" t="inlineStr">
        <is>
          <t>Technical Environment</t>
        </is>
      </c>
      <c r="B13" s="4" t="inlineStr">
        <is>
          <t>Infrastructure Complexity</t>
        </is>
      </c>
      <c r="C13" s="4" t="inlineStr">
        <is>
          <t>Serverless (Lambda S3 Textract)</t>
        </is>
      </c>
      <c r="D13" s="4" t="inlineStr">
        <is>
          <t>Basic serverless</t>
        </is>
      </c>
      <c r="E13" s="4" t="inlineStr">
        <is>
          <t>Multi-tier standard</t>
        </is>
      </c>
      <c r="F13" s="4" t="inlineStr">
        <is>
          <t>Complex distributed with custom ML</t>
        </is>
      </c>
      <c r="G13" s="4" t="inlineStr">
        <is>
          <t>AWS Lambda S3 Textract Comprehend architecture</t>
        </is>
      </c>
      <c r="H13" s="4" t="inlineStr"/>
    </row>
    <row r="14">
      <c r="A14" s="3" t="inlineStr">
        <is>
          <t>Security &amp; Compliance</t>
        </is>
      </c>
      <c r="B14" s="4" t="inlineStr">
        <is>
          <t>Security Requirements</t>
        </is>
      </c>
      <c r="C14" s="4" t="inlineStr">
        <is>
          <t>Basic encryption IAM SSE-S3</t>
        </is>
      </c>
      <c r="D14" s="4" t="inlineStr">
        <is>
          <t>Basic encryption IAM</t>
        </is>
      </c>
      <c r="E14" s="4" t="inlineStr">
        <is>
          <t>Industry standard (SOC2 HIPAA)</t>
        </is>
      </c>
      <c r="F14" s="4" t="inlineStr">
        <is>
          <t>Advanced (FedRAMP multi-jurisdiction)</t>
        </is>
      </c>
      <c r="G14" s="4" t="inlineStr">
        <is>
          <t>Document security and access controls</t>
        </is>
      </c>
      <c r="H14" s="4" t="inlineStr"/>
    </row>
    <row r="15">
      <c r="A15" s="3" t="inlineStr">
        <is>
          <t>Security &amp; Compliance</t>
        </is>
      </c>
      <c r="B15" s="4" t="inlineStr">
        <is>
          <t>Compliance Frameworks</t>
        </is>
      </c>
      <c r="C15" s="4" t="inlineStr">
        <is>
          <t>SOC2</t>
        </is>
      </c>
      <c r="D15" s="4" t="inlineStr">
        <is>
          <t>1-2 basic standards</t>
        </is>
      </c>
      <c r="E15" s="4" t="inlineStr">
        <is>
          <t>2-3 industry standards</t>
        </is>
      </c>
      <c r="F15" s="4" t="inlineStr">
        <is>
          <t>Multiple complex frameworks</t>
        </is>
      </c>
      <c r="G15" s="4" t="inlineStr">
        <is>
          <t>Regulatory compliance for documents</t>
        </is>
      </c>
      <c r="H15" s="4" t="inlineStr"/>
    </row>
    <row r="16">
      <c r="A16" s="3" t="inlineStr">
        <is>
          <t>Performance</t>
        </is>
      </c>
      <c r="B16" s="4" t="inlineStr">
        <is>
          <t>Accuracy Requirements</t>
        </is>
      </c>
      <c r="C16" s="4" t="inlineStr">
        <is>
          <t>95%+ extraction accuracy</t>
        </is>
      </c>
      <c r="D16" s="4" t="inlineStr">
        <is>
          <t>95%+ standard</t>
        </is>
      </c>
      <c r="E16" s="4" t="inlineStr">
        <is>
          <t>98%+ enhanced</t>
        </is>
      </c>
      <c r="F16" s="4" t="inlineStr">
        <is>
          <t>99%+ with human review</t>
        </is>
      </c>
      <c r="G16" s="4" t="inlineStr">
        <is>
          <t>Data extraction accuracy targets</t>
        </is>
      </c>
      <c r="H16" s="4" t="inlineStr"/>
    </row>
    <row r="17">
      <c r="A17" s="3" t="inlineStr">
        <is>
          <t>Performance</t>
        </is>
      </c>
      <c r="B17" s="4" t="inlineStr">
        <is>
          <t>Processing Speed</t>
        </is>
      </c>
      <c r="C17" s="4" t="inlineStr">
        <is>
          <t>Standard batch processing</t>
        </is>
      </c>
      <c r="D17" s="4" t="inlineStr">
        <is>
          <t>Standard batch processing</t>
        </is>
      </c>
      <c r="E17" s="4" t="inlineStr">
        <is>
          <t>Near real-time processing</t>
        </is>
      </c>
      <c r="F17" s="4" t="inlineStr">
        <is>
          <t>Real-time with sub-second response</t>
        </is>
      </c>
      <c r="G17" s="4" t="inlineStr">
        <is>
          <t>Document processing speed requirements</t>
        </is>
      </c>
      <c r="H17" s="4" t="inlineStr"/>
    </row>
    <row r="18">
      <c r="A18" s="3" t="inlineStr">
        <is>
          <t>Environment</t>
        </is>
      </c>
      <c r="B18" s="4" t="inlineStr">
        <is>
          <t>Deployment Environments</t>
        </is>
      </c>
      <c r="C18" s="4" t="inlineStr">
        <is>
          <t>2 environments (dev prod)</t>
        </is>
      </c>
      <c r="D18" s="4" t="inlineStr">
        <is>
          <t>2 environments (dev prod)</t>
        </is>
      </c>
      <c r="E18" s="4" t="inlineStr">
        <is>
          <t>3 environments (dev staging prod)</t>
        </is>
      </c>
      <c r="F18" s="4" t="inlineStr">
        <is>
          <t>4+ environments with ML pipelines</t>
        </is>
      </c>
      <c r="G18" s="4" t="inlineStr">
        <is>
          <t>Environment management for IDP</t>
        </is>
      </c>
      <c r="H18" s="4" t="inlineStr"/>
    </row>
    <row r="19">
      <c r="A19" s="3" t="inlineStr"/>
      <c r="B19" s="4" t="inlineStr"/>
      <c r="C19" s="4" t="inlineStr"/>
      <c r="D19" s="4" t="inlineStr"/>
      <c r="E19" s="4" t="inlineStr"/>
      <c r="F19" s="4" t="inlineStr"/>
      <c r="G19" s="4" t="inlineStr"/>
      <c r="H19" s="4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60" customWidth="1" min="4" max="4"/>
    <col width="15" customWidth="1" min="5" max="5"/>
  </cols>
  <sheetData>
    <row r="1" ht="25" customHeight="1">
      <c r="A1" s="1" t="inlineStr">
        <is>
          <t># ESTIMATE SETTINGS - EO Sales Engineer Updates Multipliers Based on Customer Scope,,,,,,,,,,</t>
        </is>
      </c>
    </row>
    <row r="2" ht="30" customHeight="1">
      <c r="A2" s="2" t="inlineStr">
        <is>
          <t>Phase</t>
        </is>
      </c>
      <c r="B2" s="2" t="inlineStr">
        <is>
          <t>Variable Name</t>
        </is>
      </c>
      <c r="C2" s="2" t="inlineStr">
        <is>
          <t>Multiplier</t>
        </is>
      </c>
      <c r="D2" s="2" t="inlineStr">
        <is>
          <t>Description / Applies To Tasks</t>
        </is>
      </c>
      <c r="E2" s="2" t="inlineStr"/>
    </row>
    <row r="3">
      <c r="A3" s="3" t="inlineStr">
        <is>
          <t>Discovery</t>
        </is>
      </c>
      <c r="B3" s="4" t="inlineStr">
        <is>
          <t>DISCOVERY_MX</t>
        </is>
      </c>
      <c r="C3" s="5" t="n">
        <v>1</v>
      </c>
      <c r="D3" s="4" t="inlineStr">
        <is>
          <t>All Discovery phase tasks (Requirements Gathering</t>
        </is>
      </c>
      <c r="E3" s="4" t="inlineStr"/>
    </row>
    <row r="4">
      <c r="A4" s="3" t="inlineStr">
        <is>
          <t>Planning</t>
        </is>
      </c>
      <c r="B4" s="4" t="inlineStr">
        <is>
          <t>PLANNING_MX</t>
        </is>
      </c>
      <c r="C4" s="5" t="n">
        <v>1</v>
      </c>
      <c r="D4" s="4" t="inlineStr">
        <is>
          <t>All Planning phase tasks (IDP Solution Design</t>
        </is>
      </c>
      <c r="E4" s="4" t="inlineStr"/>
    </row>
    <row r="5">
      <c r="A5" s="3" t="inlineStr">
        <is>
          <t>Development</t>
        </is>
      </c>
      <c r="B5" s="4" t="inlineStr">
        <is>
          <t>DEVELOPMENT_MX</t>
        </is>
      </c>
      <c r="C5" s="5" t="n">
        <v>1</v>
      </c>
      <c r="D5" s="4" t="inlineStr">
        <is>
          <t>All Development phase tasks (AWS Infrastructure</t>
        </is>
      </c>
      <c r="E5" s="4" t="inlineStr"/>
    </row>
    <row r="6">
      <c r="A6" s="3" t="inlineStr">
        <is>
          <t>Testing</t>
        </is>
      </c>
      <c r="B6" s="4" t="inlineStr">
        <is>
          <t>TESTING_MX</t>
        </is>
      </c>
      <c r="C6" s="5" t="n">
        <v>1</v>
      </c>
      <c r="D6" s="4" t="inlineStr">
        <is>
          <t>All Testing phase tasks (Unit Testing</t>
        </is>
      </c>
      <c r="E6" s="4" t="inlineStr"/>
    </row>
    <row r="7">
      <c r="A7" s="3" t="inlineStr">
        <is>
          <t>Deployment</t>
        </is>
      </c>
      <c r="B7" s="4" t="inlineStr">
        <is>
          <t>DEPLOYMENT_MX</t>
        </is>
      </c>
      <c r="C7" s="5" t="n">
        <v>1</v>
      </c>
      <c r="D7" s="4" t="inlineStr">
        <is>
          <t>All Deployment phase tasks (Production Deployment</t>
        </is>
      </c>
      <c r="E7" s="4" t="inlineStr"/>
    </row>
    <row r="8">
      <c r="A8" s="3" t="inlineStr">
        <is>
          <t>Training</t>
        </is>
      </c>
      <c r="B8" s="4" t="inlineStr">
        <is>
          <t>TRAINING_MX</t>
        </is>
      </c>
      <c r="C8" s="5" t="n">
        <v>1</v>
      </c>
      <c r="D8" s="4" t="inlineStr">
        <is>
          <t>All Training phase tasks (Administrator Training</t>
        </is>
      </c>
      <c r="E8" s="4" t="inlineStr"/>
    </row>
    <row r="9">
      <c r="A9" s="3" t="inlineStr">
        <is>
          <t>Closeout</t>
        </is>
      </c>
      <c r="B9" s="4" t="inlineStr">
        <is>
          <t>CLOSEOUT_MX</t>
        </is>
      </c>
      <c r="C9" s="5" t="n">
        <v>1</v>
      </c>
      <c r="D9" s="4" t="inlineStr">
        <is>
          <t>All Closeout phase tasks (Knowledge Transfer</t>
        </is>
      </c>
      <c r="E9" s="4" t="inlineStr"/>
    </row>
    <row r="10">
      <c r="A10" s="3" t="inlineStr">
        <is>
          <t>Management</t>
        </is>
      </c>
      <c r="B10" s="4" t="inlineStr">
        <is>
          <t>MANAGEMENT_MX</t>
        </is>
      </c>
      <c r="C10" s="5" t="n">
        <v>1.5</v>
      </c>
      <c r="D10" s="4" t="inlineStr">
        <is>
          <t>Project Management overhead - 10% of actual engineering hours</t>
        </is>
      </c>
      <c r="E10" s="4" t="inlineStr"/>
    </row>
    <row r="11">
      <c r="A11" s="3" t="inlineStr">
        <is>
          <t>Leadership</t>
        </is>
      </c>
      <c r="B11" s="4" t="inlineStr">
        <is>
          <t>LEADERSHIP_MX</t>
        </is>
      </c>
      <c r="C11" s="5" t="n">
        <v>1.5</v>
      </c>
      <c r="D11" s="4" t="inlineStr">
        <is>
          <t>Quarterback/Technical Leadership overhead - 10% of actual engineering hours</t>
        </is>
      </c>
      <c r="E11" s="4" t="inlineStr"/>
    </row>
    <row r="12">
      <c r="A12" s="3" t="inlineStr"/>
      <c r="B12" s="4" t="inlineStr"/>
      <c r="C12" s="4" t="inlineStr"/>
      <c r="D12" s="4" t="inlineStr"/>
      <c r="E12" s="4" t="inlineStr"/>
    </row>
  </sheetData>
  <autoFilter ref="A2:E12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  <col width="12" customWidth="1" min="5" max="5"/>
    <col width="12" customWidth="1" min="6" max="6"/>
    <col width="12" customWidth="1" min="7" max="7"/>
    <col width="10" customWidth="1" min="8" max="8"/>
    <col width="15" customWidth="1" min="9" max="9"/>
    <col width="25" customWidth="1" min="10" max="10"/>
    <col width="40" customWidth="1" min="11" max="11"/>
  </cols>
  <sheetData>
    <row r="1" ht="25" customHeight="1">
      <c r="A1" s="1" t="inlineStr">
        <is>
          <t># EFFORT ESTIMATE</t>
        </is>
      </c>
    </row>
    <row r="2" ht="30" customHeight="1">
      <c r="A2" s="2" t="inlineStr">
        <is>
          <t>Phase</t>
        </is>
      </c>
      <c r="B2" s="2" t="inlineStr">
        <is>
          <t>Work Package</t>
        </is>
      </c>
      <c r="C2" s="2" t="inlineStr">
        <is>
          <t>Task Description</t>
        </is>
      </c>
      <c r="D2" s="2" t="inlineStr">
        <is>
          <t>Resource Type</t>
        </is>
      </c>
      <c r="E2" s="2" t="inlineStr">
        <is>
          <t>Base Hours</t>
        </is>
      </c>
      <c r="F2" s="2" t="inlineStr">
        <is>
          <t>Effort Multiplier</t>
        </is>
      </c>
      <c r="G2" s="2" t="inlineStr">
        <is>
          <t>Actual Hours</t>
        </is>
      </c>
      <c r="H2" s="2" t="inlineStr">
        <is>
          <t>Rate</t>
        </is>
      </c>
      <c r="I2" s="2" t="inlineStr">
        <is>
          <t>Cost Estimate</t>
        </is>
      </c>
      <c r="J2" s="2" t="inlineStr">
        <is>
          <t>Dependencies</t>
        </is>
      </c>
      <c r="K2" s="2" t="inlineStr">
        <is>
          <t>Notes</t>
        </is>
      </c>
    </row>
    <row r="3">
      <c r="A3" s="3" t="inlineStr">
        <is>
          <t>Discovery</t>
        </is>
      </c>
      <c r="B3" s="4" t="inlineStr">
        <is>
          <t>Requirements Gathering</t>
        </is>
      </c>
      <c r="C3" s="4" t="inlineStr">
        <is>
          <t>Conduct stakeholder interviews for IDP requirements</t>
        </is>
      </c>
      <c r="D3" s="4" t="inlineStr">
        <is>
          <t>EO Engineer</t>
        </is>
      </c>
      <c r="E3" s="6" t="n">
        <v>32</v>
      </c>
      <c r="F3" s="4">
        <f>'Estimate Settings'!$C$24</f>
        <v/>
      </c>
      <c r="G3" s="4">
        <f>$E33*$F33</f>
        <v/>
      </c>
      <c r="H3" s="7" t="n">
        <v>150</v>
      </c>
      <c r="I3" s="4">
        <f>TEXT($G33*$H33</f>
        <v/>
      </c>
      <c r="J3" s="4" t="inlineStr">
        <is>
          <t>$#</t>
        </is>
      </c>
      <c r="K3" s="4" t="inlineStr">
        <is>
          <t>##0"")</t>
        </is>
      </c>
    </row>
    <row r="4">
      <c r="A4" s="3" t="inlineStr">
        <is>
          <t>Discovery</t>
        </is>
      </c>
      <c r="B4" s="4" t="inlineStr">
        <is>
          <t>Document Analysis</t>
        </is>
      </c>
      <c r="C4" s="4" t="inlineStr">
        <is>
          <t>Analyze document types volumes and data extraction requirements</t>
        </is>
      </c>
      <c r="D4" s="4" t="inlineStr">
        <is>
          <t>EO Engineer</t>
        </is>
      </c>
      <c r="E4" s="6" t="n">
        <v>24</v>
      </c>
      <c r="F4" s="4">
        <f>'Estimate Settings'!$C$24</f>
        <v/>
      </c>
      <c r="G4" s="4">
        <f>$E34*$F34</f>
        <v/>
      </c>
      <c r="H4" s="7" t="n">
        <v>200</v>
      </c>
      <c r="I4" s="4">
        <f>TEXT($G34*$H34</f>
        <v/>
      </c>
      <c r="J4" s="4" t="inlineStr">
        <is>
          <t>$#</t>
        </is>
      </c>
      <c r="K4" s="4" t="inlineStr">
        <is>
          <t>##0"")</t>
        </is>
      </c>
    </row>
    <row r="5">
      <c r="A5" s="3" t="inlineStr">
        <is>
          <t>Discovery</t>
        </is>
      </c>
      <c r="B5" s="4" t="inlineStr">
        <is>
          <t>AWS Environment Assessment</t>
        </is>
      </c>
      <c r="C5" s="4" t="inlineStr">
        <is>
          <t>Evaluate AWS infrastructure and AI/ML services readiness</t>
        </is>
      </c>
      <c r="D5" s="4" t="inlineStr">
        <is>
          <t>EO Engineer</t>
        </is>
      </c>
      <c r="E5" s="6" t="n">
        <v>24</v>
      </c>
      <c r="F5" s="4">
        <f>'Estimate Settings'!$C$24</f>
        <v/>
      </c>
      <c r="G5" s="4">
        <f>$E35*$F35</f>
        <v/>
      </c>
      <c r="H5" s="7" t="n">
        <v>200</v>
      </c>
      <c r="I5" s="4">
        <f>TEXT($G35*$H35</f>
        <v/>
      </c>
      <c r="J5" s="4" t="inlineStr">
        <is>
          <t>$#</t>
        </is>
      </c>
      <c r="K5" s="4" t="inlineStr">
        <is>
          <t>##0"")</t>
        </is>
      </c>
    </row>
    <row r="6">
      <c r="A6" s="3" t="inlineStr">
        <is>
          <t>Discovery</t>
        </is>
      </c>
      <c r="B6" s="4" t="inlineStr">
        <is>
          <t>Compliance Review</t>
        </is>
      </c>
      <c r="C6" s="4" t="inlineStr">
        <is>
          <t>Assess data privacy compliance and security requirements</t>
        </is>
      </c>
      <c r="D6" s="4" t="inlineStr">
        <is>
          <t>EO Engineer</t>
        </is>
      </c>
      <c r="E6" s="6" t="n">
        <v>16</v>
      </c>
      <c r="F6" s="4">
        <f>'Estimate Settings'!$C$24</f>
        <v/>
      </c>
      <c r="G6" s="4">
        <f>$E36*$F36</f>
        <v/>
      </c>
      <c r="H6" s="7" t="n">
        <v>175</v>
      </c>
      <c r="I6" s="4">
        <f>TEXT($G36*$H36</f>
        <v/>
      </c>
      <c r="J6" s="4" t="inlineStr">
        <is>
          <t>$#</t>
        </is>
      </c>
      <c r="K6" s="4" t="inlineStr">
        <is>
          <t>##0"")</t>
        </is>
      </c>
    </row>
    <row r="7">
      <c r="A7" s="3" t="inlineStr">
        <is>
          <t>Planning</t>
        </is>
      </c>
      <c r="B7" s="4" t="inlineStr">
        <is>
          <t>IDP Solution Design</t>
        </is>
      </c>
      <c r="C7" s="4" t="inlineStr">
        <is>
          <t>Design AWS AI/ML architecture with Textract Comprehend A2I</t>
        </is>
      </c>
      <c r="D7" s="4" t="inlineStr">
        <is>
          <t>EO Engineer</t>
        </is>
      </c>
      <c r="E7" s="6" t="n">
        <v>40</v>
      </c>
      <c r="F7" s="4">
        <f>'Estimate Settings'!$C$25</f>
        <v/>
      </c>
      <c r="G7" s="4">
        <f>$E37*$F37</f>
        <v/>
      </c>
      <c r="H7" s="7" t="n">
        <v>200</v>
      </c>
      <c r="I7" s="4">
        <f>TEXT($G37*$H37</f>
        <v/>
      </c>
      <c r="J7" s="4" t="inlineStr">
        <is>
          <t>$#</t>
        </is>
      </c>
      <c r="K7" s="4" t="inlineStr">
        <is>
          <t>##0"")</t>
        </is>
      </c>
    </row>
    <row r="8">
      <c r="A8" s="3" t="inlineStr">
        <is>
          <t>Planning</t>
        </is>
      </c>
      <c r="B8" s="4" t="inlineStr">
        <is>
          <t>Data Flow Design</t>
        </is>
      </c>
      <c r="C8" s="4" t="inlineStr">
        <is>
          <t>Design document ingestion processing and output workflows</t>
        </is>
      </c>
      <c r="D8" s="4" t="inlineStr">
        <is>
          <t>EO Engineer</t>
        </is>
      </c>
      <c r="E8" s="6" t="n">
        <v>24</v>
      </c>
      <c r="F8" s="4">
        <f>'Estimate Settings'!$C$25</f>
        <v/>
      </c>
      <c r="G8" s="4">
        <f>$E38*$F38</f>
        <v/>
      </c>
      <c r="H8" s="7" t="n">
        <v>180</v>
      </c>
      <c r="I8" s="4">
        <f>TEXT($G38*$H38</f>
        <v/>
      </c>
      <c r="J8" s="4" t="inlineStr">
        <is>
          <t>$#</t>
        </is>
      </c>
      <c r="K8" s="4" t="inlineStr">
        <is>
          <t>##0"")</t>
        </is>
      </c>
    </row>
    <row r="9">
      <c r="A9" s="3" t="inlineStr">
        <is>
          <t>Planning</t>
        </is>
      </c>
      <c r="B9" s="4" t="inlineStr">
        <is>
          <t>Security Architecture</t>
        </is>
      </c>
      <c r="C9" s="4" t="inlineStr">
        <is>
          <t>Design security controls encryption and access for documents</t>
        </is>
      </c>
      <c r="D9" s="4" t="inlineStr">
        <is>
          <t>EO Engineer</t>
        </is>
      </c>
      <c r="E9" s="6" t="n">
        <v>24</v>
      </c>
      <c r="F9" s="4">
        <f>'Estimate Settings'!$C$25</f>
        <v/>
      </c>
      <c r="G9" s="4">
        <f>$E39*$F39</f>
        <v/>
      </c>
      <c r="H9" s="7" t="n">
        <v>175</v>
      </c>
      <c r="I9" s="4">
        <f>TEXT($G39*$H39</f>
        <v/>
      </c>
      <c r="J9" s="4" t="inlineStr">
        <is>
          <t>$#</t>
        </is>
      </c>
      <c r="K9" s="4" t="inlineStr">
        <is>
          <t>##0"")</t>
        </is>
      </c>
    </row>
    <row r="10">
      <c r="A10" s="3" t="inlineStr">
        <is>
          <t>Planning</t>
        </is>
      </c>
      <c r="B10" s="4" t="inlineStr">
        <is>
          <t>Project Planning</t>
        </is>
      </c>
      <c r="C10" s="4" t="inlineStr">
        <is>
          <t>Develop implementation timeline and resource allocation</t>
        </is>
      </c>
      <c r="D10" s="4" t="inlineStr">
        <is>
          <t>EO Engineer</t>
        </is>
      </c>
      <c r="E10" s="6" t="n">
        <v>24</v>
      </c>
      <c r="F10" s="4">
        <f>'Estimate Settings'!$C$25</f>
        <v/>
      </c>
      <c r="G10" s="4">
        <f>$E40*$F40</f>
        <v/>
      </c>
      <c r="H10" s="7" t="n">
        <v>140</v>
      </c>
      <c r="I10" s="4">
        <f>TEXT($G40*$H40</f>
        <v/>
      </c>
      <c r="J10" s="4" t="inlineStr">
        <is>
          <t>$#</t>
        </is>
      </c>
      <c r="K10" s="4" t="inlineStr">
        <is>
          <t>##0"")</t>
        </is>
      </c>
    </row>
    <row r="11">
      <c r="A11" s="3" t="inlineStr">
        <is>
          <t>Development</t>
        </is>
      </c>
      <c r="B11" s="4" t="inlineStr">
        <is>
          <t>AWS Infrastructure Setup</t>
        </is>
      </c>
      <c r="C11" s="4" t="inlineStr">
        <is>
          <t>Provision Textract Comprehend S3 Lambda and supporting services</t>
        </is>
      </c>
      <c r="D11" s="4" t="inlineStr">
        <is>
          <t>EO Engineer</t>
        </is>
      </c>
      <c r="E11" s="6" t="n">
        <v>40</v>
      </c>
      <c r="F11" s="4">
        <f>'Estimate Settings'!$C$26</f>
        <v/>
      </c>
      <c r="G11" s="4">
        <f>$E41*$F41</f>
        <v/>
      </c>
      <c r="H11" s="7" t="n">
        <v>160</v>
      </c>
      <c r="I11" s="4">
        <f>TEXT($G41*$H41</f>
        <v/>
      </c>
      <c r="J11" s="4" t="inlineStr">
        <is>
          <t>$#</t>
        </is>
      </c>
      <c r="K11" s="4" t="inlineStr">
        <is>
          <t>##0"")</t>
        </is>
      </c>
    </row>
    <row r="12">
      <c r="A12" s="3" t="inlineStr">
        <is>
          <t>Development</t>
        </is>
      </c>
      <c r="B12" s="4" t="inlineStr">
        <is>
          <t>Document Processing Pipeline</t>
        </is>
      </c>
      <c r="C12" s="4" t="inlineStr">
        <is>
          <t>Build document ingestion and processing workflows</t>
        </is>
      </c>
      <c r="D12" s="4" t="inlineStr">
        <is>
          <t>EO Engineer</t>
        </is>
      </c>
      <c r="E12" s="6" t="n">
        <v>64</v>
      </c>
      <c r="F12" s="4">
        <f>'Estimate Settings'!$C$26</f>
        <v/>
      </c>
      <c r="G12" s="4">
        <f>$E42*$F42</f>
        <v/>
      </c>
      <c r="H12" s="7" t="n">
        <v>130</v>
      </c>
      <c r="I12" s="4">
        <f>TEXT($G42*$H42</f>
        <v/>
      </c>
      <c r="J12" s="4" t="inlineStr">
        <is>
          <t>$#</t>
        </is>
      </c>
      <c r="K12" s="4" t="inlineStr">
        <is>
          <t>##0"")</t>
        </is>
      </c>
    </row>
    <row r="13">
      <c r="A13" s="3" t="inlineStr">
        <is>
          <t>Development</t>
        </is>
      </c>
      <c r="B13" s="4" t="inlineStr">
        <is>
          <t>AI/ML Model Integration</t>
        </is>
      </c>
      <c r="C13" s="4" t="inlineStr">
        <is>
          <t>Integrate AWS Textract Comprehend and A2I services</t>
        </is>
      </c>
      <c r="D13" s="4" t="inlineStr">
        <is>
          <t>EO Engineer</t>
        </is>
      </c>
      <c r="E13" s="6" t="n">
        <v>48</v>
      </c>
      <c r="F13" s="4">
        <f>'Estimate Settings'!$C$26</f>
        <v/>
      </c>
      <c r="G13" s="4">
        <f>$E43*$F43</f>
        <v/>
      </c>
      <c r="H13" s="7" t="n">
        <v>170</v>
      </c>
      <c r="I13" s="4">
        <f>TEXT($G43*$H43</f>
        <v/>
      </c>
      <c r="J13" s="4" t="inlineStr">
        <is>
          <t>$#</t>
        </is>
      </c>
      <c r="K13" s="4" t="inlineStr">
        <is>
          <t>##0"")</t>
        </is>
      </c>
    </row>
    <row r="14">
      <c r="A14" s="3" t="inlineStr">
        <is>
          <t>Development</t>
        </is>
      </c>
      <c r="B14" s="4" t="inlineStr">
        <is>
          <t>Custom Classification Models</t>
        </is>
      </c>
      <c r="C14" s="4" t="inlineStr">
        <is>
          <t>Develop minimal classification logic for 2-3 document types</t>
        </is>
      </c>
      <c r="D14" s="4" t="inlineStr">
        <is>
          <t>EO Engineer</t>
        </is>
      </c>
      <c r="E14" s="6" t="n">
        <v>24</v>
      </c>
      <c r="F14" s="4">
        <f>'Estimate Settings'!$C$26</f>
        <v/>
      </c>
      <c r="G14" s="4">
        <f>$E44*$F44</f>
        <v/>
      </c>
      <c r="H14" s="7" t="n">
        <v>165</v>
      </c>
      <c r="I14" s="4">
        <f>TEXT($G44*$H44</f>
        <v/>
      </c>
      <c r="J14" s="4" t="inlineStr">
        <is>
          <t>$#</t>
        </is>
      </c>
      <c r="K14" s="4" t="inlineStr">
        <is>
          <t>##0"")</t>
        </is>
      </c>
    </row>
    <row r="15">
      <c r="A15" s="3" t="inlineStr">
        <is>
          <t>Development</t>
        </is>
      </c>
      <c r="B15" s="4" t="inlineStr">
        <is>
          <t>Data Extraction Logic</t>
        </is>
      </c>
      <c r="C15" s="4" t="inlineStr">
        <is>
          <t>Build structured data extraction and validation logic</t>
        </is>
      </c>
      <c r="D15" s="4" t="inlineStr">
        <is>
          <t>EO Engineer</t>
        </is>
      </c>
      <c r="E15" s="6" t="n">
        <v>32</v>
      </c>
      <c r="F15" s="4">
        <f>'Estimate Settings'!$C$26</f>
        <v/>
      </c>
      <c r="G15" s="4">
        <f>$E45*$F45</f>
        <v/>
      </c>
      <c r="H15" s="7" t="n">
        <v>130</v>
      </c>
      <c r="I15" s="4">
        <f>TEXT($G45*$H45</f>
        <v/>
      </c>
      <c r="J15" s="4" t="inlineStr">
        <is>
          <t>$#</t>
        </is>
      </c>
      <c r="K15" s="4" t="inlineStr">
        <is>
          <t>##0"")</t>
        </is>
      </c>
    </row>
    <row r="16">
      <c r="A16" s="3" t="inlineStr">
        <is>
          <t>Development</t>
        </is>
      </c>
      <c r="B16" s="4" t="inlineStr">
        <is>
          <t>API Development</t>
        </is>
      </c>
      <c r="C16" s="4" t="inlineStr">
        <is>
          <t>Create REST APIs for document submission and retrieval</t>
        </is>
      </c>
      <c r="D16" s="4" t="inlineStr">
        <is>
          <t>EO Engineer</t>
        </is>
      </c>
      <c r="E16" s="6" t="n">
        <v>24</v>
      </c>
      <c r="F16" s="4">
        <f>'Estimate Settings'!$C$26</f>
        <v/>
      </c>
      <c r="G16" s="4">
        <f>$E46*$F46</f>
        <v/>
      </c>
      <c r="H16" s="7" t="n">
        <v>125</v>
      </c>
      <c r="I16" s="4">
        <f>TEXT($G46*$H46</f>
        <v/>
      </c>
      <c r="J16" s="4" t="inlineStr">
        <is>
          <t>$#</t>
        </is>
      </c>
      <c r="K16" s="4" t="inlineStr">
        <is>
          <t>##0"")</t>
        </is>
      </c>
    </row>
    <row r="17">
      <c r="A17" s="3" t="inlineStr">
        <is>
          <t>Development</t>
        </is>
      </c>
      <c r="B17" s="4" t="inlineStr">
        <is>
          <t>Web Interface</t>
        </is>
      </c>
      <c r="C17" s="4" t="inlineStr">
        <is>
          <t>Build document upload and results viewing interface</t>
        </is>
      </c>
      <c r="D17" s="4" t="inlineStr">
        <is>
          <t>EO Engineer</t>
        </is>
      </c>
      <c r="E17" s="6" t="n">
        <v>32</v>
      </c>
      <c r="F17" s="4">
        <f>'Estimate Settings'!$C$26</f>
        <v/>
      </c>
      <c r="G17" s="4">
        <f>$E47*$F47</f>
        <v/>
      </c>
      <c r="H17" s="7" t="n">
        <v>125</v>
      </c>
      <c r="I17" s="4">
        <f>TEXT($G47*$H47</f>
        <v/>
      </c>
      <c r="J17" s="4" t="inlineStr">
        <is>
          <t>$#</t>
        </is>
      </c>
      <c r="K17" s="4" t="inlineStr">
        <is>
          <t>##0"")</t>
        </is>
      </c>
    </row>
    <row r="18">
      <c r="A18" s="3" t="inlineStr">
        <is>
          <t>Testing</t>
        </is>
      </c>
      <c r="B18" s="4" t="inlineStr">
        <is>
          <t>Unit Testing</t>
        </is>
      </c>
      <c r="C18" s="4" t="inlineStr">
        <is>
          <t>Develop automated tests for all processing components</t>
        </is>
      </c>
      <c r="D18" s="4" t="inlineStr">
        <is>
          <t>EO Engineer</t>
        </is>
      </c>
      <c r="E18" s="6" t="n">
        <v>32</v>
      </c>
      <c r="F18" s="4">
        <f>'Estimate Settings'!$C$27</f>
        <v/>
      </c>
      <c r="G18" s="4">
        <f>$E48*$F48</f>
        <v/>
      </c>
      <c r="H18" s="7" t="n">
        <v>120</v>
      </c>
      <c r="I18" s="4">
        <f>TEXT($G48*$H48</f>
        <v/>
      </c>
      <c r="J18" s="4" t="inlineStr">
        <is>
          <t>$#</t>
        </is>
      </c>
      <c r="K18" s="4" t="inlineStr">
        <is>
          <t>##0"")</t>
        </is>
      </c>
    </row>
    <row r="19">
      <c r="A19" s="3" t="inlineStr">
        <is>
          <t>Testing</t>
        </is>
      </c>
      <c r="B19" s="4" t="inlineStr">
        <is>
          <t>Document Processing Testing</t>
        </is>
      </c>
      <c r="C19" s="4" t="inlineStr">
        <is>
          <t>Test various document types formats and qualities</t>
        </is>
      </c>
      <c r="D19" s="4" t="inlineStr">
        <is>
          <t>EO Engineer</t>
        </is>
      </c>
      <c r="E19" s="6" t="n">
        <v>32</v>
      </c>
      <c r="F19" s="4">
        <f>'Estimate Settings'!$C$27</f>
        <v/>
      </c>
      <c r="G19" s="4">
        <f>$E49*$F49</f>
        <v/>
      </c>
      <c r="H19" s="7" t="n">
        <v>120</v>
      </c>
      <c r="I19" s="4">
        <f>TEXT($G49*$H49</f>
        <v/>
      </c>
      <c r="J19" s="4" t="inlineStr">
        <is>
          <t>$#</t>
        </is>
      </c>
      <c r="K19" s="4" t="inlineStr">
        <is>
          <t>##0"")</t>
        </is>
      </c>
    </row>
    <row r="20">
      <c r="A20" s="3" t="inlineStr">
        <is>
          <t>Testing</t>
        </is>
      </c>
      <c r="B20" s="4" t="inlineStr">
        <is>
          <t>Performance Testing</t>
        </is>
      </c>
      <c r="C20" s="4" t="inlineStr">
        <is>
          <t>Test system performance with high document volumes</t>
        </is>
      </c>
      <c r="D20" s="4" t="inlineStr">
        <is>
          <t>EO Engineer</t>
        </is>
      </c>
      <c r="E20" s="6" t="n">
        <v>24</v>
      </c>
      <c r="F20" s="4">
        <f>'Estimate Settings'!$C$27</f>
        <v/>
      </c>
      <c r="G20" s="4">
        <f>$E50*$F50</f>
        <v/>
      </c>
      <c r="H20" s="7" t="n">
        <v>140</v>
      </c>
      <c r="I20" s="4">
        <f>TEXT($G50*$H50</f>
        <v/>
      </c>
      <c r="J20" s="4" t="inlineStr">
        <is>
          <t>$#</t>
        </is>
      </c>
      <c r="K20" s="4" t="inlineStr">
        <is>
          <t>##0"")</t>
        </is>
      </c>
    </row>
    <row r="21">
      <c r="A21" s="3" t="inlineStr">
        <is>
          <t>Testing</t>
        </is>
      </c>
      <c r="B21" s="4" t="inlineStr">
        <is>
          <t>Accuracy Testing</t>
        </is>
      </c>
      <c r="C21" s="4" t="inlineStr">
        <is>
          <t>Validate AI/ML model accuracy and data extraction quality</t>
        </is>
      </c>
      <c r="D21" s="4" t="inlineStr">
        <is>
          <t>EO Engineer</t>
        </is>
      </c>
      <c r="E21" s="6" t="n">
        <v>24</v>
      </c>
      <c r="F21" s="4">
        <f>'Estimate Settings'!$C$27</f>
        <v/>
      </c>
      <c r="G21" s="4">
        <f>$E51*$F51</f>
        <v/>
      </c>
      <c r="H21" s="7" t="n">
        <v>170</v>
      </c>
      <c r="I21" s="4">
        <f>TEXT($G51*$H51</f>
        <v/>
      </c>
      <c r="J21" s="4" t="inlineStr">
        <is>
          <t>$#</t>
        </is>
      </c>
      <c r="K21" s="4" t="inlineStr">
        <is>
          <t>##0"")</t>
        </is>
      </c>
    </row>
    <row r="22">
      <c r="A22" s="3" t="inlineStr">
        <is>
          <t>Testing</t>
        </is>
      </c>
      <c r="B22" s="4" t="inlineStr">
        <is>
          <t>Security Testing</t>
        </is>
      </c>
      <c r="C22" s="4" t="inlineStr">
        <is>
          <t>Perform security testing on document handling pipeline</t>
        </is>
      </c>
      <c r="D22" s="4" t="inlineStr">
        <is>
          <t>EO Engineer</t>
        </is>
      </c>
      <c r="E22" s="6" t="n">
        <v>16</v>
      </c>
      <c r="F22" s="4">
        <f>'Estimate Settings'!$C$27</f>
        <v/>
      </c>
      <c r="G22" s="4">
        <f>$E52*$F52</f>
        <v/>
      </c>
      <c r="H22" s="7" t="n">
        <v>175</v>
      </c>
      <c r="I22" s="4">
        <f>TEXT($G52*$H52</f>
        <v/>
      </c>
      <c r="J22" s="4" t="inlineStr">
        <is>
          <t>$#</t>
        </is>
      </c>
      <c r="K22" s="4" t="inlineStr">
        <is>
          <t>##0"")</t>
        </is>
      </c>
    </row>
    <row r="23">
      <c r="A23" s="3" t="inlineStr">
        <is>
          <t>Deployment</t>
        </is>
      </c>
      <c r="B23" s="4" t="inlineStr">
        <is>
          <t>Production Deployment</t>
        </is>
      </c>
      <c r="C23" s="4" t="inlineStr">
        <is>
          <t>Deploy IDP solution to production AWS environment</t>
        </is>
      </c>
      <c r="D23" s="4" t="inlineStr">
        <is>
          <t>EO Engineer</t>
        </is>
      </c>
      <c r="E23" s="6" t="n">
        <v>24</v>
      </c>
      <c r="F23" s="4">
        <f>'Estimate Settings'!$C$28</f>
        <v/>
      </c>
      <c r="G23" s="4">
        <f>$E53*$F53</f>
        <v/>
      </c>
      <c r="H23" s="7" t="n">
        <v>160</v>
      </c>
      <c r="I23" s="4">
        <f>TEXT($G53*$H53</f>
        <v/>
      </c>
      <c r="J23" s="4" t="inlineStr">
        <is>
          <t>$#</t>
        </is>
      </c>
      <c r="K23" s="4" t="inlineStr">
        <is>
          <t>##0"")</t>
        </is>
      </c>
    </row>
    <row r="24">
      <c r="A24" s="3" t="inlineStr">
        <is>
          <t>Deployment</t>
        </is>
      </c>
      <c r="B24" s="4" t="inlineStr">
        <is>
          <t>Model Deployment</t>
        </is>
      </c>
      <c r="C24" s="4" t="inlineStr">
        <is>
          <t>Deploy trained ML models to production endpoints</t>
        </is>
      </c>
      <c r="D24" s="4" t="inlineStr">
        <is>
          <t>EO Engineer</t>
        </is>
      </c>
      <c r="E24" s="6" t="n">
        <v>16</v>
      </c>
      <c r="F24" s="4">
        <f>'Estimate Settings'!$C$28</f>
        <v/>
      </c>
      <c r="G24" s="4">
        <f>$E54*$F54</f>
        <v/>
      </c>
      <c r="H24" s="7" t="n">
        <v>170</v>
      </c>
      <c r="I24" s="4">
        <f>TEXT($G54*$H54</f>
        <v/>
      </c>
      <c r="J24" s="4" t="inlineStr">
        <is>
          <t>$#</t>
        </is>
      </c>
      <c r="K24" s="4" t="inlineStr">
        <is>
          <t>##0"")</t>
        </is>
      </c>
    </row>
    <row r="25">
      <c r="A25" s="3" t="inlineStr">
        <is>
          <t>Deployment</t>
        </is>
      </c>
      <c r="B25" s="4" t="inlineStr">
        <is>
          <t>Go-Live Support</t>
        </is>
      </c>
      <c r="C25" s="4" t="inlineStr">
        <is>
          <t>Provide support during initial production rollout</t>
        </is>
      </c>
      <c r="D25" s="4" t="inlineStr">
        <is>
          <t>EO Engineer</t>
        </is>
      </c>
      <c r="E25" s="6" t="n">
        <v>40</v>
      </c>
      <c r="F25" s="4">
        <f>'Estimate Settings'!$C$28</f>
        <v/>
      </c>
      <c r="G25" s="4">
        <f>$E55*$F55</f>
        <v/>
      </c>
      <c r="H25" s="7" t="n">
        <v>110</v>
      </c>
      <c r="I25" s="4">
        <f>TEXT($G55*$H55</f>
        <v/>
      </c>
      <c r="J25" s="4" t="inlineStr">
        <is>
          <t>$#</t>
        </is>
      </c>
      <c r="K25" s="4" t="inlineStr">
        <is>
          <t>##0"")</t>
        </is>
      </c>
    </row>
    <row r="26">
      <c r="A26" s="3" t="inlineStr">
        <is>
          <t>Training</t>
        </is>
      </c>
      <c r="B26" s="4" t="inlineStr">
        <is>
          <t>Administrator Training</t>
        </is>
      </c>
      <c r="C26" s="4" t="inlineStr">
        <is>
          <t>Train system administrators on IDP solution management</t>
        </is>
      </c>
      <c r="D26" s="4" t="inlineStr">
        <is>
          <t>EO Engineer</t>
        </is>
      </c>
      <c r="E26" s="6" t="n">
        <v>16</v>
      </c>
      <c r="F26" s="4">
        <f>'Estimate Settings'!$C$29</f>
        <v/>
      </c>
      <c r="G26" s="4">
        <f>$E56*$F56</f>
        <v/>
      </c>
      <c r="H26" s="7" t="n">
        <v>130</v>
      </c>
      <c r="I26" s="4">
        <f>TEXT($G56*$H56</f>
        <v/>
      </c>
      <c r="J26" s="4" t="inlineStr">
        <is>
          <t>$#</t>
        </is>
      </c>
      <c r="K26" s="4" t="inlineStr">
        <is>
          <t>##0"")</t>
        </is>
      </c>
    </row>
    <row r="27">
      <c r="A27" s="3" t="inlineStr">
        <is>
          <t>Training</t>
        </is>
      </c>
      <c r="B27" s="4" t="inlineStr">
        <is>
          <t>Business User Training</t>
        </is>
      </c>
      <c r="C27" s="4" t="inlineStr">
        <is>
          <t>Train users on document submission and results review</t>
        </is>
      </c>
      <c r="D27" s="4" t="inlineStr">
        <is>
          <t>EO Engineer</t>
        </is>
      </c>
      <c r="E27" s="6" t="n">
        <v>16</v>
      </c>
      <c r="F27" s="4">
        <f>'Estimate Settings'!$C$29</f>
        <v/>
      </c>
      <c r="G27" s="4">
        <f>$E57*$F57</f>
        <v/>
      </c>
      <c r="H27" s="7" t="n">
        <v>120</v>
      </c>
      <c r="I27" s="4">
        <f>TEXT($G57*$H57</f>
        <v/>
      </c>
      <c r="J27" s="4" t="inlineStr">
        <is>
          <t>$#</t>
        </is>
      </c>
      <c r="K27" s="4" t="inlineStr">
        <is>
          <t>##0"")</t>
        </is>
      </c>
    </row>
    <row r="28">
      <c r="A28" s="3" t="inlineStr">
        <is>
          <t>Training</t>
        </is>
      </c>
      <c r="B28" s="4" t="inlineStr">
        <is>
          <t>Documentation</t>
        </is>
      </c>
      <c r="C28" s="4" t="inlineStr">
        <is>
          <t>Create user guides technical documentation and runbooks</t>
        </is>
      </c>
      <c r="D28" s="4" t="inlineStr">
        <is>
          <t>EO Engineer</t>
        </is>
      </c>
      <c r="E28" s="6" t="n">
        <v>24</v>
      </c>
      <c r="F28" s="4">
        <f>'Estimate Settings'!$C$29</f>
        <v/>
      </c>
      <c r="G28" s="4">
        <f>$E58*$F58</f>
        <v/>
      </c>
      <c r="H28" s="7" t="n">
        <v>110</v>
      </c>
      <c r="I28" s="4">
        <f>TEXT($G58*$H58</f>
        <v/>
      </c>
      <c r="J28" s="4" t="inlineStr">
        <is>
          <t>$#</t>
        </is>
      </c>
      <c r="K28" s="4" t="inlineStr">
        <is>
          <t>##0"")</t>
        </is>
      </c>
    </row>
    <row r="29">
      <c r="A29" s="3" t="inlineStr">
        <is>
          <t>Closeout</t>
        </is>
      </c>
      <c r="B29" s="4" t="inlineStr">
        <is>
          <t>Knowledge Transfer</t>
        </is>
      </c>
      <c r="C29" s="4" t="inlineStr">
        <is>
          <t>Transfer solution ownership to client operations team</t>
        </is>
      </c>
      <c r="D29" s="4" t="inlineStr">
        <is>
          <t>EO Engineer</t>
        </is>
      </c>
      <c r="E29" s="6" t="n">
        <v>16</v>
      </c>
      <c r="F29" s="4">
        <f>'Estimate Settings'!$C$30</f>
        <v/>
      </c>
      <c r="G29" s="4">
        <f>$E59*$F59</f>
        <v/>
      </c>
      <c r="H29" s="7" t="n">
        <v>140</v>
      </c>
      <c r="I29" s="4">
        <f>TEXT($G59*$H59</f>
        <v/>
      </c>
      <c r="J29" s="4" t="inlineStr">
        <is>
          <t>$#</t>
        </is>
      </c>
      <c r="K29" s="4" t="inlineStr">
        <is>
          <t>##0"")</t>
        </is>
      </c>
    </row>
    <row r="30">
      <c r="A30" s="3" t="inlineStr">
        <is>
          <t>Closeout</t>
        </is>
      </c>
      <c r="B30" s="4" t="inlineStr">
        <is>
          <t>Performance Baseline</t>
        </is>
      </c>
      <c r="C30" s="4" t="inlineStr">
        <is>
          <t>Establish performance metrics and monitoring baselines</t>
        </is>
      </c>
      <c r="D30" s="4" t="inlineStr">
        <is>
          <t>EO Engineer</t>
        </is>
      </c>
      <c r="E30" s="6" t="n">
        <v>8</v>
      </c>
      <c r="F30" s="4">
        <f>'Estimate Settings'!$C$30</f>
        <v/>
      </c>
      <c r="G30" s="4">
        <f>$E60*$F60</f>
        <v/>
      </c>
      <c r="H30" s="7" t="n">
        <v>130</v>
      </c>
      <c r="I30" s="4">
        <f>TEXT($G60*$H60</f>
        <v/>
      </c>
      <c r="J30" s="4" t="inlineStr">
        <is>
          <t>$#</t>
        </is>
      </c>
      <c r="K30" s="4" t="inlineStr">
        <is>
          <t>##0"")</t>
        </is>
      </c>
    </row>
    <row r="31">
      <c r="A31" s="3" t="inlineStr">
        <is>
          <t>Management</t>
        </is>
      </c>
      <c r="B31" s="4" t="inlineStr">
        <is>
          <t>Technical Leadership</t>
        </is>
      </c>
      <c r="C31" s="4" t="inlineStr">
        <is>
          <t>Quarterback technical oversight and architecture review</t>
        </is>
      </c>
      <c r="D31" s="4" t="inlineStr">
        <is>
          <t>EO Quarterback</t>
        </is>
      </c>
      <c r="E31" s="4">
        <f>ROUND(SUM($G$33:$G$60)*0.10</f>
        <v/>
      </c>
      <c r="F31" s="5" t="n">
        <v>0</v>
      </c>
      <c r="G31" s="4">
        <f>'Estimate Settings'!$C$32</f>
        <v/>
      </c>
      <c r="H31" s="4">
        <f>$E61*$F61</f>
        <v/>
      </c>
      <c r="I31" s="7" t="n">
        <v>200</v>
      </c>
      <c r="J31" s="4">
        <f>TEXT($G61*$H61</f>
        <v/>
      </c>
      <c r="K31" s="4" t="inlineStr">
        <is>
          <t>$#</t>
        </is>
      </c>
    </row>
    <row r="32">
      <c r="A32" s="3" t="inlineStr">
        <is>
          <t>Management</t>
        </is>
      </c>
      <c r="B32" s="4" t="inlineStr">
        <is>
          <t>Project Management</t>
        </is>
      </c>
      <c r="C32" s="4" t="inlineStr">
        <is>
          <t>Project coordination planning and management activities</t>
        </is>
      </c>
      <c r="D32" s="4" t="inlineStr">
        <is>
          <t>EO Project Manager</t>
        </is>
      </c>
      <c r="E32" s="4">
        <f>ROUND(SUM($G$33:$G$60)*0.10</f>
        <v/>
      </c>
      <c r="F32" s="5" t="n">
        <v>0</v>
      </c>
      <c r="G32" s="4">
        <f>'Estimate Settings'!$C$31</f>
        <v/>
      </c>
      <c r="H32" s="4">
        <f>$E62*$F62</f>
        <v/>
      </c>
      <c r="I32" s="7" t="n">
        <v>150</v>
      </c>
      <c r="J32" s="4">
        <f>TEXT($G62*$H62</f>
        <v/>
      </c>
      <c r="K32" s="4" t="inlineStr">
        <is>
          <t>$#</t>
        </is>
      </c>
    </row>
    <row r="33">
      <c r="A33" s="3" t="inlineStr"/>
      <c r="B33" s="4" t="inlineStr"/>
      <c r="C33" s="4" t="inlineStr"/>
      <c r="D33" s="4" t="inlineStr"/>
      <c r="E33" s="4" t="inlineStr"/>
      <c r="F33" s="4" t="inlineStr">
        <is>
          <t>TOTAL HOURS</t>
        </is>
      </c>
      <c r="G33" s="4">
        <f>SUM($G$33:$G$62)</f>
        <v/>
      </c>
      <c r="H33" s="4" t="inlineStr">
        <is>
          <t>TOTAL COST</t>
        </is>
      </c>
      <c r="I33" s="4">
        <f>TEXT(SUMPRODUCT($G$33:$G$62</f>
        <v/>
      </c>
      <c r="J33" s="4" t="inlineStr">
        <is>
          <t>$H$33:$H$62)</t>
        </is>
      </c>
      <c r="K33" s="4" t="inlineStr">
        <is>
          <t>$#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</cols>
  <sheetData>
    <row r="1" ht="25" customHeight="1">
      <c r="A1" s="1" t="inlineStr">
        <is>
          <t># PROFESSIONAL SERVICES CREDITS - Applied to Total Cost (Year 1 Only)</t>
        </is>
      </c>
    </row>
    <row r="2" ht="30" customHeight="1">
      <c r="A2" s="2" t="inlineStr">
        <is>
          <t>Credit Type</t>
        </is>
      </c>
      <c r="B2" s="2" t="inlineStr">
        <is>
          <t>Credit Amount</t>
        </is>
      </c>
      <c r="C2" s="2" t="inlineStr">
        <is>
          <t>Credit Comments</t>
        </is>
      </c>
    </row>
    <row r="3">
      <c r="A3" s="3" t="inlineStr">
        <is>
          <t>AWS Partner Services Credit</t>
        </is>
      </c>
      <c r="B3" s="7" t="n">
        <v>-10000</v>
      </c>
      <c r="C3" s="4" t="inlineStr">
        <is>
          <t>AWS Partner Network (APN) credit for solution architecture and AI/ML integration services</t>
        </is>
      </c>
    </row>
    <row r="4">
      <c r="A4" s="3" t="inlineStr">
        <is>
          <t>Implementation Discount</t>
        </is>
      </c>
      <c r="B4" s="7" t="n">
        <v>0</v>
      </c>
      <c r="C4" s="4" t="inlineStr">
        <is>
          <t>No implementation discount applicable</t>
        </is>
      </c>
    </row>
    <row r="5">
      <c r="A5" s="3" t="inlineStr">
        <is>
          <t>NET PROFESSIONAL SERVICES COST</t>
        </is>
      </c>
      <c r="B5" s="4">
        <f>SUMPRODUCT($G$33:$G$62</f>
        <v/>
      </c>
      <c r="C5" s="4" t="inlineStr">
        <is>
          <t>$H$33:$H$62)-10000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2025-11-19T19:58:50Z</dcterms:created>
  <dcterms:modified xmlns:dcterms="http://purl.org/dc/terms/" xmlns:xsi="http://www.w3.org/2001/XMLSchema-instance" xsi:type="dcterms:W3CDTF">2025-11-19T19:58:50Z</dcterms:modified>
</cp:coreProperties>
</file>