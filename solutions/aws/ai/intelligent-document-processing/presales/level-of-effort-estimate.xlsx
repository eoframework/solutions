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0" fontId="17" fillId="4" borderId="5" applyAlignment="1" pivotButton="0" quotePrefix="0" xfId="0">
      <alignment horizontal="center" vertical="center" wrapText="1"/>
    </xf>
    <xf numFmtId="0" fontId="17" fillId="4" borderId="5" applyAlignment="1" pivotButton="0" quotePrefix="0" xfId="0">
      <alignment horizontal="right" vertical="center" wrapText="1"/>
    </xf>
    <xf numFmtId="166" fontId="17" fillId="4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left" vertical="center" wrapText="1" indent="1"/>
    </xf>
    <xf numFmtId="0" fontId="17" fillId="11" borderId="5" applyAlignment="1" pivotButton="0" quotePrefix="0" xfId="0">
      <alignment horizontal="left" vertical="center" wrapText="1" indent="1"/>
    </xf>
    <xf numFmtId="3" fontId="17" fillId="11" borderId="5" applyAlignment="1" pivotButton="0" quotePrefix="0" xfId="0">
      <alignment horizontal="right" vertical="center" wrapText="1"/>
    </xf>
    <xf numFmtId="0" fontId="17" fillId="11" borderId="5" applyAlignment="1" pivotButton="0" quotePrefix="0" xfId="0">
      <alignment horizontal="center" vertical="center" wrapText="1"/>
    </xf>
    <xf numFmtId="0" fontId="17" fillId="11" borderId="5" applyAlignment="1" pivotButton="0" quotePrefix="0" xfId="0">
      <alignment horizontal="right" vertical="center" wrapText="1"/>
    </xf>
    <xf numFmtId="166" fontId="17" fillId="11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 wrapText="1"/>
    </xf>
    <xf numFmtId="0" fontId="19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[Document Type]</t>
        </is>
      </c>
    </row>
    <row r="5" ht="30" customHeight="1">
      <c r="A5" t="inlineStr">
        <is>
          <t>AWS - Ai - Intelligent Document Processing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25" customWidth="1" min="4" max="4"/>
    <col width="25" customWidth="1" min="5" max="5"/>
    <col width="30" customWidth="1" min="6" max="6"/>
    <col width="4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Document Types</t>
        </is>
      </c>
      <c r="C3" s="39" t="inlineStr">
        <is>
          <t>2-3 document types</t>
        </is>
      </c>
      <c r="D3" s="38" t="inlineStr">
        <is>
          <t>2-3 document types</t>
        </is>
      </c>
      <c r="E3" s="38" t="inlineStr">
        <is>
          <t>4-6 document types</t>
        </is>
      </c>
      <c r="F3" s="38" t="inlineStr">
        <is>
          <t>8+ document types or complex variations</t>
        </is>
      </c>
      <c r="G3" s="38" t="inlineStr">
        <is>
          <t>Standard document types for IDP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AI/ML Complexity</t>
        </is>
      </c>
      <c r="C4" s="39" t="inlineStr">
        <is>
          <t>AWS Textract/Comprehend only</t>
        </is>
      </c>
      <c r="D4" s="41" t="inlineStr">
        <is>
          <t>AWS Textract/Comprehend only</t>
        </is>
      </c>
      <c r="E4" s="41" t="inlineStr">
        <is>
          <t>Custom classification models</t>
        </is>
      </c>
      <c r="F4" s="41" t="inlineStr">
        <is>
          <t>Advanced custom models + NLP</t>
        </is>
      </c>
      <c r="G4" s="41" t="inlineStr">
        <is>
          <t>Pre-built vs custom model development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 for document flow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S3 and email ingestion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Document input channels and storage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Users submitting and reviewing documents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(submitter reviewer admin)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Document processors reviewers administrators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Document Processing Volume</t>
        </is>
      </c>
      <c r="C9" s="39" t="inlineStr">
        <is>
          <t>1000-5000 docs/month</t>
        </is>
      </c>
      <c r="D9" s="38" t="inlineStr">
        <is>
          <t>1000-5000 docs/month</t>
        </is>
      </c>
      <c r="E9" s="38" t="inlineStr">
        <is>
          <t>10000-50000 docs/month</t>
        </is>
      </c>
      <c r="F9" s="38" t="inlineStr">
        <is>
          <t>100000+ docs/month</t>
        </is>
      </c>
      <c r="G9" s="38" t="inlineStr">
        <is>
          <t>Monthly document processing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Document storage and retention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AWS region (us-east-1)</t>
        </is>
      </c>
      <c r="D11" s="38" t="inlineStr">
        <is>
          <t>Single AWS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 for IDP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for document processing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Serverless (Lambda S3 Textract)</t>
        </is>
      </c>
      <c r="D13" s="38" t="inlineStr">
        <is>
          <t>Basic serverless</t>
        </is>
      </c>
      <c r="E13" s="38" t="inlineStr">
        <is>
          <t>Multi-tier standard</t>
        </is>
      </c>
      <c r="F13" s="38" t="inlineStr">
        <is>
          <t>Complex distributed with custom ML</t>
        </is>
      </c>
      <c r="G13" s="38" t="inlineStr">
        <is>
          <t>AWS Lambda S3 Textract Comprehend architecture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encryption IAM SSE-S3</t>
        </is>
      </c>
      <c r="D14" s="41" t="inlineStr">
        <is>
          <t>Basic encryption IAM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Document security and access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for documents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Accuracy Requirements</t>
        </is>
      </c>
      <c r="C16" s="39" t="inlineStr">
        <is>
          <t>95%+ extraction accuracy</t>
        </is>
      </c>
      <c r="D16" s="41" t="inlineStr">
        <is>
          <t>95%+ standard</t>
        </is>
      </c>
      <c r="E16" s="41" t="inlineStr">
        <is>
          <t>98%+ enhanced</t>
        </is>
      </c>
      <c r="F16" s="41" t="inlineStr">
        <is>
          <t>99%+ with human review</t>
        </is>
      </c>
      <c r="G16" s="41" t="inlineStr">
        <is>
          <t>Data extraction accuracy targets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Processing Speed</t>
        </is>
      </c>
      <c r="C17" s="39" t="inlineStr">
        <is>
          <t>Standard batch processing</t>
        </is>
      </c>
      <c r="D17" s="38" t="inlineStr">
        <is>
          <t>Standard batch processing</t>
        </is>
      </c>
      <c r="E17" s="38" t="inlineStr">
        <is>
          <t>Near real-time processing</t>
        </is>
      </c>
      <c r="F17" s="38" t="inlineStr">
        <is>
          <t>Real-time with sub-second response</t>
        </is>
      </c>
      <c r="G17" s="38" t="inlineStr">
        <is>
          <t>Document processing speed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3 environments (dev staging prod)</t>
        </is>
      </c>
      <c r="F18" s="41" t="inlineStr">
        <is>
          <t>4+ environments with ML pipelines</t>
        </is>
      </c>
      <c r="G18" s="41" t="inlineStr">
        <is>
          <t>Environment management for IDP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15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Document Analysis, AWS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(IDP Solution Design, Data Flow Design, Security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(AWS Infrastructure, Document Pipeline, AI/ML Integration, Custom Models, API Development)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Document Testing, Performance Testing, Accuracy Testing, Security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Model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Business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</sheetData>
  <autoFilter ref="A2:E12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IDP requirements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requirements documentation and document processing workflow analysis</t>
        </is>
      </c>
    </row>
    <row r="4" ht="26" customHeight="1">
      <c r="A4" s="51" t="inlineStr">
        <is>
          <t>Discovery</t>
        </is>
      </c>
      <c r="B4" s="52" t="inlineStr">
        <is>
          <t>Document Analysis</t>
        </is>
      </c>
      <c r="C4" s="52" t="inlineStr">
        <is>
          <t>Analyze document types volumes and data extraction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document samples for each document type</t>
        </is>
      </c>
    </row>
    <row r="5" ht="26" customHeight="1">
      <c r="A5" s="45" t="inlineStr">
        <is>
          <t>Discovery</t>
        </is>
      </c>
      <c r="B5" s="46" t="inlineStr">
        <is>
          <t>AWS Environment Assessment</t>
        </is>
      </c>
      <c r="C5" s="46" t="inlineStr">
        <is>
          <t>Evaluate AWS infrastructure and AI/ML services readiness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AWS account access and service limits information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data privacy compliance and security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PII/PHI handling requirements and document retention policies</t>
        </is>
      </c>
    </row>
    <row r="7" ht="26" customHeight="1">
      <c r="A7" s="45" t="inlineStr">
        <is>
          <t>Planning</t>
        </is>
      </c>
      <c r="B7" s="46" t="inlineStr">
        <is>
          <t>IDP Solution Design</t>
        </is>
      </c>
      <c r="C7" s="46" t="inlineStr">
        <is>
          <t>Design AWS AI/ML architecture with Textract Comprehend A2I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AWS architecture diagram with AI/ML service integration design</t>
        </is>
      </c>
    </row>
    <row r="8" ht="26" customHeight="1">
      <c r="A8" s="51" t="inlineStr">
        <is>
          <t>Planning</t>
        </is>
      </c>
      <c r="B8" s="52" t="inlineStr">
        <is>
          <t>Data Flow Design</t>
        </is>
      </c>
      <c r="C8" s="52" t="inlineStr">
        <is>
          <t>Design document ingestion processing and output workflows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Document Analysis</t>
        </is>
      </c>
      <c r="K8" s="52" t="inlineStr">
        <is>
          <t>Deliverable: Document processing workflow and data flow diagrams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security controls encryption and access for documents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Compliance Review</t>
        </is>
      </c>
      <c r="K9" s="46" t="inlineStr">
        <is>
          <t>Document encryption at rest/transit IAM roles and audit logging design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IDP Solution Design</t>
        </is>
      </c>
      <c r="K10" s="52" t="inlineStr">
        <is>
          <t>Deliverable: Project plan with phased rollout and milestone schedule</t>
        </is>
      </c>
    </row>
    <row r="11" ht="26" customHeight="1">
      <c r="A11" s="45" t="inlineStr">
        <is>
          <t>Development</t>
        </is>
      </c>
      <c r="B11" s="46" t="inlineStr">
        <is>
          <t>AWS Infrastructure Setup</t>
        </is>
      </c>
      <c r="C11" s="46" t="inlineStr">
        <is>
          <t>Provision Textract Comprehend S3 Lambda and supporting services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IDP Solution Design</t>
        </is>
      </c>
      <c r="K11" s="46" t="inlineStr">
        <is>
          <t>Includes S3 buckets Lambda functions API Gateway and CloudWatch setup</t>
        </is>
      </c>
    </row>
    <row r="12" ht="26" customHeight="1">
      <c r="A12" s="51" t="inlineStr">
        <is>
          <t>Development</t>
        </is>
      </c>
      <c r="B12" s="52" t="inlineStr">
        <is>
          <t>Document Processing Pipeline</t>
        </is>
      </c>
      <c r="C12" s="52" t="inlineStr">
        <is>
          <t>Build document ingestion and processing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130</v>
      </c>
      <c r="I12" s="55">
        <f>TEXT($G12*$H12,"$#,##0")</f>
        <v/>
      </c>
      <c r="J12" s="52" t="inlineStr">
        <is>
          <t>AWS Infrastructure Setup</t>
        </is>
      </c>
      <c r="K12" s="52" t="inlineStr">
        <is>
          <t>Serverless event-driven pipeline with error handling and retry logic</t>
        </is>
      </c>
    </row>
    <row r="13" ht="26" customHeight="1">
      <c r="A13" s="45" t="inlineStr">
        <is>
          <t>Development</t>
        </is>
      </c>
      <c r="B13" s="46" t="inlineStr">
        <is>
          <t>AI/ML Model Integration</t>
        </is>
      </c>
      <c r="C13" s="46" t="inlineStr">
        <is>
          <t>Integrate AWS Textract Comprehend and A2I services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Document Processing Pipeline</t>
        </is>
      </c>
      <c r="K13" s="46" t="inlineStr">
        <is>
          <t>Configure Textract APIs Comprehend entity recognition and A2I workflows</t>
        </is>
      </c>
    </row>
    <row r="14" ht="26" customHeight="1">
      <c r="A14" s="51" t="inlineStr">
        <is>
          <t>Development</t>
        </is>
      </c>
      <c r="B14" s="52" t="inlineStr">
        <is>
          <t>Custom Classification Models</t>
        </is>
      </c>
      <c r="C14" s="52" t="inlineStr">
        <is>
          <t>Develop minimal classification logic for 2-3 document types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AI/ML Model Integration</t>
        </is>
      </c>
      <c r="K14" s="52" t="inlineStr">
        <is>
          <t>Simple classification using AWS pre-built services - not full custom ML models</t>
        </is>
      </c>
    </row>
    <row r="15" ht="26" customHeight="1">
      <c r="A15" s="45" t="inlineStr">
        <is>
          <t>Development</t>
        </is>
      </c>
      <c r="B15" s="46" t="inlineStr">
        <is>
          <t>Data Extraction Logic</t>
        </is>
      </c>
      <c r="C15" s="46" t="inlineStr">
        <is>
          <t>Build structured data extraction and validation logic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130</v>
      </c>
      <c r="I15" s="49">
        <f>TEXT($G15*$H15,"$#,##0")</f>
        <v/>
      </c>
      <c r="J15" s="46" t="inlineStr">
        <is>
          <t>Custom Classification Models</t>
        </is>
      </c>
      <c r="K15" s="46" t="inlineStr">
        <is>
          <t>Includes field validation business rules and confidence scoring</t>
        </is>
      </c>
    </row>
    <row r="16" ht="26" customHeight="1">
      <c r="A16" s="51" t="inlineStr">
        <is>
          <t>Development</t>
        </is>
      </c>
      <c r="B16" s="52" t="inlineStr">
        <is>
          <t>API Development</t>
        </is>
      </c>
      <c r="C16" s="52" t="inlineStr">
        <is>
          <t>Create REST APIs for document submission and retrieval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125</v>
      </c>
      <c r="I16" s="55">
        <f>TEXT($G16*$H16,"$#,##0")</f>
        <v/>
      </c>
      <c r="J16" s="52" t="inlineStr">
        <is>
          <t>Data Extraction Logic</t>
        </is>
      </c>
      <c r="K16" s="52" t="inlineStr">
        <is>
          <t>API Gateway endpoints with authentication and rate limiting</t>
        </is>
      </c>
    </row>
    <row r="17" ht="26" customHeight="1">
      <c r="A17" s="45" t="inlineStr">
        <is>
          <t>Development</t>
        </is>
      </c>
      <c r="B17" s="46" t="inlineStr">
        <is>
          <t>Web Interface</t>
        </is>
      </c>
      <c r="C17" s="46" t="inlineStr">
        <is>
          <t>Build document upload and results viewing interface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125</v>
      </c>
      <c r="I17" s="49">
        <f>TEXT($G17*$H17,"$#,##0")</f>
        <v/>
      </c>
      <c r="J17" s="46" t="inlineStr">
        <is>
          <t>API Development</t>
        </is>
      </c>
      <c r="K17" s="46" t="inlineStr">
        <is>
          <t>Simple upload UI with drag-drop and results dashboard - not full application</t>
        </is>
      </c>
    </row>
    <row r="18" ht="26" customHeight="1">
      <c r="A18" s="51" t="inlineStr">
        <is>
          <t>Testing</t>
        </is>
      </c>
      <c r="B18" s="52" t="inlineStr">
        <is>
          <t>Unit Testing</t>
        </is>
      </c>
      <c r="C18" s="52" t="inlineStr">
        <is>
          <t>Develop automated tests for all processing components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Data Extraction Logic</t>
        </is>
      </c>
      <c r="K18" s="52" t="inlineStr">
        <is>
          <t>Automated test suite for Lambda functions and API endpoints</t>
        </is>
      </c>
    </row>
    <row r="19" ht="26" customHeight="1">
      <c r="A19" s="45" t="inlineStr">
        <is>
          <t>Testing</t>
        </is>
      </c>
      <c r="B19" s="46" t="inlineStr">
        <is>
          <t>Document Processing Testing</t>
        </is>
      </c>
      <c r="C19" s="46" t="inlineStr">
        <is>
          <t>Test various document types formats and qualities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Web Interface</t>
        </is>
      </c>
      <c r="K19" s="46" t="inlineStr">
        <is>
          <t>Customer must provide comprehensive test document library with variations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Test system performance with high document volumes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140</v>
      </c>
      <c r="I20" s="55">
        <f>TEXT($G20*$H20,"$#,##0")</f>
        <v/>
      </c>
      <c r="J20" s="52" t="inlineStr">
        <is>
          <t>Document Processing Testing</t>
        </is>
      </c>
      <c r="K20" s="52" t="inlineStr">
        <is>
          <t>Load testing with realistic document volumes and concurrent processing</t>
        </is>
      </c>
    </row>
    <row r="21" ht="26" customHeight="1">
      <c r="A21" s="45" t="inlineStr">
        <is>
          <t>Testing</t>
        </is>
      </c>
      <c r="B21" s="46" t="inlineStr">
        <is>
          <t>Accuracy Testing</t>
        </is>
      </c>
      <c r="C21" s="46" t="inlineStr">
        <is>
          <t>Validate AI/ML model accuracy and data extraction quality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170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Statistical validation of extraction accuracy against labeled test dataset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testing on document handling pipeline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Accuracy Testing</t>
        </is>
      </c>
      <c r="K22" s="52" t="inlineStr">
        <is>
          <t>Includes IAM policy validation encryption testing and audit log verification</t>
        </is>
      </c>
    </row>
    <row r="23" ht="26" customHeight="1">
      <c r="A23" s="45" t="inlineStr">
        <is>
          <t>Deployment</t>
        </is>
      </c>
      <c r="B23" s="46" t="inlineStr">
        <is>
          <t>Production Deployment</t>
        </is>
      </c>
      <c r="C23" s="46" t="inlineStr">
        <is>
          <t>Deploy IDP solution to production AWS environment</t>
        </is>
      </c>
      <c r="D23" s="46" t="inlineStr">
        <is>
          <t>EO Engineer</t>
        </is>
      </c>
      <c r="E23" s="47" t="n">
        <v>24</v>
      </c>
      <c r="F23" s="48">
        <f>'Estimate Settings'!$C$7</f>
        <v/>
      </c>
      <c r="G23" s="49">
        <f>$E23*$F23</f>
        <v/>
      </c>
      <c r="H23" s="50" t="n">
        <v>160</v>
      </c>
      <c r="I23" s="49">
        <f>TEXT($G23*$H23,"$#,##0")</f>
        <v/>
      </c>
      <c r="J23" s="46" t="inlineStr">
        <is>
          <t>Security Testing</t>
        </is>
      </c>
      <c r="K23" s="46" t="inlineStr">
        <is>
          <t>Blue-green deployment with rollback procedures and smoke testing</t>
        </is>
      </c>
    </row>
    <row r="24" ht="26" customHeight="1">
      <c r="A24" s="51" t="inlineStr">
        <is>
          <t>Deployment</t>
        </is>
      </c>
      <c r="B24" s="52" t="inlineStr">
        <is>
          <t>Model Deployment</t>
        </is>
      </c>
      <c r="C24" s="52" t="inlineStr">
        <is>
          <t>Deploy trained ML models to production endpoints</t>
        </is>
      </c>
      <c r="D24" s="52" t="inlineStr">
        <is>
          <t>EO Engineer</t>
        </is>
      </c>
      <c r="E24" s="53" t="n">
        <v>16</v>
      </c>
      <c r="F24" s="54">
        <f>'Estimate Settings'!$C$7</f>
        <v/>
      </c>
      <c r="G24" s="55">
        <f>$E24*$F24</f>
        <v/>
      </c>
      <c r="H24" s="56" t="n">
        <v>170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Deploy classification logic and configure production Textract/Comprehend</t>
        </is>
      </c>
    </row>
    <row r="25" ht="26" customHeight="1">
      <c r="A25" s="45" t="inlineStr">
        <is>
          <t>Deployment</t>
        </is>
      </c>
      <c r="B25" s="46" t="inlineStr">
        <is>
          <t>Go-Live Support</t>
        </is>
      </c>
      <c r="C25" s="46" t="inlineStr">
        <is>
          <t>Provide support during initial production rollout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110</v>
      </c>
      <c r="I25" s="49">
        <f>TEXT($G25*$H25,"$#,##0")</f>
        <v/>
      </c>
      <c r="J25" s="46" t="inlineStr">
        <is>
          <t>Model Deployment</t>
        </is>
      </c>
      <c r="K25" s="46" t="inlineStr">
        <is>
          <t>Daily monitoring rapid issue response and accuracy validation during hypercare</t>
        </is>
      </c>
    </row>
    <row r="26" ht="26" customHeight="1">
      <c r="A26" s="51" t="inlineStr">
        <is>
          <t>Training</t>
        </is>
      </c>
      <c r="B26" s="52" t="inlineStr">
        <is>
          <t>Administrator Training</t>
        </is>
      </c>
      <c r="C26" s="52" t="inlineStr">
        <is>
          <t>Train system administrators on IDP solution management</t>
        </is>
      </c>
      <c r="D26" s="52" t="inlineStr">
        <is>
          <t>EO Engineer</t>
        </is>
      </c>
      <c r="E26" s="53" t="n">
        <v>16</v>
      </c>
      <c r="F26" s="54">
        <f>'Estimate Settings'!$C$8</f>
        <v/>
      </c>
      <c r="G26" s="55">
        <f>$E26*$F26</f>
        <v/>
      </c>
      <c r="H26" s="56" t="n">
        <v>130</v>
      </c>
      <c r="I26" s="55">
        <f>TEXT($G26*$H26,"$#,##0")</f>
        <v/>
      </c>
      <c r="J26" s="52" t="inlineStr">
        <is>
          <t>Production Deployment</t>
        </is>
      </c>
      <c r="K26" s="52" t="inlineStr">
        <is>
          <t>Includes AWS service management CloudWatch monitoring and troubleshooting</t>
        </is>
      </c>
    </row>
    <row r="27" ht="26" customHeight="1">
      <c r="A27" s="45" t="inlineStr">
        <is>
          <t>Training</t>
        </is>
      </c>
      <c r="B27" s="46" t="inlineStr">
        <is>
          <t>Business User Training</t>
        </is>
      </c>
      <c r="C27" s="46" t="inlineStr">
        <is>
          <t>Train users on document submission and results review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120</v>
      </c>
      <c r="I27" s="49">
        <f>TEXT($G27*$H27,"$#,##0")</f>
        <v/>
      </c>
      <c r="J27" s="46" t="inlineStr">
        <is>
          <t>Administrator Training</t>
        </is>
      </c>
      <c r="K27" s="46" t="inlineStr">
        <is>
          <t>Role-based training for document processors and quality reviewers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user guides technical documentation and runbooks</t>
        </is>
      </c>
      <c r="D28" s="52" t="inlineStr">
        <is>
          <t>EO Engineer</t>
        </is>
      </c>
      <c r="E28" s="53" t="n">
        <v>24</v>
      </c>
      <c r="F28" s="54">
        <f>'Estimate Settings'!$C$8</f>
        <v/>
      </c>
      <c r="G28" s="55">
        <f>$E28*$F28</f>
        <v/>
      </c>
      <c r="H28" s="56" t="n">
        <v>110</v>
      </c>
      <c r="I28" s="55">
        <f>TEXT($G28*$H28,"$#,##0")</f>
        <v/>
      </c>
      <c r="J28" s="52" t="inlineStr">
        <is>
          <t>Business User Training</t>
        </is>
      </c>
      <c r="K28" s="52" t="inlineStr">
        <is>
          <t>Deliverable: Operations runbook user guides and troubleshooting procedures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solution ownership to client operations team</t>
        </is>
      </c>
      <c r="D29" s="46" t="inlineStr">
        <is>
          <t>EO Engineer</t>
        </is>
      </c>
      <c r="E29" s="47" t="n">
        <v>16</v>
      </c>
      <c r="F29" s="48">
        <f>'Estimate Settings'!$C$9</f>
        <v/>
      </c>
      <c r="G29" s="49">
        <f>$E29*$F29</f>
        <v/>
      </c>
      <c r="H29" s="50" t="n">
        <v>140</v>
      </c>
      <c r="I29" s="49">
        <f>TEXT($G29*$H29,"$#,##0")</f>
        <v/>
      </c>
      <c r="J29" s="46" t="inlineStr">
        <is>
          <t>Documentation</t>
        </is>
      </c>
      <c r="K29" s="46" t="inlineStr">
        <is>
          <t>Comprehensive handover including AWS architecture model details and procedures</t>
        </is>
      </c>
    </row>
    <row r="30" ht="26" customHeight="1">
      <c r="A30" s="51" t="inlineStr">
        <is>
          <t>Closeout</t>
        </is>
      </c>
      <c r="B30" s="52" t="inlineStr">
        <is>
          <t>Performance Baseline</t>
        </is>
      </c>
      <c r="C30" s="52" t="inlineStr">
        <is>
          <t>Establish performance metrics and monitoring baselines</t>
        </is>
      </c>
      <c r="D30" s="52" t="inlineStr">
        <is>
          <t>EO Engineer</t>
        </is>
      </c>
      <c r="E30" s="53" t="n">
        <v>8</v>
      </c>
      <c r="F30" s="54">
        <f>'Estimate Settings'!$C$9</f>
        <v/>
      </c>
      <c r="G30" s="55">
        <f>$E30*$F30</f>
        <v/>
      </c>
      <c r="H30" s="56" t="n">
        <v>130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Establishes accuracy SLAs processing time metrics and cost monitoring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Quarterback technical oversight and architecture review</t>
        </is>
      </c>
      <c r="D31" s="46" t="inlineStr">
        <is>
          <t>EO Quarterback</t>
        </is>
      </c>
      <c r="E31" s="49">
        <f>ROUND(SUM($G$3:$G$30)*0.10,0)</f>
        <v/>
      </c>
      <c r="F31" s="48">
        <f>'Estimate Settings'!$C$11</f>
        <v/>
      </c>
      <c r="G31" s="49">
        <f>$E31*$F31</f>
        <v/>
      </c>
      <c r="H31" s="50" t="n">
        <v>200</v>
      </c>
      <c r="I31" s="49">
        <f>TEXT($G31*$H31,"$#,##0")</f>
        <v/>
      </c>
      <c r="J31" s="46" t="inlineStr"/>
      <c r="K31" s="46" t="inlineStr">
        <is>
          <t>AWS AI/ML architecture review and technical escalation support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planning and management activities</t>
        </is>
      </c>
      <c r="D32" s="52" t="inlineStr">
        <is>
          <t>EO Project Manager</t>
        </is>
      </c>
      <c r="E32" s="55">
        <f>ROUND(SUM($G$3:$G$30)*0.10,0)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Includes weekly status reporting risk management and stakeholder coordination</t>
        </is>
      </c>
    </row>
    <row r="33" ht="26" customHeight="1">
      <c r="A33" s="57" t="inlineStr"/>
      <c r="B33" s="57" t="inlineStr"/>
      <c r="C33" s="57" t="inlineStr"/>
      <c r="D33" s="57" t="inlineStr"/>
      <c r="E33" s="57" t="inlineStr"/>
      <c r="F33" s="58" t="inlineStr">
        <is>
          <t>TOTAL HOURS</t>
        </is>
      </c>
      <c r="G33" s="58">
        <f>SUM($G$3:$G$32)</f>
        <v/>
      </c>
      <c r="H33" s="58" t="inlineStr">
        <is>
          <t>TOTAL COST</t>
        </is>
      </c>
      <c r="I33" s="58">
        <f>TEXT(SUMPRODUCT($G$3:$G$32,$H$3:$H$32),"$#,##0")</f>
        <v/>
      </c>
      <c r="J33" s="57" t="inlineStr"/>
      <c r="K33" s="57" t="inlineStr">
        <is>
          <t>EO Sales Engineer: Update phase-based multipliers in Estimate Settings based on customer document processing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59" t="n">
        <v>-10000</v>
      </c>
      <c r="C3" s="38" t="inlineStr">
        <is>
          <t>AWS Partner Network (APN) credit for solution architecture and AI/ML integration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SUMPRODUCT($G$3:$G$32,$H$3:$H$32)-10000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2025-11-20T01:29:35Z</dcterms:modified>
  <cp:lastModifiedBy>Kishan Siram</cp:lastModifiedBy>
</cp:coreProperties>
</file>