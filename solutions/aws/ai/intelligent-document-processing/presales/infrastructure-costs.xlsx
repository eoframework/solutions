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1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10" fillId="0" borderId="0" pivotButton="0" quotePrefix="0" xfId="0"/>
    <xf numFmtId="0" fontId="8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 indent="1"/>
    </xf>
    <xf numFmtId="164" fontId="5" fillId="4" borderId="2" applyAlignment="1" pivotButton="0" quotePrefix="0" xfId="0">
      <alignment horizontal="left" vertical="center" wrapText="1" indent="1"/>
    </xf>
    <xf numFmtId="164" fontId="5" fillId="6" borderId="2" applyAlignment="1" pivotButton="0" quotePrefix="0" xfId="0">
      <alignment horizontal="left" vertical="center" wrapText="1" indent="1"/>
    </xf>
    <xf numFmtId="0" fontId="9" fillId="0" borderId="2" applyAlignment="1" pivotButton="0" quotePrefix="0" xfId="0">
      <alignment horizontal="left" vertical="center" wrapText="1" indent="1"/>
    </xf>
    <xf numFmtId="164" fontId="9" fillId="0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Infrastructure Costs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18, 2025</t>
        </is>
      </c>
    </row>
    <row r="8" ht="18" customHeight="1">
      <c r="B8" s="5" t="inlineStr">
        <is>
          <t>Solution:</t>
        </is>
      </c>
      <c r="C8" s="6" t="inlineStr">
        <is>
          <t>Intelligent Document Processing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20" customWidth="1" min="4" max="4"/>
    <col width="25" customWidth="1" min="5" max="5"/>
    <col width="40" customWidth="1" min="6" max="6"/>
  </cols>
  <sheetData>
    <row r="1">
      <c r="A1" s="19" t="inlineStr">
        <is>
          <t>SIZING GUIDELINES - Based on Solution Scope</t>
        </is>
      </c>
    </row>
    <row r="3" ht="32" customHeight="1">
      <c r="A3" s="20" t="inlineStr">
        <is>
          <t>Category</t>
        </is>
      </c>
      <c r="B3" s="20" t="inlineStr">
        <is>
          <t>Component</t>
        </is>
      </c>
      <c r="C3" s="20" t="inlineStr">
        <is>
          <t>Small</t>
        </is>
      </c>
      <c r="D3" s="20" t="inlineStr">
        <is>
          <t>Medium</t>
        </is>
      </c>
      <c r="E3" s="20" t="inlineStr">
        <is>
          <t>Large</t>
        </is>
      </c>
      <c r="F3" s="20" t="inlineStr">
        <is>
          <t>Notes</t>
        </is>
      </c>
    </row>
    <row r="4" ht="26" customHeight="1">
      <c r="A4" s="10" t="inlineStr">
        <is>
          <t>Cloud Infrastructure</t>
        </is>
      </c>
      <c r="B4" s="10" t="inlineStr">
        <is>
          <t>Document Processing Volume</t>
        </is>
      </c>
      <c r="C4" s="10" t="inlineStr">
        <is>
          <t>50K pages/month</t>
        </is>
      </c>
      <c r="D4" s="10" t="inlineStr">
        <is>
          <t>250K pages/month</t>
        </is>
      </c>
      <c r="E4" s="10" t="inlineStr">
        <is>
          <t>1M+ pages/month</t>
        </is>
      </c>
      <c r="F4" s="10" t="inlineStr">
        <is>
          <t>Monthly document processing capacity</t>
        </is>
      </c>
    </row>
    <row r="5" ht="26" customHeight="1">
      <c r="A5" s="21" t="inlineStr">
        <is>
          <t>Cloud Infrastructure</t>
        </is>
      </c>
      <c r="B5" s="21" t="inlineStr">
        <is>
          <t>AI/ML Service Tier</t>
        </is>
      </c>
      <c r="C5" s="21" t="inlineStr">
        <is>
          <t>Textract + Comprehend</t>
        </is>
      </c>
      <c r="D5" s="21" t="inlineStr">
        <is>
          <t>+ Custom models</t>
        </is>
      </c>
      <c r="E5" s="21" t="inlineStr">
        <is>
          <t>+ Advanced NLP + SageMaker</t>
        </is>
      </c>
      <c r="F5" s="21" t="inlineStr">
        <is>
          <t>AI/ML service complexity</t>
        </is>
      </c>
    </row>
    <row r="6" ht="26" customHeight="1">
      <c r="A6" s="10" t="inlineStr">
        <is>
          <t>Cloud Infrastructure</t>
        </is>
      </c>
      <c r="B6" s="10" t="inlineStr">
        <is>
          <t>Compute Allocation</t>
        </is>
      </c>
      <c r="C6" s="10" t="inlineStr">
        <is>
          <t>500K GB-seconds</t>
        </is>
      </c>
      <c r="D6" s="10" t="inlineStr">
        <is>
          <t>2M GB-seconds</t>
        </is>
      </c>
      <c r="E6" s="10" t="inlineStr">
        <is>
          <t>10M+ GB-seconds</t>
        </is>
      </c>
      <c r="F6" s="10" t="inlineStr">
        <is>
          <t>Lambda processing capacity</t>
        </is>
      </c>
    </row>
    <row r="7" ht="26" customHeight="1">
      <c r="A7" s="21" t="inlineStr">
        <is>
          <t>Cloud Infrastructure</t>
        </is>
      </c>
      <c r="B7" s="21" t="inlineStr">
        <is>
          <t>Storage Volume</t>
        </is>
      </c>
      <c r="C7" s="21" t="inlineStr">
        <is>
          <t>1 TB</t>
        </is>
      </c>
      <c r="D7" s="21" t="inlineStr">
        <is>
          <t>5 TB</t>
        </is>
      </c>
      <c r="E7" s="21" t="inlineStr">
        <is>
          <t>20+ TB</t>
        </is>
      </c>
      <c r="F7" s="21" t="inlineStr">
        <is>
          <t>Document storage and archives</t>
        </is>
      </c>
    </row>
    <row r="8" ht="26" customHeight="1">
      <c r="A8" s="10" t="inlineStr">
        <is>
          <t>Cloud Infrastructure</t>
        </is>
      </c>
      <c r="B8" s="10" t="inlineStr">
        <is>
          <t>API Request Volume</t>
        </is>
      </c>
      <c r="C8" s="10" t="inlineStr">
        <is>
          <t>5M requests/month</t>
        </is>
      </c>
      <c r="D8" s="10" t="inlineStr">
        <is>
          <t>20M requests/month</t>
        </is>
      </c>
      <c r="E8" s="10" t="inlineStr">
        <is>
          <t>100M+ requests/month</t>
        </is>
      </c>
      <c r="F8" s="10" t="inlineStr">
        <is>
          <t>API Gateway capacity</t>
        </is>
      </c>
    </row>
    <row r="9" ht="26" customHeight="1">
      <c r="A9" s="21" t="inlineStr">
        <is>
          <t>Software Licenses</t>
        </is>
      </c>
      <c r="B9" s="21" t="inlineStr">
        <is>
          <t>A2I Human Review</t>
        </is>
      </c>
      <c r="C9" s="21" t="inlineStr">
        <is>
          <t>1K tasks/month</t>
        </is>
      </c>
      <c r="D9" s="21" t="inlineStr">
        <is>
          <t>5K tasks/month</t>
        </is>
      </c>
      <c r="E9" s="21" t="inlineStr">
        <is>
          <t>25K+ tasks/month</t>
        </is>
      </c>
      <c r="F9" s="21" t="inlineStr">
        <is>
          <t>Human-in-the-loop review capacity</t>
        </is>
      </c>
    </row>
    <row r="10" ht="26" customHeight="1">
      <c r="A10" s="10" t="inlineStr">
        <is>
          <t>Software Licenses</t>
        </is>
      </c>
      <c r="B10" s="10" t="inlineStr">
        <is>
          <t>Monitoring Tools</t>
        </is>
      </c>
      <c r="C10" s="10" t="inlineStr">
        <is>
          <t>Basic (3 hosts)</t>
        </is>
      </c>
      <c r="D10" s="10" t="inlineStr">
        <is>
          <t>Standard (10 hosts)</t>
        </is>
      </c>
      <c r="E10" s="10" t="inlineStr">
        <is>
          <t>Enterprise (50+ hosts)</t>
        </is>
      </c>
      <c r="F10" s="10" t="inlineStr">
        <is>
          <t>Application performance monitoring</t>
        </is>
      </c>
    </row>
    <row r="11" ht="26" customHeight="1">
      <c r="A11" s="21" t="inlineStr">
        <is>
          <t>Support &amp; Maintenance</t>
        </is>
      </c>
      <c r="B11" s="21" t="inlineStr">
        <is>
          <t>Support Level</t>
        </is>
      </c>
      <c r="C11" s="21" t="inlineStr">
        <is>
          <t>Business hours</t>
        </is>
      </c>
      <c r="D11" s="21" t="inlineStr">
        <is>
          <t>24x5 support</t>
        </is>
      </c>
      <c r="E11" s="21" t="inlineStr">
        <is>
          <t>24x7 premium</t>
        </is>
      </c>
      <c r="F11" s="21" t="inlineStr">
        <is>
          <t>SLA requirements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30" customWidth="1" min="11" max="11"/>
  </cols>
  <sheetData>
    <row r="1">
      <c r="A1" s="19" t="inlineStr">
        <is>
          <t>INFRASTRUCTURE COSTS - Quantities Default to Small Scope</t>
        </is>
      </c>
    </row>
    <row r="3" ht="32" customHeight="1">
      <c r="A3" s="20" t="inlineStr">
        <is>
          <t>Category</t>
        </is>
      </c>
      <c r="B3" s="20" t="inlineStr">
        <is>
          <t>Component</t>
        </is>
      </c>
      <c r="C3" s="20" t="inlineStr">
        <is>
          <t>Description</t>
        </is>
      </c>
      <c r="D3" s="20" t="inlineStr">
        <is>
          <t>Quantity</t>
        </is>
      </c>
      <c r="E3" s="20" t="inlineStr">
        <is>
          <t>Unit</t>
        </is>
      </c>
      <c r="F3" s="20" t="inlineStr">
        <is>
          <t>Unit Price</t>
        </is>
      </c>
      <c r="G3" s="20" t="inlineStr">
        <is>
          <t>Annual Cost</t>
        </is>
      </c>
      <c r="H3" s="20" t="inlineStr">
        <is>
          <t>Year 2</t>
        </is>
      </c>
      <c r="I3" s="20" t="inlineStr">
        <is>
          <t>Year 3</t>
        </is>
      </c>
      <c r="J3" s="20" t="inlineStr">
        <is>
          <t>3-Year Total</t>
        </is>
      </c>
      <c r="K3" s="20" t="inlineStr">
        <is>
          <t>Notes</t>
        </is>
      </c>
    </row>
    <row r="4" ht="26" customHeight="1">
      <c r="A4" s="10" t="inlineStr">
        <is>
          <t>Cloud Infrastructure</t>
        </is>
      </c>
      <c r="B4" s="10" t="inlineStr">
        <is>
          <t>S3 Storage</t>
        </is>
      </c>
      <c r="C4" s="10" t="inlineStr">
        <is>
          <t>Standard Storage for document ingestion and archives</t>
        </is>
      </c>
      <c r="D4" s="10" t="inlineStr">
        <is>
          <t>1000</t>
        </is>
      </c>
      <c r="E4" s="10" t="inlineStr">
        <is>
          <t>GB/Month</t>
        </is>
      </c>
      <c r="F4" s="22" t="inlineStr">
        <is>
          <t>$0.023</t>
        </is>
      </c>
      <c r="G4" s="22">
        <f>D4*F4*12</f>
        <v/>
      </c>
      <c r="H4" s="22">
        <f>G4</f>
        <v/>
      </c>
      <c r="I4" s="22">
        <f>G4</f>
        <v/>
      </c>
      <c r="J4" s="22">
        <f>G4+H4+I4</f>
        <v/>
      </c>
      <c r="K4" s="10" t="inlineStr">
        <is>
          <t>Document storage</t>
        </is>
      </c>
    </row>
    <row r="5" ht="26" customHeight="1">
      <c r="A5" s="21" t="inlineStr">
        <is>
          <t>Cloud Infrastructure</t>
        </is>
      </c>
      <c r="B5" s="21" t="inlineStr">
        <is>
          <t>Textract Document Analysis</t>
        </is>
      </c>
      <c r="C5" s="21" t="inlineStr">
        <is>
          <t>Document Analysis API (50k pages/month)</t>
        </is>
      </c>
      <c r="D5" s="21" t="inlineStr">
        <is>
          <t>50000</t>
        </is>
      </c>
      <c r="E5" s="21" t="inlineStr">
        <is>
          <t>Pages/Month</t>
        </is>
      </c>
      <c r="F5" s="23" t="inlineStr">
        <is>
          <t>$0.015</t>
        </is>
      </c>
      <c r="G5" s="23">
        <f>D5*F5*12</f>
        <v/>
      </c>
      <c r="H5" s="23">
        <f>G5</f>
        <v/>
      </c>
      <c r="I5" s="23">
        <f>G5</f>
        <v/>
      </c>
      <c r="J5" s="23">
        <f>G5+H5+I5</f>
        <v/>
      </c>
      <c r="K5" s="21" t="inlineStr">
        <is>
          <t>OCR and document analysis</t>
        </is>
      </c>
    </row>
    <row r="6" ht="26" customHeight="1">
      <c r="A6" s="10" t="inlineStr">
        <is>
          <t>Cloud Infrastructure</t>
        </is>
      </c>
      <c r="B6" s="10" t="inlineStr">
        <is>
          <t>Textract Forms/Tables</t>
        </is>
      </c>
      <c r="C6" s="10" t="inlineStr">
        <is>
          <t>Forms and Tables extraction (25k pages/month)</t>
        </is>
      </c>
      <c r="D6" s="10" t="inlineStr">
        <is>
          <t>25000</t>
        </is>
      </c>
      <c r="E6" s="10" t="inlineStr">
        <is>
          <t>Pages/Month</t>
        </is>
      </c>
      <c r="F6" s="22" t="inlineStr">
        <is>
          <t>$0.05</t>
        </is>
      </c>
      <c r="G6" s="22">
        <f>D6*F6*12</f>
        <v/>
      </c>
      <c r="H6" s="22">
        <f>G6</f>
        <v/>
      </c>
      <c r="I6" s="22">
        <f>G6</f>
        <v/>
      </c>
      <c r="J6" s="22">
        <f>G6+H6+I6</f>
        <v/>
      </c>
      <c r="K6" s="10" t="inlineStr">
        <is>
          <t>Structured data extraction</t>
        </is>
      </c>
    </row>
    <row r="7" ht="26" customHeight="1">
      <c r="A7" s="21" t="inlineStr">
        <is>
          <t>Cloud Infrastructure</t>
        </is>
      </c>
      <c r="B7" s="21" t="inlineStr">
        <is>
          <t>Comprehend Entity Recognition</t>
        </is>
      </c>
      <c r="C7" s="21" t="inlineStr">
        <is>
          <t>Entity Recognition (25k units/month)</t>
        </is>
      </c>
      <c r="D7" s="21" t="inlineStr">
        <is>
          <t>25000</t>
        </is>
      </c>
      <c r="E7" s="21" t="inlineStr">
        <is>
          <t>Units/Month</t>
        </is>
      </c>
      <c r="F7" s="23" t="inlineStr">
        <is>
          <t>$0.0001</t>
        </is>
      </c>
      <c r="G7" s="23">
        <f>D7*F7*12</f>
        <v/>
      </c>
      <c r="H7" s="23">
        <f>G7</f>
        <v/>
      </c>
      <c r="I7" s="23">
        <f>G7</f>
        <v/>
      </c>
      <c r="J7" s="23">
        <f>G7+H7+I7</f>
        <v/>
      </c>
      <c r="K7" s="21" t="inlineStr">
        <is>
          <t>NLP entity extraction</t>
        </is>
      </c>
    </row>
    <row r="8" ht="26" customHeight="1">
      <c r="A8" s="10" t="inlineStr">
        <is>
          <t>Cloud Infrastructure</t>
        </is>
      </c>
      <c r="B8" s="10" t="inlineStr">
        <is>
          <t>Lambda Processing</t>
        </is>
      </c>
      <c r="C8" s="10" t="inlineStr">
        <is>
          <t>Processing functions (500k GB-seconds/month)</t>
        </is>
      </c>
      <c r="D8" s="10" t="inlineStr">
        <is>
          <t>500000</t>
        </is>
      </c>
      <c r="E8" s="10" t="inlineStr">
        <is>
          <t>GB-Seconds/Month</t>
        </is>
      </c>
      <c r="F8" s="22" t="inlineStr">
        <is>
          <t>$0.0000166667</t>
        </is>
      </c>
      <c r="G8" s="22">
        <f>D8*F8*12</f>
        <v/>
      </c>
      <c r="H8" s="22">
        <f>G8</f>
        <v/>
      </c>
      <c r="I8" s="22">
        <f>G8</f>
        <v/>
      </c>
      <c r="J8" s="22">
        <f>G8+H8+I8</f>
        <v/>
      </c>
      <c r="K8" s="10" t="inlineStr">
        <is>
          <t>Serverless compute</t>
        </is>
      </c>
    </row>
    <row r="9" ht="26" customHeight="1">
      <c r="A9" s="21" t="inlineStr">
        <is>
          <t>Cloud Infrastructure</t>
        </is>
      </c>
      <c r="B9" s="21" t="inlineStr">
        <is>
          <t>DynamoDB Storage</t>
        </is>
      </c>
      <c r="C9" s="21" t="inlineStr">
        <is>
          <t>On-Demand storage and throughput</t>
        </is>
      </c>
      <c r="D9" s="21" t="inlineStr">
        <is>
          <t>1</t>
        </is>
      </c>
      <c r="E9" s="21" t="inlineStr">
        <is>
          <t>Service/Month</t>
        </is>
      </c>
      <c r="F9" s="23" t="inlineStr">
        <is>
          <t>$300</t>
        </is>
      </c>
      <c r="G9" s="23">
        <f>D9*F9*12</f>
        <v/>
      </c>
      <c r="H9" s="23">
        <f>G9</f>
        <v/>
      </c>
      <c r="I9" s="23">
        <f>G9</f>
        <v/>
      </c>
      <c r="J9" s="23">
        <f>G9+H9+I9</f>
        <v/>
      </c>
      <c r="K9" s="21" t="inlineStr">
        <is>
          <t>NoSQL database</t>
        </is>
      </c>
    </row>
    <row r="10" ht="26" customHeight="1">
      <c r="A10" s="10" t="inlineStr">
        <is>
          <t>Cloud Infrastructure</t>
        </is>
      </c>
      <c r="B10" s="10" t="inlineStr">
        <is>
          <t>API Gateway</t>
        </is>
      </c>
      <c r="C10" s="10" t="inlineStr">
        <is>
          <t>REST API (5M requests/month)</t>
        </is>
      </c>
      <c r="D10" s="10" t="inlineStr">
        <is>
          <t>5000000</t>
        </is>
      </c>
      <c r="E10" s="10" t="inlineStr">
        <is>
          <t>Requests/Month</t>
        </is>
      </c>
      <c r="F10" s="22" t="inlineStr">
        <is>
          <t>$0.0000035</t>
        </is>
      </c>
      <c r="G10" s="22">
        <f>D10*F10*12</f>
        <v/>
      </c>
      <c r="H10" s="22">
        <f>G10</f>
        <v/>
      </c>
      <c r="I10" s="22">
        <f>G10</f>
        <v/>
      </c>
      <c r="J10" s="22">
        <f>G10+H10+I10</f>
        <v/>
      </c>
      <c r="K10" s="10" t="inlineStr">
        <is>
          <t>API management</t>
        </is>
      </c>
    </row>
    <row r="11" ht="26" customHeight="1">
      <c r="A11" s="21" t="inlineStr">
        <is>
          <t>Cloud Infrastructure</t>
        </is>
      </c>
      <c r="B11" s="21" t="inlineStr">
        <is>
          <t>SQS Queue</t>
        </is>
      </c>
      <c r="C11" s="21" t="inlineStr">
        <is>
          <t>Standard Queue (10M requests/month)</t>
        </is>
      </c>
      <c r="D11" s="21" t="inlineStr">
        <is>
          <t>10000000</t>
        </is>
      </c>
      <c r="E11" s="21" t="inlineStr">
        <is>
          <t>Requests/Month</t>
        </is>
      </c>
      <c r="F11" s="23" t="inlineStr">
        <is>
          <t>$0.0000004</t>
        </is>
      </c>
      <c r="G11" s="23">
        <f>D11*F11*12</f>
        <v/>
      </c>
      <c r="H11" s="23">
        <f>G11</f>
        <v/>
      </c>
      <c r="I11" s="23">
        <f>G11</f>
        <v/>
      </c>
      <c r="J11" s="23">
        <f>G11+H11+I11</f>
        <v/>
      </c>
      <c r="K11" s="21" t="inlineStr">
        <is>
          <t>Message queuing</t>
        </is>
      </c>
    </row>
    <row r="12" ht="26" customHeight="1">
      <c r="A12" s="10" t="inlineStr">
        <is>
          <t>Cloud Infrastructure</t>
        </is>
      </c>
      <c r="B12" s="10" t="inlineStr">
        <is>
          <t>SNS Notifications</t>
        </is>
      </c>
      <c r="C12" s="10" t="inlineStr">
        <is>
          <t>Standard notifications (2M requests/month)</t>
        </is>
      </c>
      <c r="D12" s="10" t="inlineStr">
        <is>
          <t>2000000</t>
        </is>
      </c>
      <c r="E12" s="10" t="inlineStr">
        <is>
          <t>Requests/Month</t>
        </is>
      </c>
      <c r="F12" s="22" t="inlineStr">
        <is>
          <t>$0.0000005</t>
        </is>
      </c>
      <c r="G12" s="22">
        <f>D12*F12*12</f>
        <v/>
      </c>
      <c r="H12" s="22">
        <f>G12</f>
        <v/>
      </c>
      <c r="I12" s="22">
        <f>G12</f>
        <v/>
      </c>
      <c r="J12" s="22">
        <f>G12+H12+I12</f>
        <v/>
      </c>
      <c r="K12" s="10" t="inlineStr">
        <is>
          <t>Pub/sub messaging</t>
        </is>
      </c>
    </row>
    <row r="13" ht="26" customHeight="1">
      <c r="A13" s="21" t="inlineStr">
        <is>
          <t>Cloud Infrastructure</t>
        </is>
      </c>
      <c r="B13" s="21" t="inlineStr">
        <is>
          <t>CloudWatch Logs</t>
        </is>
      </c>
      <c r="C13" s="21" t="inlineStr">
        <is>
          <t>Logs and Metrics (50GB logs + 100 metrics)</t>
        </is>
      </c>
      <c r="D13" s="21" t="inlineStr">
        <is>
          <t>1</t>
        </is>
      </c>
      <c r="E13" s="21" t="inlineStr">
        <is>
          <t>Service/Month</t>
        </is>
      </c>
      <c r="F13" s="23" t="inlineStr">
        <is>
          <t>$660</t>
        </is>
      </c>
      <c r="G13" s="23">
        <f>D13*F13*12</f>
        <v/>
      </c>
      <c r="H13" s="23">
        <f>G13</f>
        <v/>
      </c>
      <c r="I13" s="23">
        <f>G13</f>
        <v/>
      </c>
      <c r="J13" s="23">
        <f>G13+H13+I13</f>
        <v/>
      </c>
      <c r="K13" s="21" t="inlineStr">
        <is>
          <t>Monitoring and logging</t>
        </is>
      </c>
    </row>
    <row r="14" ht="26" customHeight="1">
      <c r="A14" s="10" t="inlineStr">
        <is>
          <t>Cloud Infrastructure</t>
        </is>
      </c>
      <c r="B14" s="10" t="inlineStr">
        <is>
          <t>Step Functions</t>
        </is>
      </c>
      <c r="C14" s="10" t="inlineStr">
        <is>
          <t>Standard workflows (100k transitions/month)</t>
        </is>
      </c>
      <c r="D14" s="10" t="inlineStr">
        <is>
          <t>100000</t>
        </is>
      </c>
      <c r="E14" s="10" t="inlineStr">
        <is>
          <t>Transitions/Month</t>
        </is>
      </c>
      <c r="F14" s="22" t="inlineStr">
        <is>
          <t>$0.000025</t>
        </is>
      </c>
      <c r="G14" s="22">
        <f>D14*F14*12</f>
        <v/>
      </c>
      <c r="H14" s="22">
        <f>G14</f>
        <v/>
      </c>
      <c r="I14" s="22">
        <f>G14</f>
        <v/>
      </c>
      <c r="J14" s="22">
        <f>G14+H14+I14</f>
        <v/>
      </c>
      <c r="K14" s="10" t="inlineStr">
        <is>
          <t>Workflow orchestration</t>
        </is>
      </c>
    </row>
    <row r="15" ht="26" customHeight="1">
      <c r="A15" s="21" t="inlineStr">
        <is>
          <t>Cloud Infrastructure</t>
        </is>
      </c>
      <c r="B15" s="21" t="inlineStr">
        <is>
          <t>ElastiCache Redis</t>
        </is>
      </c>
      <c r="C15" s="21" t="inlineStr">
        <is>
          <t>cache.t3.micro single node</t>
        </is>
      </c>
      <c r="D15" s="21" t="inlineStr">
        <is>
          <t>1</t>
        </is>
      </c>
      <c r="E15" s="21" t="inlineStr">
        <is>
          <t>Instance/Month</t>
        </is>
      </c>
      <c r="F15" s="23" t="inlineStr">
        <is>
          <t>$182</t>
        </is>
      </c>
      <c r="G15" s="23">
        <f>D15*F15*12</f>
        <v/>
      </c>
      <c r="H15" s="23">
        <f>G15</f>
        <v/>
      </c>
      <c r="I15" s="23">
        <f>G15</f>
        <v/>
      </c>
      <c r="J15" s="23">
        <f>G15+H15+I15</f>
        <v/>
      </c>
      <c r="K15" s="21" t="inlineStr">
        <is>
          <t>Caching layer</t>
        </is>
      </c>
    </row>
    <row r="16" ht="26" customHeight="1">
      <c r="A16" s="10" t="inlineStr">
        <is>
          <t>Cloud Infrastructure</t>
        </is>
      </c>
      <c r="B16" s="10" t="inlineStr">
        <is>
          <t>Secrets Manager</t>
        </is>
      </c>
      <c r="C16" s="10" t="inlineStr">
        <is>
          <t>10 secrets for API keys and credentials</t>
        </is>
      </c>
      <c r="D16" s="10" t="inlineStr">
        <is>
          <t>10</t>
        </is>
      </c>
      <c r="E16" s="10" t="inlineStr">
        <is>
          <t>Secrets/Month</t>
        </is>
      </c>
      <c r="F16" s="22" t="inlineStr">
        <is>
          <t>$0.4</t>
        </is>
      </c>
      <c r="G16" s="22">
        <f>D16*F16*12</f>
        <v/>
      </c>
      <c r="H16" s="22">
        <f>G16</f>
        <v/>
      </c>
      <c r="I16" s="22">
        <f>G16</f>
        <v/>
      </c>
      <c r="J16" s="22">
        <f>G16+H16+I16</f>
        <v/>
      </c>
      <c r="K16" s="10" t="inlineStr">
        <is>
          <t>Secrets management</t>
        </is>
      </c>
    </row>
    <row r="17" ht="26" customHeight="1">
      <c r="A17" s="21" t="inlineStr">
        <is>
          <t>Cloud Infrastructure</t>
        </is>
      </c>
      <c r="B17" s="21" t="inlineStr">
        <is>
          <t>VPC NAT Gateway</t>
        </is>
      </c>
      <c r="C17" s="21" t="inlineStr">
        <is>
          <t>Single AZ NAT Gateway</t>
        </is>
      </c>
      <c r="D17" s="21" t="inlineStr">
        <is>
          <t>1</t>
        </is>
      </c>
      <c r="E17" s="21" t="inlineStr">
        <is>
          <t>Gateway/Month</t>
        </is>
      </c>
      <c r="F17" s="23" t="inlineStr">
        <is>
          <t>$394</t>
        </is>
      </c>
      <c r="G17" s="23">
        <f>D17*F17*12</f>
        <v/>
      </c>
      <c r="H17" s="23">
        <f>G17</f>
        <v/>
      </c>
      <c r="I17" s="23">
        <f>G17</f>
        <v/>
      </c>
      <c r="J17" s="23">
        <f>G17+H17+I17</f>
        <v/>
      </c>
      <c r="K17" s="21" t="inlineStr">
        <is>
          <t>Network address translation</t>
        </is>
      </c>
    </row>
    <row r="18" ht="26" customHeight="1">
      <c r="A18" s="10" t="inlineStr">
        <is>
          <t>Cloud Infrastructure</t>
        </is>
      </c>
      <c r="B18" s="10" t="inlineStr">
        <is>
          <t>Data Transfer Out</t>
        </is>
      </c>
      <c r="C18" s="10" t="inlineStr">
        <is>
          <t>Outbound data transfer (500GB/month)</t>
        </is>
      </c>
      <c r="D18" s="10" t="inlineStr">
        <is>
          <t>500</t>
        </is>
      </c>
      <c r="E18" s="10" t="inlineStr">
        <is>
          <t>GB/Month</t>
        </is>
      </c>
      <c r="F18" s="22" t="inlineStr">
        <is>
          <t>$0.09</t>
        </is>
      </c>
      <c r="G18" s="22">
        <f>D18*F18*12</f>
        <v/>
      </c>
      <c r="H18" s="22">
        <f>G18</f>
        <v/>
      </c>
      <c r="I18" s="22">
        <f>G18</f>
        <v/>
      </c>
      <c r="J18" s="22">
        <f>G18+H18+I18</f>
        <v/>
      </c>
      <c r="K18" s="10" t="inlineStr">
        <is>
          <t>Egress charges</t>
        </is>
      </c>
    </row>
    <row r="19" ht="26" customHeight="1">
      <c r="A19" s="21" t="inlineStr">
        <is>
          <t>Software Licenses</t>
        </is>
      </c>
      <c r="B19" s="21" t="inlineStr">
        <is>
          <t>Amazon A2I</t>
        </is>
      </c>
      <c r="C19" s="21" t="inlineStr">
        <is>
          <t>Augmented AI for human review (1k tasks/month)</t>
        </is>
      </c>
      <c r="D19" s="21" t="inlineStr">
        <is>
          <t>1000</t>
        </is>
      </c>
      <c r="E19" s="21" t="inlineStr">
        <is>
          <t>Tasks/Month</t>
        </is>
      </c>
      <c r="F19" s="23" t="inlineStr">
        <is>
          <t>$0.04</t>
        </is>
      </c>
      <c r="G19" s="23">
        <f>D19*F19*12</f>
        <v/>
      </c>
      <c r="H19" s="23">
        <f>G19</f>
        <v/>
      </c>
      <c r="I19" s="23">
        <f>G19</f>
        <v/>
      </c>
      <c r="J19" s="23">
        <f>G19+H19+I19</f>
        <v/>
      </c>
      <c r="K19" s="21" t="inlineStr">
        <is>
          <t>Human-in-the-loop review</t>
        </is>
      </c>
    </row>
    <row r="20" ht="26" customHeight="1">
      <c r="A20" s="10" t="inlineStr">
        <is>
          <t>Software Licenses</t>
        </is>
      </c>
      <c r="B20" s="10" t="inlineStr">
        <is>
          <t>Datadog Monitoring</t>
        </is>
      </c>
      <c r="C20" s="10" t="inlineStr">
        <is>
          <t>Pro monitoring (3 hosts)</t>
        </is>
      </c>
      <c r="D20" s="10" t="inlineStr">
        <is>
          <t>3</t>
        </is>
      </c>
      <c r="E20" s="10" t="inlineStr">
        <is>
          <t>Hosts/Month</t>
        </is>
      </c>
      <c r="F20" s="22" t="inlineStr">
        <is>
          <t>$23</t>
        </is>
      </c>
      <c r="G20" s="22">
        <f>D20*F20*12</f>
        <v/>
      </c>
      <c r="H20" s="22">
        <f>G20</f>
        <v/>
      </c>
      <c r="I20" s="22">
        <f>G20</f>
        <v/>
      </c>
      <c r="J20" s="22">
        <f>G20+H20+I20</f>
        <v/>
      </c>
      <c r="K20" s="10" t="inlineStr">
        <is>
          <t>Application monitoring</t>
        </is>
      </c>
    </row>
    <row r="21" ht="26" customHeight="1">
      <c r="A21" s="21" t="inlineStr">
        <is>
          <t>Software Licenses</t>
        </is>
      </c>
      <c r="B21" s="21" t="inlineStr">
        <is>
          <t>PagerDuty</t>
        </is>
      </c>
      <c r="C21" s="21" t="inlineStr">
        <is>
          <t>Professional incident management (3 users)</t>
        </is>
      </c>
      <c r="D21" s="21" t="inlineStr">
        <is>
          <t>3</t>
        </is>
      </c>
      <c r="E21" s="21" t="inlineStr">
        <is>
          <t>Users/Month</t>
        </is>
      </c>
      <c r="F21" s="23" t="inlineStr">
        <is>
          <t>$41</t>
        </is>
      </c>
      <c r="G21" s="23">
        <f>D21*F21*12</f>
        <v/>
      </c>
      <c r="H21" s="23">
        <f>G21</f>
        <v/>
      </c>
      <c r="I21" s="23">
        <f>G21</f>
        <v/>
      </c>
      <c r="J21" s="23">
        <f>G21+H21+I21</f>
        <v/>
      </c>
      <c r="K21" s="21" t="inlineStr">
        <is>
          <t>Incident management</t>
        </is>
      </c>
    </row>
    <row r="22" ht="26" customHeight="1">
      <c r="A22" s="10" t="inlineStr">
        <is>
          <t>Support &amp; Maintenance</t>
        </is>
      </c>
      <c r="B22" s="10" t="inlineStr">
        <is>
          <t>AWS Managed Services</t>
        </is>
      </c>
      <c r="C22" s="10" t="inlineStr">
        <is>
          <t>Managed services and monitoring (15% of cloud infrastructure)</t>
        </is>
      </c>
      <c r="D22" s="10" t="inlineStr">
        <is>
          <t>1</t>
        </is>
      </c>
      <c r="E22" s="10" t="inlineStr">
        <is>
          <t>Service/Month</t>
        </is>
      </c>
      <c r="F22" s="22" t="inlineStr">
        <is>
          <t>$4087</t>
        </is>
      </c>
      <c r="G22" s="22">
        <f>D22*F22*12</f>
        <v/>
      </c>
      <c r="H22" s="22">
        <f>G22</f>
        <v/>
      </c>
      <c r="I22" s="22">
        <f>G22</f>
        <v/>
      </c>
      <c r="J22" s="22">
        <f>G22+H22+I22</f>
        <v/>
      </c>
      <c r="K22" s="10" t="inlineStr">
        <is>
          <t>Ongoing support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8" customWidth="1" min="3" max="3"/>
    <col width="50" customWidth="1" min="4" max="4"/>
  </cols>
  <sheetData>
    <row r="1">
      <c r="A1" s="19" t="inlineStr">
        <is>
          <t>CREDITS - Applied per Category (Year 1 Only)</t>
        </is>
      </c>
    </row>
    <row r="3" ht="32" customHeight="1">
      <c r="A3" s="20" t="inlineStr">
        <is>
          <t>Category</t>
        </is>
      </c>
      <c r="B3" s="20" t="inlineStr">
        <is>
          <t>Credit Type</t>
        </is>
      </c>
      <c r="C3" s="20" t="inlineStr">
        <is>
          <t>Credit Amount</t>
        </is>
      </c>
      <c r="D3" s="20" t="inlineStr">
        <is>
          <t>Credit Comments</t>
        </is>
      </c>
    </row>
    <row r="4" ht="26" customHeight="1">
      <c r="A4" s="10" t="inlineStr">
        <is>
          <t>Cloud Infrastructure</t>
        </is>
      </c>
      <c r="B4" s="10" t="inlineStr">
        <is>
          <t>AWS AI Services Credit</t>
        </is>
      </c>
      <c r="C4" s="22" t="n">
        <v>-5000</v>
      </c>
      <c r="D4" s="10" t="inlineStr">
        <is>
          <t>35% Year 1 Textract consumption credit</t>
        </is>
      </c>
    </row>
    <row r="5" ht="26" customHeight="1">
      <c r="A5" s="21" t="inlineStr">
        <is>
          <t>Software Licenses</t>
        </is>
      </c>
      <c r="B5" s="21" t="inlineStr">
        <is>
          <t>Partner Credit</t>
        </is>
      </c>
      <c r="C5" s="23" t="n">
        <v>0</v>
      </c>
      <c r="D5" s="21" t="inlineStr">
        <is>
          <t>No software credits available</t>
        </is>
      </c>
    </row>
    <row r="6" ht="26" customHeight="1">
      <c r="A6" s="10" t="inlineStr">
        <is>
          <t>Support &amp; Maintenance</t>
        </is>
      </c>
      <c r="B6" s="10" t="inlineStr">
        <is>
          <t>Program Credit</t>
        </is>
      </c>
      <c r="C6" s="22" t="n">
        <v>0</v>
      </c>
      <c r="D6" s="10" t="inlineStr">
        <is>
          <t>No support credits available</t>
        </is>
      </c>
    </row>
    <row r="7" ht="26" customHeight="1">
      <c r="A7" s="21" t="inlineStr">
        <is>
          <t>Hardware/Equipment</t>
        </is>
      </c>
      <c r="B7" s="21" t="inlineStr">
        <is>
          <t>Equipment Credit</t>
        </is>
      </c>
      <c r="C7" s="23" t="n">
        <v>0</v>
      </c>
      <c r="D7" s="21" t="inlineStr">
        <is>
          <t>No hardware credits available</t>
        </is>
      </c>
    </row>
    <row r="8" ht="26" customHeight="1">
      <c r="A8" s="10" t="inlineStr">
        <is>
          <t>Professional Services</t>
        </is>
      </c>
      <c r="B8" s="10" t="inlineStr">
        <is>
          <t>AWS Partner Services Credit</t>
        </is>
      </c>
      <c r="C8" s="22" t="n">
        <v>-10000</v>
      </c>
      <c r="D8" s="10" t="inlineStr">
        <is>
          <t>Solution architecture and AI/ML integration services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2" customWidth="1" min="5" max="5"/>
    <col width="12" customWidth="1" min="6" max="6"/>
    <col width="16" customWidth="1" min="7" max="7"/>
  </cols>
  <sheetData>
    <row r="1">
      <c r="A1" s="19" t="inlineStr">
        <is>
          <t>INFRASTRUCTURE COSTS SUMMARY</t>
        </is>
      </c>
    </row>
    <row r="3" ht="32" customHeight="1">
      <c r="A3" s="20" t="inlineStr">
        <is>
          <t>Category</t>
        </is>
      </c>
      <c r="B3" s="20" t="inlineStr">
        <is>
          <t>Year 1 List</t>
        </is>
      </c>
      <c r="C3" s="20" t="inlineStr">
        <is>
          <t>Year 1 Credits</t>
        </is>
      </c>
      <c r="D3" s="20" t="inlineStr">
        <is>
          <t>Year 1 Net</t>
        </is>
      </c>
      <c r="E3" s="20" t="inlineStr">
        <is>
          <t>Year 2</t>
        </is>
      </c>
      <c r="F3" s="20" t="inlineStr">
        <is>
          <t>Year 3</t>
        </is>
      </c>
      <c r="G3" s="20" t="inlineStr">
        <is>
          <t>3-Year Total</t>
        </is>
      </c>
    </row>
    <row r="4" ht="26" customHeight="1">
      <c r="A4" s="10" t="inlineStr">
        <is>
          <t>Cloud Infrastructure</t>
        </is>
      </c>
      <c r="B4" s="22">
        <f>SUMIF('Infrastructure Costs'!A:A,"Cloud Infrastructure",'Infrastructure Costs'!G:G)</f>
        <v/>
      </c>
      <c r="C4" s="22">
        <f>Credits!C4</f>
        <v/>
      </c>
      <c r="D4" s="22">
        <f>B4+C4</f>
        <v/>
      </c>
      <c r="E4" s="22">
        <f>SUMIF('Infrastructure Costs'!A:A,"Cloud Infrastructure",'Infrastructure Costs'!H:H)</f>
        <v/>
      </c>
      <c r="F4" s="22">
        <f>SUMIF('Infrastructure Costs'!A:A,"Cloud Infrastructure",'Infrastructure Costs'!I:I)</f>
        <v/>
      </c>
      <c r="G4" s="22">
        <f>D4+E4+F4</f>
        <v/>
      </c>
    </row>
    <row r="5" ht="26" customHeight="1">
      <c r="A5" s="21" t="inlineStr">
        <is>
          <t>Software Licenses</t>
        </is>
      </c>
      <c r="B5" s="23">
        <f>SUMIF('Infrastructure Costs'!A:A,"Software Licenses",'Infrastructure Costs'!G:G)</f>
        <v/>
      </c>
      <c r="C5" s="23">
        <f>Credits!C5</f>
        <v/>
      </c>
      <c r="D5" s="23">
        <f>B5+C5</f>
        <v/>
      </c>
      <c r="E5" s="23">
        <f>SUMIF('Infrastructure Costs'!A:A,"Software Licenses",'Infrastructure Costs'!H:H)</f>
        <v/>
      </c>
      <c r="F5" s="23">
        <f>SUMIF('Infrastructure Costs'!A:A,"Software Licenses",'Infrastructure Costs'!I:I)</f>
        <v/>
      </c>
      <c r="G5" s="23">
        <f>D5+E5+F5</f>
        <v/>
      </c>
    </row>
    <row r="6" ht="26" customHeight="1">
      <c r="A6" s="10" t="inlineStr">
        <is>
          <t>Support &amp; Maintenance</t>
        </is>
      </c>
      <c r="B6" s="22">
        <f>SUMIF('Infrastructure Costs'!A:A,"Support &amp; Maintenance",'Infrastructure Costs'!G:G)</f>
        <v/>
      </c>
      <c r="C6" s="22">
        <f>Credits!C6</f>
        <v/>
      </c>
      <c r="D6" s="22">
        <f>B6+C6</f>
        <v/>
      </c>
      <c r="E6" s="22">
        <f>SUMIF('Infrastructure Costs'!A:A,"Support &amp; Maintenance",'Infrastructure Costs'!H:H)</f>
        <v/>
      </c>
      <c r="F6" s="22">
        <f>SUMIF('Infrastructure Costs'!A:A,"Support &amp; Maintenance",'Infrastructure Costs'!I:I)</f>
        <v/>
      </c>
      <c r="G6" s="22">
        <f>D6+E6+F6</f>
        <v/>
      </c>
    </row>
    <row r="7" ht="26" customHeight="1">
      <c r="A7" s="21" t="inlineStr">
        <is>
          <t>Hardware/Equipment</t>
        </is>
      </c>
      <c r="B7" s="23">
        <f>SUMIF('Infrastructure Costs'!A:A,"Hardware/Equipment",'Infrastructure Costs'!G:G)</f>
        <v/>
      </c>
      <c r="C7" s="23">
        <f>Credits!C7</f>
        <v/>
      </c>
      <c r="D7" s="23">
        <f>B7+C7</f>
        <v/>
      </c>
      <c r="E7" s="23">
        <f>SUMIF('Infrastructure Costs'!A:A,"Hardware/Equipment",'Infrastructure Costs'!H:H)</f>
        <v/>
      </c>
      <c r="F7" s="23">
        <f>SUMIF('Infrastructure Costs'!A:A,"Hardware/Equipment",'Infrastructure Costs'!I:I)</f>
        <v/>
      </c>
      <c r="G7" s="23">
        <f>D7+E7+F7</f>
        <v/>
      </c>
    </row>
    <row r="8" ht="26" customHeight="1">
      <c r="A8" s="24" t="inlineStr">
        <is>
          <t>TOTAL</t>
        </is>
      </c>
      <c r="B8" s="25">
        <f>SUM(B4:B7)</f>
        <v/>
      </c>
      <c r="C8" s="25">
        <f>SUM(C4:C7)</f>
        <v/>
      </c>
      <c r="D8" s="25">
        <f>SUM(D4:D7)</f>
        <v/>
      </c>
      <c r="E8" s="25">
        <f>SUM(E4:E7)</f>
        <v/>
      </c>
      <c r="F8" s="25">
        <f>SUM(F4:F7)</f>
        <v/>
      </c>
      <c r="G8" s="25">
        <f>SUM(G4:G7)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2025-11-18T10:05:11Z</dcterms:modified>
</cp:coreProperties>
</file>