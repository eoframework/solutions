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Guidelines'!$A$2:$F$10</definedName>
    <definedName name="_xlnm._FilterDatabase" localSheetId="2" hidden="1">'Infrastructure Costs'!$A$2:$K$22</definedName>
    <definedName name="_xlnm._FilterDatabase" localSheetId="3" hidden="1">'Credits'!$A$2:$D$6</definedName>
    <definedName name="_xlnm._FilterDatabase" localSheetId="4" hidden="1">'3-Year Summary'!$A$2:$G$6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26, 2025</t>
        </is>
      </c>
    </row>
    <row r="8" ht="18" customHeight="1">
      <c r="B8" s="2" t="inlineStr">
        <is>
          <t>Customer:</t>
        </is>
      </c>
      <c r="C8" s="3" t="inlineStr">
        <is>
          <t>Intelligent Document Processing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Cloud Services</t>
        </is>
      </c>
      <c r="B3" s="38" t="inlineStr">
        <is>
          <t>Document Processing Volume</t>
        </is>
      </c>
      <c r="C3" s="39" t="inlineStr">
        <is>
          <t>50K pages/month</t>
        </is>
      </c>
      <c r="D3" s="39" t="inlineStr">
        <is>
          <t>250K pages/month</t>
        </is>
      </c>
      <c r="E3" s="39" t="inlineStr">
        <is>
          <t>1M+ pages/month</t>
        </is>
      </c>
      <c r="F3" s="38" t="inlineStr">
        <is>
          <t>Monthly document processing capacity</t>
        </is>
      </c>
    </row>
    <row r="4" ht="26" customHeight="1">
      <c r="A4" s="40" t="inlineStr">
        <is>
          <t>Cloud Services</t>
        </is>
      </c>
      <c r="B4" s="41" t="inlineStr">
        <is>
          <t>AI/ML Service Tier</t>
        </is>
      </c>
      <c r="C4" s="42" t="inlineStr">
        <is>
          <t>Textract + Comprehend</t>
        </is>
      </c>
      <c r="D4" s="42" t="inlineStr">
        <is>
          <t>+ Custom models</t>
        </is>
      </c>
      <c r="E4" s="42" t="inlineStr">
        <is>
          <t>+ Advanced NLP + SageMaker</t>
        </is>
      </c>
      <c r="F4" s="41" t="inlineStr">
        <is>
          <t>AI/ML service complexity</t>
        </is>
      </c>
    </row>
    <row r="5" ht="26" customHeight="1">
      <c r="A5" s="37" t="inlineStr">
        <is>
          <t>Cloud Services</t>
        </is>
      </c>
      <c r="B5" s="38" t="inlineStr">
        <is>
          <t>Compute Allocation</t>
        </is>
      </c>
      <c r="C5" s="39" t="inlineStr">
        <is>
          <t>500K GB-seconds</t>
        </is>
      </c>
      <c r="D5" s="39" t="inlineStr">
        <is>
          <t>2M GB-seconds</t>
        </is>
      </c>
      <c r="E5" s="39" t="inlineStr">
        <is>
          <t>10M+ GB-seconds</t>
        </is>
      </c>
      <c r="F5" s="38" t="inlineStr">
        <is>
          <t>Lambda processing capacity</t>
        </is>
      </c>
    </row>
    <row r="6" ht="26" customHeight="1">
      <c r="A6" s="40" t="inlineStr">
        <is>
          <t>Cloud Services</t>
        </is>
      </c>
      <c r="B6" s="41" t="inlineStr">
        <is>
          <t>Storage Volume</t>
        </is>
      </c>
      <c r="C6" s="42" t="inlineStr">
        <is>
          <t>1 TB</t>
        </is>
      </c>
      <c r="D6" s="42" t="inlineStr">
        <is>
          <t>5 TB</t>
        </is>
      </c>
      <c r="E6" s="42" t="inlineStr">
        <is>
          <t>20+ TB</t>
        </is>
      </c>
      <c r="F6" s="41" t="inlineStr">
        <is>
          <t>Document storage and archives</t>
        </is>
      </c>
    </row>
    <row r="7" ht="26" customHeight="1">
      <c r="A7" s="37" t="inlineStr">
        <is>
          <t>Cloud Services</t>
        </is>
      </c>
      <c r="B7" s="38" t="inlineStr">
        <is>
          <t>API Request Volume</t>
        </is>
      </c>
      <c r="C7" s="39" t="inlineStr">
        <is>
          <t>5M requests/month</t>
        </is>
      </c>
      <c r="D7" s="39" t="inlineStr">
        <is>
          <t>20M requests/month</t>
        </is>
      </c>
      <c r="E7" s="39" t="inlineStr">
        <is>
          <t>100M+ requests/month</t>
        </is>
      </c>
      <c r="F7" s="38" t="inlineStr">
        <is>
          <t>API Gateway capacity</t>
        </is>
      </c>
    </row>
    <row r="8" ht="26" customHeight="1">
      <c r="A8" s="40" t="inlineStr">
        <is>
          <t>Software Licenses</t>
        </is>
      </c>
      <c r="B8" s="41" t="inlineStr">
        <is>
          <t>A2I Human Review</t>
        </is>
      </c>
      <c r="C8" s="42" t="inlineStr">
        <is>
          <t>1K tasks/month</t>
        </is>
      </c>
      <c r="D8" s="42" t="inlineStr">
        <is>
          <t>5K tasks/month</t>
        </is>
      </c>
      <c r="E8" s="42" t="inlineStr">
        <is>
          <t>25K+ tasks/month</t>
        </is>
      </c>
      <c r="F8" s="41" t="inlineStr">
        <is>
          <t>Human-in-the-loop review capacity</t>
        </is>
      </c>
    </row>
    <row r="9" ht="26" customHeight="1">
      <c r="A9" s="37" t="inlineStr">
        <is>
          <t>Software Licenses</t>
        </is>
      </c>
      <c r="B9" s="38" t="inlineStr">
        <is>
          <t>Monitoring Tools</t>
        </is>
      </c>
      <c r="C9" s="39" t="inlineStr">
        <is>
          <t>Basic (3 hosts)</t>
        </is>
      </c>
      <c r="D9" s="39" t="inlineStr">
        <is>
          <t>Standard (10 hosts)</t>
        </is>
      </c>
      <c r="E9" s="39" t="inlineStr">
        <is>
          <t>Enterprise (50+ hosts)</t>
        </is>
      </c>
      <c r="F9" s="38" t="inlineStr">
        <is>
          <t>Application performance monitoring</t>
        </is>
      </c>
    </row>
    <row r="10" ht="26" customHeight="1">
      <c r="A10" s="40" t="inlineStr">
        <is>
          <t>Support &amp; Maintenance</t>
        </is>
      </c>
      <c r="B10" s="41" t="inlineStr">
        <is>
          <t>Support Level</t>
        </is>
      </c>
      <c r="C10" s="42" t="inlineStr">
        <is>
          <t>Business hours</t>
        </is>
      </c>
      <c r="D10" s="42" t="inlineStr">
        <is>
          <t>24x5 support</t>
        </is>
      </c>
      <c r="E10" s="42" t="inlineStr">
        <is>
          <t>24x7 premium</t>
        </is>
      </c>
      <c r="F10" s="41" t="inlineStr">
        <is>
          <t>SLA requirements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Cloud Services</t>
        </is>
      </c>
      <c r="B3" s="44" t="inlineStr">
        <is>
          <t>S3 Storage</t>
        </is>
      </c>
      <c r="C3" s="44" t="inlineStr">
        <is>
          <t>Standard Storage for document ingestion and archives</t>
        </is>
      </c>
      <c r="D3" s="45" t="n">
        <v>1000</v>
      </c>
      <c r="E3" s="44" t="inlineStr">
        <is>
          <t>GB/Month</t>
        </is>
      </c>
      <c r="F3" s="46" t="n">
        <v>0.023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Document storage</t>
        </is>
      </c>
    </row>
    <row r="4" ht="26" customHeight="1">
      <c r="A4" s="47" t="inlineStr">
        <is>
          <t>Cloud Services</t>
        </is>
      </c>
      <c r="B4" s="48" t="inlineStr">
        <is>
          <t>Textract Document Analysis</t>
        </is>
      </c>
      <c r="C4" s="48" t="inlineStr">
        <is>
          <t>Document Analysis API (50k pages/month)</t>
        </is>
      </c>
      <c r="D4" s="49" t="n">
        <v>50000</v>
      </c>
      <c r="E4" s="48" t="inlineStr">
        <is>
          <t>Pages/Month</t>
        </is>
      </c>
      <c r="F4" s="50" t="n">
        <v>0.015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OCR and document analysis</t>
        </is>
      </c>
    </row>
    <row r="5" ht="26" customHeight="1">
      <c r="A5" s="43" t="inlineStr">
        <is>
          <t>Cloud Services</t>
        </is>
      </c>
      <c r="B5" s="44" t="inlineStr">
        <is>
          <t>Textract Forms/Tables</t>
        </is>
      </c>
      <c r="C5" s="44" t="inlineStr">
        <is>
          <t>Forms and Tables extraction (25k pages/month)</t>
        </is>
      </c>
      <c r="D5" s="45" t="n">
        <v>25000</v>
      </c>
      <c r="E5" s="44" t="inlineStr">
        <is>
          <t>Pages/Month</t>
        </is>
      </c>
      <c r="F5" s="46" t="n">
        <v>0.05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Structured data extraction</t>
        </is>
      </c>
    </row>
    <row r="6" ht="26" customHeight="1">
      <c r="A6" s="47" t="inlineStr">
        <is>
          <t>Cloud Services</t>
        </is>
      </c>
      <c r="B6" s="48" t="inlineStr">
        <is>
          <t>Comprehend Entity Recognition</t>
        </is>
      </c>
      <c r="C6" s="48" t="inlineStr">
        <is>
          <t>Entity Recognition (25k units/month)</t>
        </is>
      </c>
      <c r="D6" s="49" t="n">
        <v>25000</v>
      </c>
      <c r="E6" s="48" t="inlineStr">
        <is>
          <t>Units/Month</t>
        </is>
      </c>
      <c r="F6" s="50" t="n">
        <v>0.0001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NLP entity extraction</t>
        </is>
      </c>
    </row>
    <row r="7" ht="26" customHeight="1">
      <c r="A7" s="43" t="inlineStr">
        <is>
          <t>Cloud Services</t>
        </is>
      </c>
      <c r="B7" s="44" t="inlineStr">
        <is>
          <t>Lambda Processing</t>
        </is>
      </c>
      <c r="C7" s="44" t="inlineStr">
        <is>
          <t>Processing functions (500k GB-seconds/month)</t>
        </is>
      </c>
      <c r="D7" s="45" t="n">
        <v>500000</v>
      </c>
      <c r="E7" s="44" t="inlineStr">
        <is>
          <t>GB-Seconds/Month</t>
        </is>
      </c>
      <c r="F7" s="46" t="n">
        <v>1.66667e-05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Serverless compute</t>
        </is>
      </c>
    </row>
    <row r="8" ht="26" customHeight="1">
      <c r="A8" s="47" t="inlineStr">
        <is>
          <t>Cloud Services</t>
        </is>
      </c>
      <c r="B8" s="48" t="inlineStr">
        <is>
          <t>DynamoDB Storage</t>
        </is>
      </c>
      <c r="C8" s="48" t="inlineStr">
        <is>
          <t>On-Demand storage and throughput</t>
        </is>
      </c>
      <c r="D8" s="49" t="n">
        <v>1</v>
      </c>
      <c r="E8" s="48" t="inlineStr">
        <is>
          <t>Service/Month</t>
        </is>
      </c>
      <c r="F8" s="50" t="n">
        <v>300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NoSQL database</t>
        </is>
      </c>
    </row>
    <row r="9" ht="26" customHeight="1">
      <c r="A9" s="43" t="inlineStr">
        <is>
          <t>Cloud Services</t>
        </is>
      </c>
      <c r="B9" s="44" t="inlineStr">
        <is>
          <t>API Gateway</t>
        </is>
      </c>
      <c r="C9" s="44" t="inlineStr">
        <is>
          <t>REST API (5M requests/month)</t>
        </is>
      </c>
      <c r="D9" s="45" t="n">
        <v>5000000</v>
      </c>
      <c r="E9" s="44" t="inlineStr">
        <is>
          <t>Requests/Month</t>
        </is>
      </c>
      <c r="F9" s="46" t="n">
        <v>3.5e-06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API management</t>
        </is>
      </c>
    </row>
    <row r="10" ht="26" customHeight="1">
      <c r="A10" s="47" t="inlineStr">
        <is>
          <t>Cloud Services</t>
        </is>
      </c>
      <c r="B10" s="48" t="inlineStr">
        <is>
          <t>SQS Queue</t>
        </is>
      </c>
      <c r="C10" s="48" t="inlineStr">
        <is>
          <t>Standard Queue (10M requests/month)</t>
        </is>
      </c>
      <c r="D10" s="49" t="n">
        <v>10000000</v>
      </c>
      <c r="E10" s="48" t="inlineStr">
        <is>
          <t>Requests/Month</t>
        </is>
      </c>
      <c r="F10" s="50" t="n">
        <v>4e-07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Message queuing</t>
        </is>
      </c>
    </row>
    <row r="11" ht="26" customHeight="1">
      <c r="A11" s="43" t="inlineStr">
        <is>
          <t>Cloud Services</t>
        </is>
      </c>
      <c r="B11" s="44" t="inlineStr">
        <is>
          <t>SNS Notifications</t>
        </is>
      </c>
      <c r="C11" s="44" t="inlineStr">
        <is>
          <t>Standard notifications (2M requests/month)</t>
        </is>
      </c>
      <c r="D11" s="45" t="n">
        <v>2000000</v>
      </c>
      <c r="E11" s="44" t="inlineStr">
        <is>
          <t>Requests/Month</t>
        </is>
      </c>
      <c r="F11" s="46" t="n">
        <v>5e-07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Pub/sub messaging</t>
        </is>
      </c>
    </row>
    <row r="12" ht="26" customHeight="1">
      <c r="A12" s="47" t="inlineStr">
        <is>
          <t>Cloud Services</t>
        </is>
      </c>
      <c r="B12" s="48" t="inlineStr">
        <is>
          <t>CloudWatch Logs</t>
        </is>
      </c>
      <c r="C12" s="48" t="inlineStr">
        <is>
          <t>Logs and Metrics (50GB logs + 100 metrics)</t>
        </is>
      </c>
      <c r="D12" s="49" t="n">
        <v>1</v>
      </c>
      <c r="E12" s="48" t="inlineStr">
        <is>
          <t>Service/Month</t>
        </is>
      </c>
      <c r="F12" s="50" t="n">
        <v>660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Monitoring and logging</t>
        </is>
      </c>
    </row>
    <row r="13" ht="26" customHeight="1">
      <c r="A13" s="43" t="inlineStr">
        <is>
          <t>Cloud Services</t>
        </is>
      </c>
      <c r="B13" s="44" t="inlineStr">
        <is>
          <t>Step Functions</t>
        </is>
      </c>
      <c r="C13" s="44" t="inlineStr">
        <is>
          <t>Standard workflows (100k transitions/month)</t>
        </is>
      </c>
      <c r="D13" s="45" t="n">
        <v>100000</v>
      </c>
      <c r="E13" s="44" t="inlineStr">
        <is>
          <t>Transitions/Month</t>
        </is>
      </c>
      <c r="F13" s="46" t="n">
        <v>2.5e-05</v>
      </c>
      <c r="G13" s="46">
        <f>D13*F13*12</f>
        <v/>
      </c>
      <c r="H13" s="46">
        <f>G13</f>
        <v/>
      </c>
      <c r="I13" s="46">
        <f>G13</f>
        <v/>
      </c>
      <c r="J13" s="46">
        <f>G13+H13+I13</f>
        <v/>
      </c>
      <c r="K13" s="44" t="inlineStr">
        <is>
          <t>Workflow orchestration</t>
        </is>
      </c>
    </row>
    <row r="14" ht="26" customHeight="1">
      <c r="A14" s="47" t="inlineStr">
        <is>
          <t>Cloud Services</t>
        </is>
      </c>
      <c r="B14" s="48" t="inlineStr">
        <is>
          <t>ElastiCache Redis</t>
        </is>
      </c>
      <c r="C14" s="48" t="inlineStr">
        <is>
          <t>cache.t3.micro single node</t>
        </is>
      </c>
      <c r="D14" s="49" t="n">
        <v>1</v>
      </c>
      <c r="E14" s="48" t="inlineStr">
        <is>
          <t>Instance/Month</t>
        </is>
      </c>
      <c r="F14" s="50" t="n">
        <v>182</v>
      </c>
      <c r="G14" s="50">
        <f>D14*F14*12</f>
        <v/>
      </c>
      <c r="H14" s="50">
        <f>G14</f>
        <v/>
      </c>
      <c r="I14" s="50">
        <f>G14</f>
        <v/>
      </c>
      <c r="J14" s="50">
        <f>G14+H14+I14</f>
        <v/>
      </c>
      <c r="K14" s="48" t="inlineStr">
        <is>
          <t>Caching layer</t>
        </is>
      </c>
    </row>
    <row r="15" ht="26" customHeight="1">
      <c r="A15" s="43" t="inlineStr">
        <is>
          <t>Cloud Services</t>
        </is>
      </c>
      <c r="B15" s="44" t="inlineStr">
        <is>
          <t>Secrets Manager</t>
        </is>
      </c>
      <c r="C15" s="44" t="inlineStr">
        <is>
          <t>10 secrets for API keys and credentials</t>
        </is>
      </c>
      <c r="D15" s="45" t="n">
        <v>10</v>
      </c>
      <c r="E15" s="44" t="inlineStr">
        <is>
          <t>Secrets/Month</t>
        </is>
      </c>
      <c r="F15" s="46" t="n">
        <v>0.4</v>
      </c>
      <c r="G15" s="46">
        <f>D15*F15*12</f>
        <v/>
      </c>
      <c r="H15" s="46">
        <f>G15</f>
        <v/>
      </c>
      <c r="I15" s="46">
        <f>G15</f>
        <v/>
      </c>
      <c r="J15" s="46">
        <f>G15+H15+I15</f>
        <v/>
      </c>
      <c r="K15" s="44" t="inlineStr">
        <is>
          <t>Secrets management</t>
        </is>
      </c>
    </row>
    <row r="16" ht="26" customHeight="1">
      <c r="A16" s="47" t="inlineStr">
        <is>
          <t>Cloud Services</t>
        </is>
      </c>
      <c r="B16" s="48" t="inlineStr">
        <is>
          <t>VPC NAT Gateway</t>
        </is>
      </c>
      <c r="C16" s="48" t="inlineStr">
        <is>
          <t>Single AZ NAT Gateway</t>
        </is>
      </c>
      <c r="D16" s="49" t="n">
        <v>1</v>
      </c>
      <c r="E16" s="48" t="inlineStr">
        <is>
          <t>Gateway/Month</t>
        </is>
      </c>
      <c r="F16" s="50" t="n">
        <v>394</v>
      </c>
      <c r="G16" s="50">
        <f>D16*F16*12</f>
        <v/>
      </c>
      <c r="H16" s="50">
        <f>G16</f>
        <v/>
      </c>
      <c r="I16" s="50">
        <f>G16</f>
        <v/>
      </c>
      <c r="J16" s="50">
        <f>G16+H16+I16</f>
        <v/>
      </c>
      <c r="K16" s="48" t="inlineStr">
        <is>
          <t>Network address translation</t>
        </is>
      </c>
    </row>
    <row r="17" ht="26" customHeight="1">
      <c r="A17" s="43" t="inlineStr">
        <is>
          <t>Cloud Services</t>
        </is>
      </c>
      <c r="B17" s="44" t="inlineStr">
        <is>
          <t>Data Transfer Out</t>
        </is>
      </c>
      <c r="C17" s="44" t="inlineStr">
        <is>
          <t>Outbound data transfer (500GB/month)</t>
        </is>
      </c>
      <c r="D17" s="45" t="n">
        <v>500</v>
      </c>
      <c r="E17" s="44" t="inlineStr">
        <is>
          <t>GB/Month</t>
        </is>
      </c>
      <c r="F17" s="46" t="n">
        <v>0.09</v>
      </c>
      <c r="G17" s="46">
        <f>D17*F17*12</f>
        <v/>
      </c>
      <c r="H17" s="46">
        <f>G17</f>
        <v/>
      </c>
      <c r="I17" s="46">
        <f>G17</f>
        <v/>
      </c>
      <c r="J17" s="46">
        <f>G17+H17+I17</f>
        <v/>
      </c>
      <c r="K17" s="44" t="inlineStr">
        <is>
          <t>Egress charges</t>
        </is>
      </c>
    </row>
    <row r="18" ht="26" customHeight="1">
      <c r="A18" s="47" t="inlineStr">
        <is>
          <t>Software Licenses</t>
        </is>
      </c>
      <c r="B18" s="48" t="inlineStr">
        <is>
          <t>Amazon A2I</t>
        </is>
      </c>
      <c r="C18" s="48" t="inlineStr">
        <is>
          <t>Augmented AI for human review (1k tasks/month)</t>
        </is>
      </c>
      <c r="D18" s="49" t="n">
        <v>1000</v>
      </c>
      <c r="E18" s="48" t="inlineStr">
        <is>
          <t>Tasks/Month</t>
        </is>
      </c>
      <c r="F18" s="50" t="n">
        <v>0.04</v>
      </c>
      <c r="G18" s="50">
        <f>D18*F18*12</f>
        <v/>
      </c>
      <c r="H18" s="50">
        <f>G18</f>
        <v/>
      </c>
      <c r="I18" s="50">
        <f>G18</f>
        <v/>
      </c>
      <c r="J18" s="50">
        <f>G18+H18+I18</f>
        <v/>
      </c>
      <c r="K18" s="48" t="inlineStr">
        <is>
          <t>Human-in-the-loop review</t>
        </is>
      </c>
    </row>
    <row r="19" ht="26" customHeight="1">
      <c r="A19" s="43" t="inlineStr">
        <is>
          <t>Software Licenses</t>
        </is>
      </c>
      <c r="B19" s="44" t="inlineStr">
        <is>
          <t>Datadog Monitoring</t>
        </is>
      </c>
      <c r="C19" s="44" t="inlineStr">
        <is>
          <t>Pro monitoring (3 hosts)</t>
        </is>
      </c>
      <c r="D19" s="45" t="n">
        <v>3</v>
      </c>
      <c r="E19" s="44" t="inlineStr">
        <is>
          <t>Hosts/Month</t>
        </is>
      </c>
      <c r="F19" s="46" t="n">
        <v>23</v>
      </c>
      <c r="G19" s="46">
        <f>D19*F19*12</f>
        <v/>
      </c>
      <c r="H19" s="46">
        <f>G19</f>
        <v/>
      </c>
      <c r="I19" s="46">
        <f>G19</f>
        <v/>
      </c>
      <c r="J19" s="46">
        <f>G19+H19+I19</f>
        <v/>
      </c>
      <c r="K19" s="44" t="inlineStr">
        <is>
          <t>Application monitoring</t>
        </is>
      </c>
    </row>
    <row r="20" ht="26" customHeight="1">
      <c r="A20" s="47" t="inlineStr">
        <is>
          <t>Software Licenses</t>
        </is>
      </c>
      <c r="B20" s="48" t="inlineStr">
        <is>
          <t>PagerDuty</t>
        </is>
      </c>
      <c r="C20" s="48" t="inlineStr">
        <is>
          <t>Professional incident management (3 users)</t>
        </is>
      </c>
      <c r="D20" s="49" t="n">
        <v>3</v>
      </c>
      <c r="E20" s="48" t="inlineStr">
        <is>
          <t>Users/Month</t>
        </is>
      </c>
      <c r="F20" s="50" t="n">
        <v>41</v>
      </c>
      <c r="G20" s="50">
        <f>D20*F20*12</f>
        <v/>
      </c>
      <c r="H20" s="50">
        <f>G20</f>
        <v/>
      </c>
      <c r="I20" s="50">
        <f>G20</f>
        <v/>
      </c>
      <c r="J20" s="50">
        <f>G20+H20+I20</f>
        <v/>
      </c>
      <c r="K20" s="48" t="inlineStr">
        <is>
          <t>Incident management</t>
        </is>
      </c>
    </row>
    <row r="21" ht="26" customHeight="1">
      <c r="A21" s="43" t="inlineStr">
        <is>
          <t>Support &amp; Maintenance</t>
        </is>
      </c>
      <c r="B21" s="44" t="inlineStr">
        <is>
          <t>AWS Managed Services</t>
        </is>
      </c>
      <c r="C21" s="44" t="inlineStr">
        <is>
          <t>Managed services and monitoring (15% of cloud infrastructure)</t>
        </is>
      </c>
      <c r="D21" s="45" t="n">
        <v>1</v>
      </c>
      <c r="E21" s="44" t="inlineStr">
        <is>
          <t>Service/Month</t>
        </is>
      </c>
      <c r="F21" s="46" t="n">
        <v>4087</v>
      </c>
      <c r="G21" s="46">
        <f>D21*F21*12</f>
        <v/>
      </c>
      <c r="H21" s="46">
        <f>G21</f>
        <v/>
      </c>
      <c r="I21" s="46">
        <f>G21</f>
        <v/>
      </c>
      <c r="J21" s="46">
        <f>G21+H21+I21</f>
        <v/>
      </c>
      <c r="K21" s="44" t="inlineStr">
        <is>
          <t>Ongoing support</t>
        </is>
      </c>
    </row>
    <row r="22" ht="26" customHeight="1">
      <c r="A22" s="51" t="inlineStr">
        <is>
          <t>TOTAL</t>
        </is>
      </c>
      <c r="B22" s="52" t="n"/>
      <c r="C22" s="52" t="n"/>
      <c r="D22" s="52" t="n"/>
      <c r="E22" s="52" t="n"/>
      <c r="F22" s="52" t="n"/>
      <c r="G22" s="53">
        <f>SUM(G3:G21)</f>
        <v/>
      </c>
      <c r="H22" s="53">
        <f>SUM(H3:H21)</f>
        <v/>
      </c>
      <c r="I22" s="53">
        <f>SUM(I3:I21)</f>
        <v/>
      </c>
      <c r="J22" s="53">
        <f>SUM(J3:J21)</f>
        <v/>
      </c>
      <c r="K22" s="52" t="n"/>
    </row>
  </sheetData>
  <autoFilter ref="A2:K2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Services</t>
        </is>
      </c>
      <c r="B3" s="44" t="inlineStr">
        <is>
          <t>AWS AI Services Credit</t>
        </is>
      </c>
      <c r="C3" s="46" t="n">
        <v>-5000</v>
      </c>
      <c r="D3" s="44" t="inlineStr">
        <is>
          <t>35% Year 1 Textract consumption credit</t>
        </is>
      </c>
    </row>
    <row r="4" ht="26" customHeight="1">
      <c r="A4" s="47" t="inlineStr">
        <is>
          <t>Software Licenses</t>
        </is>
      </c>
      <c r="B4" s="48" t="inlineStr">
        <is>
          <t>Partner Credit</t>
        </is>
      </c>
      <c r="C4" s="50" t="n">
        <v>0</v>
      </c>
      <c r="D4" s="48" t="inlineStr">
        <is>
          <t>No software credits available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Hardware</t>
        </is>
      </c>
      <c r="B6" s="48" t="inlineStr">
        <is>
          <t>Equipment Credit</t>
        </is>
      </c>
      <c r="C6" s="50" t="n">
        <v>0</v>
      </c>
      <c r="D6" s="48" t="inlineStr">
        <is>
          <t>No hardware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Services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51" t="inlineStr">
        <is>
          <t>TOTAL</t>
        </is>
      </c>
      <c r="B6" s="53">
        <f>SUM(B3:B5)</f>
        <v/>
      </c>
      <c r="C6" s="53">
        <f>SUM(C3:C5)</f>
        <v/>
      </c>
      <c r="D6" s="53">
        <f>SUM(D3:D5)</f>
        <v/>
      </c>
      <c r="E6" s="53">
        <f>SUM(E3:E5)</f>
        <v/>
      </c>
      <c r="F6" s="53">
        <f>SUM(F3:F5)</f>
        <v/>
      </c>
      <c r="G6" s="53">
        <f>SUM(G3:G5)</f>
        <v/>
      </c>
    </row>
  </sheetData>
  <autoFilter ref="A2:G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2025-11-26T13:50:43Z</dcterms:modified>
  <cp:lastModifiedBy>Kishan Siram</cp:lastModifiedBy>
</cp:coreProperties>
</file>