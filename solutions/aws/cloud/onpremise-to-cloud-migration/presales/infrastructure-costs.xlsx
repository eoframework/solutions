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COSTS'!$A$2:$K$23</definedName>
    <definedName name="_xlnm._FilterDatabase" localSheetId="3" hidden="1">'CREDITS'!$A$2:$D$9</definedName>
    <definedName name="_xlnm._FilterDatabase" localSheetId="4" hidden="1">'SUMMARY'!$A$2:$G$7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  <xf numFmtId="0" fontId="17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21, 2025</t>
        </is>
      </c>
    </row>
    <row r="8" ht="18" customHeight="1">
      <c r="B8" s="2" t="inlineStr">
        <is>
          <t>Customer:</t>
        </is>
      </c>
      <c r="C8" s="3" t="inlineStr">
        <is>
          <t>Onpremise To Cloud Migration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 - Based on Solution Scope (Default: Small)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Migration Scope</t>
        </is>
      </c>
      <c r="B3" s="38" t="inlineStr">
        <is>
          <t>Application Workloads</t>
        </is>
      </c>
      <c r="C3" s="38" t="inlineStr">
        <is>
          <t>15-25 applications</t>
        </is>
      </c>
      <c r="D3" s="38" t="inlineStr">
        <is>
          <t>50-100 applications</t>
        </is>
      </c>
      <c r="E3" s="38" t="inlineStr">
        <is>
          <t>200+ applications</t>
        </is>
      </c>
      <c r="F3" s="38" t="inlineStr">
        <is>
          <t>Number of applications to migrate</t>
        </is>
      </c>
    </row>
    <row r="4" ht="26" customHeight="1">
      <c r="A4" s="39" t="inlineStr">
        <is>
          <t>Migration Scope</t>
        </is>
      </c>
      <c r="B4" s="40" t="inlineStr">
        <is>
          <t>Database Instances</t>
        </is>
      </c>
      <c r="C4" s="40" t="inlineStr">
        <is>
          <t>1-2 databases</t>
        </is>
      </c>
      <c r="D4" s="40" t="inlineStr">
        <is>
          <t>5-10 databases</t>
        </is>
      </c>
      <c r="E4" s="40" t="inlineStr">
        <is>
          <t>20+ databases</t>
        </is>
      </c>
      <c r="F4" s="40" t="inlineStr">
        <is>
          <t>Database migration complexity</t>
        </is>
      </c>
    </row>
    <row r="5" ht="26" customHeight="1">
      <c r="A5" s="37" t="inlineStr">
        <is>
          <t>Cloud Infrastructure</t>
        </is>
      </c>
      <c r="B5" s="38" t="inlineStr">
        <is>
          <t>Application Tier</t>
        </is>
      </c>
      <c r="C5" s="38" t="inlineStr">
        <is>
          <t>3 t3.large instances</t>
        </is>
      </c>
      <c r="D5" s="38" t="inlineStr">
        <is>
          <t>6-8 m5.xlarge instances</t>
        </is>
      </c>
      <c r="E5" s="38" t="inlineStr">
        <is>
          <t>15+ m5.2xlarge instances</t>
        </is>
      </c>
      <c r="F5" s="38" t="inlineStr">
        <is>
          <t>Target EC2 compute capacity</t>
        </is>
      </c>
    </row>
    <row r="6" ht="26" customHeight="1">
      <c r="A6" s="39" t="inlineStr">
        <is>
          <t>Cloud Infrastructure</t>
        </is>
      </c>
      <c r="B6" s="40" t="inlineStr">
        <is>
          <t>Database Size</t>
        </is>
      </c>
      <c r="C6" s="40" t="inlineStr">
        <is>
          <t>db.t3.large Multi-AZ</t>
        </is>
      </c>
      <c r="D6" s="40" t="inlineStr">
        <is>
          <t>db.r5.xlarge Multi-AZ</t>
        </is>
      </c>
      <c r="E6" s="40" t="inlineStr">
        <is>
          <t>db.r5.4xlarge Multi-AZ</t>
        </is>
      </c>
      <c r="F6" s="40" t="inlineStr">
        <is>
          <t>RDS instance sizing</t>
        </is>
      </c>
    </row>
    <row r="7" ht="26" customHeight="1">
      <c r="A7" s="37" t="inlineStr">
        <is>
          <t>Cloud Infrastructure</t>
        </is>
      </c>
      <c r="B7" s="38" t="inlineStr">
        <is>
          <t>Storage Volume</t>
        </is>
      </c>
      <c r="C7" s="38" t="inlineStr">
        <is>
          <t>1 TB</t>
        </is>
      </c>
      <c r="D7" s="38" t="inlineStr">
        <is>
          <t>5 TB</t>
        </is>
      </c>
      <c r="E7" s="38" t="inlineStr">
        <is>
          <t>20+ TB</t>
        </is>
      </c>
      <c r="F7" s="38" t="inlineStr">
        <is>
          <t>Application data and backups</t>
        </is>
      </c>
    </row>
    <row r="8" ht="26" customHeight="1">
      <c r="A8" s="39" t="inlineStr">
        <is>
          <t>Cloud Infrastructure</t>
        </is>
      </c>
      <c r="B8" s="40" t="inlineStr">
        <is>
          <t>Migration Data Transfer</t>
        </is>
      </c>
      <c r="C8" s="40" t="inlineStr">
        <is>
          <t>2 TB initial transfer</t>
        </is>
      </c>
      <c r="D8" s="40" t="inlineStr">
        <is>
          <t>10 TB initial transfer</t>
        </is>
      </c>
      <c r="E8" s="40" t="inlineStr">
        <is>
          <t>50+ TB initial transfer</t>
        </is>
      </c>
      <c r="F8" s="40" t="inlineStr">
        <is>
          <t>One-time data migration volume</t>
        </is>
      </c>
    </row>
    <row r="9" ht="26" customHeight="1">
      <c r="A9" s="37" t="inlineStr">
        <is>
          <t>Migration Timeline</t>
        </is>
      </c>
      <c r="B9" s="38" t="inlineStr">
        <is>
          <t>Migration Duration</t>
        </is>
      </c>
      <c r="C9" s="38" t="inlineStr">
        <is>
          <t>4-6 months</t>
        </is>
      </c>
      <c r="D9" s="38" t="inlineStr">
        <is>
          <t>9-12 months</t>
        </is>
      </c>
      <c r="E9" s="38" t="inlineStr">
        <is>
          <t>18+ months</t>
        </is>
      </c>
      <c r="F9" s="38" t="inlineStr">
        <is>
          <t>Full migration timeline</t>
        </is>
      </c>
    </row>
    <row r="10" ht="26" customHeight="1">
      <c r="A10" s="39" t="inlineStr">
        <is>
          <t>Support &amp; Maintenance</t>
        </is>
      </c>
      <c r="B10" s="40" t="inlineStr">
        <is>
          <t>Support Level</t>
        </is>
      </c>
      <c r="C10" s="40" t="inlineStr">
        <is>
          <t>Business hours</t>
        </is>
      </c>
      <c r="D10" s="40" t="inlineStr">
        <is>
          <t>24x5 support</t>
        </is>
      </c>
      <c r="E10" s="40" t="inlineStr">
        <is>
          <t>24x7 premium</t>
        </is>
      </c>
      <c r="F10" s="40" t="inlineStr">
        <is>
          <t>SLA requirements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 - Quantities Default to Small Scope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1" t="inlineStr">
        <is>
          <t>Cloud Infrastructure</t>
        </is>
      </c>
      <c r="B3" s="42" t="inlineStr">
        <is>
          <t>EC2 Application Tier</t>
        </is>
      </c>
      <c r="C3" s="42" t="inlineStr">
        <is>
          <t>t3.large instances for migrated apps</t>
        </is>
      </c>
      <c r="D3" s="43" t="n">
        <v>3</v>
      </c>
      <c r="E3" s="42" t="inlineStr">
        <is>
          <t>Instance/Month</t>
        </is>
      </c>
      <c r="F3" s="44" t="n">
        <v>67.5</v>
      </c>
      <c r="G3" s="44">
        <f>D3*F3*12</f>
        <v/>
      </c>
      <c r="H3" s="44">
        <f>G3</f>
        <v/>
      </c>
      <c r="I3" s="44">
        <f>G3</f>
        <v/>
      </c>
      <c r="J3" s="44">
        <f>G3+H3+I3</f>
        <v/>
      </c>
      <c r="K3" s="42" t="inlineStr">
        <is>
          <t>Target application servers</t>
        </is>
      </c>
    </row>
    <row r="4" ht="26" customHeight="1">
      <c r="A4" s="45" t="inlineStr">
        <is>
          <t>Cloud Infrastructure</t>
        </is>
      </c>
      <c r="B4" s="46" t="inlineStr">
        <is>
          <t>RDS Multi-AZ Database</t>
        </is>
      </c>
      <c r="C4" s="46" t="inlineStr">
        <is>
          <t>db.t3.large PostgreSQL managed database</t>
        </is>
      </c>
      <c r="D4" s="47" t="n">
        <v>1</v>
      </c>
      <c r="E4" s="46" t="inlineStr">
        <is>
          <t>Instance/Month</t>
        </is>
      </c>
      <c r="F4" s="48" t="n">
        <v>288</v>
      </c>
      <c r="G4" s="48">
        <f>D4*F4*12</f>
        <v/>
      </c>
      <c r="H4" s="48">
        <f>G4</f>
        <v/>
      </c>
      <c r="I4" s="48">
        <f>G4</f>
        <v/>
      </c>
      <c r="J4" s="48">
        <f>G4+H4+I4</f>
        <v/>
      </c>
      <c r="K4" s="46" t="inlineStr">
        <is>
          <t>Migrated database</t>
        </is>
      </c>
    </row>
    <row r="5" ht="26" customHeight="1">
      <c r="A5" s="41" t="inlineStr">
        <is>
          <t>Cloud Infrastructure</t>
        </is>
      </c>
      <c r="B5" s="42" t="inlineStr">
        <is>
          <t>S3 Standard Storage</t>
        </is>
      </c>
      <c r="C5" s="42" t="inlineStr">
        <is>
          <t>App data and backups (1TB)</t>
        </is>
      </c>
      <c r="D5" s="43" t="n">
        <v>1000</v>
      </c>
      <c r="E5" s="42" t="inlineStr">
        <is>
          <t>GB/Month</t>
        </is>
      </c>
      <c r="F5" s="44" t="n">
        <v>0.023</v>
      </c>
      <c r="G5" s="44">
        <f>D5*F5*12</f>
        <v/>
      </c>
      <c r="H5" s="44">
        <f>G5</f>
        <v/>
      </c>
      <c r="I5" s="44">
        <f>G5</f>
        <v/>
      </c>
      <c r="J5" s="44">
        <f>G5+H5+I5</f>
        <v/>
      </c>
      <c r="K5" s="42" t="inlineStr">
        <is>
          <t>Object storage</t>
        </is>
      </c>
    </row>
    <row r="6" ht="26" customHeight="1">
      <c r="A6" s="45" t="inlineStr">
        <is>
          <t>Cloud Infrastructure</t>
        </is>
      </c>
      <c r="B6" s="46" t="inlineStr">
        <is>
          <t>EBS General Purpose SSD</t>
        </is>
      </c>
      <c r="C6" s="46" t="inlineStr">
        <is>
          <t>Block storage volumes (500GB)</t>
        </is>
      </c>
      <c r="D6" s="47" t="n">
        <v>500</v>
      </c>
      <c r="E6" s="46" t="inlineStr">
        <is>
          <t>GB/Month</t>
        </is>
      </c>
      <c r="F6" s="48" t="n">
        <v>0.1</v>
      </c>
      <c r="G6" s="48">
        <f>D6*F6*12</f>
        <v/>
      </c>
      <c r="H6" s="48">
        <f>G6</f>
        <v/>
      </c>
      <c r="I6" s="48">
        <f>G6</f>
        <v/>
      </c>
      <c r="J6" s="48">
        <f>G6+H6+I6</f>
        <v/>
      </c>
      <c r="K6" s="46" t="inlineStr">
        <is>
          <t>Block storage</t>
        </is>
      </c>
    </row>
    <row r="7" ht="26" customHeight="1">
      <c r="A7" s="41" t="inlineStr">
        <is>
          <t>Cloud Infrastructure</t>
        </is>
      </c>
      <c r="B7" s="42" t="inlineStr">
        <is>
          <t>Application Load Balancer</t>
        </is>
      </c>
      <c r="C7" s="42" t="inlineStr">
        <is>
          <t>Load balancing and SSL termination</t>
        </is>
      </c>
      <c r="D7" s="43" t="n">
        <v>1</v>
      </c>
      <c r="E7" s="42" t="inlineStr">
        <is>
          <t>ALB/Month</t>
        </is>
      </c>
      <c r="F7" s="44" t="n">
        <v>22.5</v>
      </c>
      <c r="G7" s="44">
        <f>D7*F7*12</f>
        <v/>
      </c>
      <c r="H7" s="44">
        <f>G7</f>
        <v/>
      </c>
      <c r="I7" s="44">
        <f>G7</f>
        <v/>
      </c>
      <c r="J7" s="44">
        <f>G7+H7+I7</f>
        <v/>
      </c>
      <c r="K7" s="42" t="inlineStr">
        <is>
          <t>Load balancing</t>
        </is>
      </c>
    </row>
    <row r="8" ht="26" customHeight="1">
      <c r="A8" s="45" t="inlineStr">
        <is>
          <t>Cloud Infrastructure</t>
        </is>
      </c>
      <c r="B8" s="46" t="inlineStr">
        <is>
          <t>CloudFront CDN</t>
        </is>
      </c>
      <c r="C8" s="46" t="inlineStr">
        <is>
          <t>Static content delivery (200GB/month)</t>
        </is>
      </c>
      <c r="D8" s="47" t="n">
        <v>200</v>
      </c>
      <c r="E8" s="46" t="inlineStr">
        <is>
          <t>GB/Month</t>
        </is>
      </c>
      <c r="F8" s="48" t="n">
        <v>0.08500000000000001</v>
      </c>
      <c r="G8" s="48">
        <f>D8*F8*12</f>
        <v/>
      </c>
      <c r="H8" s="48">
        <f>G8</f>
        <v/>
      </c>
      <c r="I8" s="48">
        <f>G8</f>
        <v/>
      </c>
      <c r="J8" s="48">
        <f>G8+H8+I8</f>
        <v/>
      </c>
      <c r="K8" s="46" t="inlineStr">
        <is>
          <t>Content delivery</t>
        </is>
      </c>
    </row>
    <row r="9" ht="26" customHeight="1">
      <c r="A9" s="41" t="inlineStr">
        <is>
          <t>Cloud Infrastructure</t>
        </is>
      </c>
      <c r="B9" s="42" t="inlineStr">
        <is>
          <t>VPC Networking</t>
        </is>
      </c>
      <c r="C9" s="42" t="inlineStr">
        <is>
          <t>Virtual private cloud with subnets</t>
        </is>
      </c>
      <c r="D9" s="43" t="n">
        <v>1</v>
      </c>
      <c r="E9" s="42" t="inlineStr">
        <is>
          <t>Service/Month</t>
        </is>
      </c>
      <c r="F9" s="44" t="n">
        <v>0</v>
      </c>
      <c r="G9" s="44">
        <f>D9*F9*12</f>
        <v/>
      </c>
      <c r="H9" s="44">
        <f>G9</f>
        <v/>
      </c>
      <c r="I9" s="44">
        <f>G9</f>
        <v/>
      </c>
      <c r="J9" s="44">
        <f>G9+H9+I9</f>
        <v/>
      </c>
      <c r="K9" s="42" t="inlineStr">
        <is>
          <t>Network infrastructure</t>
        </is>
      </c>
    </row>
    <row r="10" ht="26" customHeight="1">
      <c r="A10" s="45" t="inlineStr">
        <is>
          <t>Cloud Infrastructure</t>
        </is>
      </c>
      <c r="B10" s="46" t="inlineStr">
        <is>
          <t>NAT Gateway</t>
        </is>
      </c>
      <c r="C10" s="46" t="inlineStr">
        <is>
          <t>Outbound internet access (single AZ)</t>
        </is>
      </c>
      <c r="D10" s="47" t="n">
        <v>1</v>
      </c>
      <c r="E10" s="46" t="inlineStr">
        <is>
          <t>Gateway/Month</t>
        </is>
      </c>
      <c r="F10" s="48" t="n">
        <v>32.85</v>
      </c>
      <c r="G10" s="48">
        <f>D10*F10*12</f>
        <v/>
      </c>
      <c r="H10" s="48">
        <f>G10</f>
        <v/>
      </c>
      <c r="I10" s="48">
        <f>G10</f>
        <v/>
      </c>
      <c r="J10" s="48">
        <f>G10+H10+I10</f>
        <v/>
      </c>
      <c r="K10" s="46" t="inlineStr">
        <is>
          <t>Outbound connectivity</t>
        </is>
      </c>
    </row>
    <row r="11" ht="26" customHeight="1">
      <c r="A11" s="41" t="inlineStr">
        <is>
          <t>Cloud Infrastructure</t>
        </is>
      </c>
      <c r="B11" s="42" t="inlineStr">
        <is>
          <t>Route 53 DNS</t>
        </is>
      </c>
      <c r="C11" s="42" t="inlineStr">
        <is>
          <t>DNS management (2 hosted zones)</t>
        </is>
      </c>
      <c r="D11" s="43" t="n">
        <v>2</v>
      </c>
      <c r="E11" s="42" t="inlineStr">
        <is>
          <t>Zones/Month</t>
        </is>
      </c>
      <c r="F11" s="44" t="n">
        <v>0.5</v>
      </c>
      <c r="G11" s="44">
        <f>D11*F11*12</f>
        <v/>
      </c>
      <c r="H11" s="44">
        <f>G11</f>
        <v/>
      </c>
      <c r="I11" s="44">
        <f>G11</f>
        <v/>
      </c>
      <c r="J11" s="44">
        <f>G11+H11+I11</f>
        <v/>
      </c>
      <c r="K11" s="42" t="inlineStr">
        <is>
          <t>DNS management</t>
        </is>
      </c>
    </row>
    <row r="12" ht="26" customHeight="1">
      <c r="A12" s="45" t="inlineStr">
        <is>
          <t>Cloud Infrastructure</t>
        </is>
      </c>
      <c r="B12" s="46" t="inlineStr">
        <is>
          <t>Site-to-Site VPN</t>
        </is>
      </c>
      <c r="C12" s="46" t="inlineStr">
        <is>
          <t>Secure VPN for migration connectivity</t>
        </is>
      </c>
      <c r="D12" s="47" t="n">
        <v>1</v>
      </c>
      <c r="E12" s="46" t="inlineStr">
        <is>
          <t>Connection/Month</t>
        </is>
      </c>
      <c r="F12" s="48" t="n">
        <v>36</v>
      </c>
      <c r="G12" s="48">
        <f>D12*F12*12</f>
        <v/>
      </c>
      <c r="H12" s="48">
        <f>G12</f>
        <v/>
      </c>
      <c r="I12" s="48">
        <f>G12</f>
        <v/>
      </c>
      <c r="J12" s="48">
        <f>G12+H12+I12</f>
        <v/>
      </c>
      <c r="K12" s="46" t="inlineStr">
        <is>
          <t>Hybrid connectivity</t>
        </is>
      </c>
    </row>
    <row r="13" ht="26" customHeight="1">
      <c r="A13" s="41" t="inlineStr">
        <is>
          <t>Cloud Infrastructure</t>
        </is>
      </c>
      <c r="B13" s="42" t="inlineStr">
        <is>
          <t>ElastiCache Redis</t>
        </is>
      </c>
      <c r="C13" s="42" t="inlineStr">
        <is>
          <t>In-memory caching (cache.t3.medium)</t>
        </is>
      </c>
      <c r="D13" s="43" t="n">
        <v>1</v>
      </c>
      <c r="E13" s="42" t="inlineStr">
        <is>
          <t>Instance/Month</t>
        </is>
      </c>
      <c r="F13" s="44" t="n">
        <v>32.5</v>
      </c>
      <c r="G13" s="44">
        <f>D13*F13*12</f>
        <v/>
      </c>
      <c r="H13" s="44">
        <f>G13</f>
        <v/>
      </c>
      <c r="I13" s="44">
        <f>G13</f>
        <v/>
      </c>
      <c r="J13" s="44">
        <f>G13+H13+I13</f>
        <v/>
      </c>
      <c r="K13" s="42" t="inlineStr">
        <is>
          <t>Application caching</t>
        </is>
      </c>
    </row>
    <row r="14" ht="26" customHeight="1">
      <c r="A14" s="45" t="inlineStr">
        <is>
          <t>Cloud Infrastructure</t>
        </is>
      </c>
      <c r="B14" s="46" t="inlineStr">
        <is>
          <t>CloudWatch Logs</t>
        </is>
      </c>
      <c r="C14" s="46" t="inlineStr">
        <is>
          <t>Centralized logging (50GB)</t>
        </is>
      </c>
      <c r="D14" s="47" t="n">
        <v>50</v>
      </c>
      <c r="E14" s="46" t="inlineStr">
        <is>
          <t>GB/Month</t>
        </is>
      </c>
      <c r="F14" s="48" t="n">
        <v>0.5</v>
      </c>
      <c r="G14" s="48">
        <f>D14*F14*12</f>
        <v/>
      </c>
      <c r="H14" s="48">
        <f>G14</f>
        <v/>
      </c>
      <c r="I14" s="48">
        <f>G14</f>
        <v/>
      </c>
      <c r="J14" s="48">
        <f>G14+H14+I14</f>
        <v/>
      </c>
      <c r="K14" s="46" t="inlineStr">
        <is>
          <t>Log management</t>
        </is>
      </c>
    </row>
    <row r="15" ht="26" customHeight="1">
      <c r="A15" s="41" t="inlineStr">
        <is>
          <t>Cloud Infrastructure</t>
        </is>
      </c>
      <c r="B15" s="42" t="inlineStr">
        <is>
          <t>CloudWatch Metrics</t>
        </is>
      </c>
      <c r="C15" s="42" t="inlineStr">
        <is>
          <t>Monitoring (100 custom metrics)</t>
        </is>
      </c>
      <c r="D15" s="43" t="n">
        <v>100</v>
      </c>
      <c r="E15" s="42" t="inlineStr">
        <is>
          <t>Metrics/Month</t>
        </is>
      </c>
      <c r="F15" s="44" t="n">
        <v>0.3</v>
      </c>
      <c r="G15" s="44">
        <f>D15*F15*12</f>
        <v/>
      </c>
      <c r="H15" s="44">
        <f>G15</f>
        <v/>
      </c>
      <c r="I15" s="44">
        <f>G15</f>
        <v/>
      </c>
      <c r="J15" s="44">
        <f>G15+H15+I15</f>
        <v/>
      </c>
      <c r="K15" s="42" t="inlineStr">
        <is>
          <t>Custom metrics</t>
        </is>
      </c>
    </row>
    <row r="16" ht="26" customHeight="1">
      <c r="A16" s="45" t="inlineStr">
        <is>
          <t>Cloud Infrastructure</t>
        </is>
      </c>
      <c r="B16" s="46" t="inlineStr">
        <is>
          <t>Systems Manager</t>
        </is>
      </c>
      <c r="C16" s="46" t="inlineStr">
        <is>
          <t>Configuration management</t>
        </is>
      </c>
      <c r="D16" s="47" t="n">
        <v>1</v>
      </c>
      <c r="E16" s="46" t="inlineStr">
        <is>
          <t>Service/Month</t>
        </is>
      </c>
      <c r="F16" s="48" t="n">
        <v>0</v>
      </c>
      <c r="G16" s="48">
        <f>D16*F16*12</f>
        <v/>
      </c>
      <c r="H16" s="48">
        <f>G16</f>
        <v/>
      </c>
      <c r="I16" s="48">
        <f>G16</f>
        <v/>
      </c>
      <c r="J16" s="48">
        <f>G16+H16+I16</f>
        <v/>
      </c>
      <c r="K16" s="46" t="inlineStr">
        <is>
          <t>Free tier</t>
        </is>
      </c>
    </row>
    <row r="17" ht="26" customHeight="1">
      <c r="A17" s="41" t="inlineStr">
        <is>
          <t>Cloud Infrastructure</t>
        </is>
      </c>
      <c r="B17" s="42" t="inlineStr">
        <is>
          <t>Secrets Manager</t>
        </is>
      </c>
      <c r="C17" s="42" t="inlineStr">
        <is>
          <t>Secure credential storage (10 secrets)</t>
        </is>
      </c>
      <c r="D17" s="43" t="n">
        <v>10</v>
      </c>
      <c r="E17" s="42" t="inlineStr">
        <is>
          <t>Secrets/Month</t>
        </is>
      </c>
      <c r="F17" s="44" t="n">
        <v>0.4</v>
      </c>
      <c r="G17" s="44">
        <f>D17*F17*12</f>
        <v/>
      </c>
      <c r="H17" s="44">
        <f>G17</f>
        <v/>
      </c>
      <c r="I17" s="44">
        <f>G17</f>
        <v/>
      </c>
      <c r="J17" s="44">
        <f>G17+H17+I17</f>
        <v/>
      </c>
      <c r="K17" s="42" t="inlineStr">
        <is>
          <t>Secrets management</t>
        </is>
      </c>
    </row>
    <row r="18" ht="26" customHeight="1">
      <c r="A18" s="45" t="inlineStr">
        <is>
          <t>Cloud Infrastructure</t>
        </is>
      </c>
      <c r="B18" s="46" t="inlineStr">
        <is>
          <t>AWS Backup</t>
        </is>
      </c>
      <c r="C18" s="46" t="inlineStr">
        <is>
          <t>Automated backup management (500GB)</t>
        </is>
      </c>
      <c r="D18" s="47" t="n">
        <v>500</v>
      </c>
      <c r="E18" s="46" t="inlineStr">
        <is>
          <t>GB/Month</t>
        </is>
      </c>
      <c r="F18" s="48" t="n">
        <v>0.05</v>
      </c>
      <c r="G18" s="48">
        <f>D18*F18*12</f>
        <v/>
      </c>
      <c r="H18" s="48">
        <f>G18</f>
        <v/>
      </c>
      <c r="I18" s="48">
        <f>G18</f>
        <v/>
      </c>
      <c r="J18" s="48">
        <f>G18+H18+I18</f>
        <v/>
      </c>
      <c r="K18" s="46" t="inlineStr">
        <is>
          <t>Backup service</t>
        </is>
      </c>
    </row>
    <row r="19" ht="26" customHeight="1">
      <c r="A19" s="41" t="inlineStr">
        <is>
          <t>Cloud Infrastructure</t>
        </is>
      </c>
      <c r="B19" s="42" t="inlineStr">
        <is>
          <t>Data Transfer (Migration)</t>
        </is>
      </c>
      <c r="C19" s="42" t="inlineStr">
        <is>
          <t>Initial data transfer (2TB one-time)</t>
        </is>
      </c>
      <c r="D19" s="43" t="n">
        <v>2000</v>
      </c>
      <c r="E19" s="42" t="inlineStr">
        <is>
          <t>GB</t>
        </is>
      </c>
      <c r="F19" s="44" t="n">
        <v>0.05</v>
      </c>
      <c r="G19" s="44">
        <f>D19*F19</f>
        <v/>
      </c>
      <c r="H19" s="44">
        <f>$0</f>
        <v/>
      </c>
      <c r="I19" s="44">
        <f>$0</f>
        <v/>
      </c>
      <c r="J19" s="44">
        <f>G19</f>
        <v/>
      </c>
      <c r="K19" s="42" t="inlineStr">
        <is>
          <t>One-time migration cost</t>
        </is>
      </c>
    </row>
    <row r="20" ht="26" customHeight="1">
      <c r="A20" s="45" t="inlineStr">
        <is>
          <t>Software Licenses</t>
        </is>
      </c>
      <c r="B20" s="46" t="inlineStr">
        <is>
          <t>Datadog Monitoring</t>
        </is>
      </c>
      <c r="C20" s="46" t="inlineStr">
        <is>
          <t>Pro monitoring (6 hosts for migrated apps)</t>
        </is>
      </c>
      <c r="D20" s="47" t="n">
        <v>6</v>
      </c>
      <c r="E20" s="46" t="inlineStr">
        <is>
          <t>Hosts/Month</t>
        </is>
      </c>
      <c r="F20" s="48" t="n">
        <v>23</v>
      </c>
      <c r="G20" s="48">
        <f>D20*F20*12</f>
        <v/>
      </c>
      <c r="H20" s="48">
        <f>G20</f>
        <v/>
      </c>
      <c r="I20" s="48">
        <f>G20</f>
        <v/>
      </c>
      <c r="J20" s="48">
        <f>G20+H20+I20</f>
        <v/>
      </c>
      <c r="K20" s="46" t="inlineStr">
        <is>
          <t>Application monitoring</t>
        </is>
      </c>
    </row>
    <row r="21" ht="26" customHeight="1">
      <c r="A21" s="41" t="inlineStr">
        <is>
          <t>Software Licenses</t>
        </is>
      </c>
      <c r="B21" s="42" t="inlineStr">
        <is>
          <t>PagerDuty</t>
        </is>
      </c>
      <c r="C21" s="42" t="inlineStr">
        <is>
          <t>Professional incident management (3 users)</t>
        </is>
      </c>
      <c r="D21" s="43" t="n">
        <v>3</v>
      </c>
      <c r="E21" s="42" t="inlineStr">
        <is>
          <t>Users/Month</t>
        </is>
      </c>
      <c r="F21" s="44" t="n">
        <v>41</v>
      </c>
      <c r="G21" s="44">
        <f>D21*F21*12</f>
        <v/>
      </c>
      <c r="H21" s="44">
        <f>G21</f>
        <v/>
      </c>
      <c r="I21" s="44">
        <f>G21</f>
        <v/>
      </c>
      <c r="J21" s="44">
        <f>G21+H21+I21</f>
        <v/>
      </c>
      <c r="K21" s="42" t="inlineStr">
        <is>
          <t>Incident management</t>
        </is>
      </c>
    </row>
    <row r="22" ht="26" customHeight="1">
      <c r="A22" s="45" t="inlineStr">
        <is>
          <t>Support &amp; Maintenance</t>
        </is>
      </c>
      <c r="B22" s="46" t="inlineStr">
        <is>
          <t>AWS Managed Services</t>
        </is>
      </c>
      <c r="C22" s="46" t="inlineStr">
        <is>
          <t>Managed services and ongoing optimization (15% of infrastructure)</t>
        </is>
      </c>
      <c r="D22" s="47" t="n">
        <v>1</v>
      </c>
      <c r="E22" s="46" t="inlineStr">
        <is>
          <t>Service/Month</t>
        </is>
      </c>
      <c r="F22" s="48" t="n">
        <v>121.83</v>
      </c>
      <c r="G22" s="48">
        <f>D22*F22*12</f>
        <v/>
      </c>
      <c r="H22" s="48">
        <f>G22</f>
        <v/>
      </c>
      <c r="I22" s="48">
        <f>G22</f>
        <v/>
      </c>
      <c r="J22" s="48">
        <f>G22+H22+I22</f>
        <v/>
      </c>
      <c r="K22" s="46" t="inlineStr">
        <is>
          <t>Ongoing support</t>
        </is>
      </c>
    </row>
    <row r="23" ht="26" customHeight="1">
      <c r="A23" s="49" t="inlineStr">
        <is>
          <t>TOTAL</t>
        </is>
      </c>
      <c r="B23" s="50" t="n"/>
      <c r="C23" s="50" t="n"/>
      <c r="D23" s="50" t="n"/>
      <c r="E23" s="50" t="n"/>
      <c r="F23" s="50" t="n"/>
      <c r="G23" s="51">
        <f>SUM(G3:G22)</f>
        <v/>
      </c>
      <c r="H23" s="51">
        <f>SUM(H3:H22)</f>
        <v/>
      </c>
      <c r="I23" s="51">
        <f>SUM(I3:I22)</f>
        <v/>
      </c>
      <c r="J23" s="51">
        <f>SUM(J3:J22)</f>
        <v/>
      </c>
      <c r="K23" s="50" t="n"/>
    </row>
  </sheetData>
  <autoFilter ref="A2:K2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 - Applied per Category (Year 1 Only)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1" t="inlineStr">
        <is>
          <t>Cloud Infrastructure</t>
        </is>
      </c>
      <c r="B3" s="52" t="inlineStr">
        <is>
          <t>AWS MAP Consumption Credit</t>
        </is>
      </c>
      <c r="C3" s="44" t="n">
        <v>-3317</v>
      </c>
      <c r="D3" s="52" t="inlineStr">
        <is>
          <t>35% credit on Year 1 cloud infrastructure consumption (excludes one-time data transfer)</t>
        </is>
      </c>
    </row>
    <row r="4" ht="26" customHeight="1">
      <c r="A4" s="45" t="inlineStr">
        <is>
          <t>Software Licenses</t>
        </is>
      </c>
      <c r="B4" s="53" t="inlineStr">
        <is>
          <t>Partner Credit</t>
        </is>
      </c>
      <c r="C4" s="48" t="n">
        <v>0</v>
      </c>
      <c r="D4" s="53" t="inlineStr">
        <is>
          <t>No software credits available</t>
        </is>
      </c>
    </row>
    <row r="5" ht="26" customHeight="1">
      <c r="A5" s="41" t="inlineStr">
        <is>
          <t>Support &amp; Maintenance</t>
        </is>
      </c>
      <c r="B5" s="52" t="inlineStr">
        <is>
          <t>Program Credit</t>
        </is>
      </c>
      <c r="C5" s="44" t="n">
        <v>0</v>
      </c>
      <c r="D5" s="52" t="inlineStr">
        <is>
          <t>No support credits available</t>
        </is>
      </c>
    </row>
    <row r="6" ht="26" customHeight="1">
      <c r="A6" s="45" t="inlineStr">
        <is>
          <t>Hardware/Equipment</t>
        </is>
      </c>
      <c r="B6" s="53" t="inlineStr">
        <is>
          <t>Equipment Credit</t>
        </is>
      </c>
      <c r="C6" s="48" t="n">
        <v>0</v>
      </c>
      <c r="D6" s="53" t="inlineStr">
        <is>
          <t>No hardware credits available</t>
        </is>
      </c>
    </row>
    <row r="7" ht="26" customHeight="1">
      <c r="A7" s="41" t="inlineStr">
        <is>
          <t>Professional Services</t>
        </is>
      </c>
      <c r="B7" s="52" t="inlineStr">
        <is>
          <t>AWS MAP Assessment Credit</t>
        </is>
      </c>
      <c r="C7" s="44" t="n">
        <v>-12000</v>
      </c>
      <c r="D7" s="52" t="inlineStr">
        <is>
          <t>100% funded - discovery and assessment phase</t>
        </is>
      </c>
    </row>
    <row r="8" ht="26" customHeight="1">
      <c r="A8" s="45" t="inlineStr">
        <is>
          <t>Professional Services</t>
        </is>
      </c>
      <c r="B8" s="53" t="inlineStr">
        <is>
          <t>AWS MAP Mobilize Credit</t>
        </is>
      </c>
      <c r="C8" s="48" t="n">
        <v>-5000</v>
      </c>
      <c r="D8" s="53" t="inlineStr">
        <is>
          <t>Partial funding - migration strategy and planning</t>
        </is>
      </c>
    </row>
    <row r="9" ht="26" customHeight="1">
      <c r="A9" s="41" t="inlineStr">
        <is>
          <t>Professional Services</t>
        </is>
      </c>
      <c r="B9" s="52" t="inlineStr">
        <is>
          <t>AWS MAP Migrate Credit</t>
        </is>
      </c>
      <c r="C9" s="44" t="n">
        <v>-5000</v>
      </c>
      <c r="D9" s="52" t="inlineStr">
        <is>
          <t>Partial funding - application lift-and-shift migration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1" t="inlineStr">
        <is>
          <t>Cloud Infrastructure</t>
        </is>
      </c>
      <c r="B3" s="44">
        <f>SUMIF('Infrastructure Costs'!$A:$A,A3,'Infrastructure Costs'!$G:$G)</f>
        <v/>
      </c>
      <c r="C3" s="44">
        <f>SUMIF(Credits!$A:$A,A3,Credits!$C:$C)</f>
        <v/>
      </c>
      <c r="D3" s="44">
        <f>B3+C3</f>
        <v/>
      </c>
      <c r="E3" s="44">
        <f>SUMIF('Infrastructure Costs'!$A:$A,A3,'Infrastructure Costs'!$H:$H)</f>
        <v/>
      </c>
      <c r="F3" s="44">
        <f>SUMIF('Infrastructure Costs'!$A:$A,A3,'Infrastructure Costs'!$I:$I)</f>
        <v/>
      </c>
      <c r="G3" s="44">
        <f>D3+E3+F3</f>
        <v/>
      </c>
    </row>
    <row r="4" ht="26" customHeight="1">
      <c r="A4" s="45" t="inlineStr">
        <is>
          <t>Software Licenses</t>
        </is>
      </c>
      <c r="B4" s="48">
        <f>SUMIF('Infrastructure Costs'!$A:$A,A4,'Infrastructure Costs'!$G:$G)</f>
        <v/>
      </c>
      <c r="C4" s="48">
        <f>SUMIF(Credits!$A:$A,A4,Credits!$C:$C)</f>
        <v/>
      </c>
      <c r="D4" s="48">
        <f>B4+C4</f>
        <v/>
      </c>
      <c r="E4" s="48">
        <f>SUMIF('Infrastructure Costs'!$A:$A,A4,'Infrastructure Costs'!$H:$H)</f>
        <v/>
      </c>
      <c r="F4" s="48">
        <f>SUMIF('Infrastructure Costs'!$A:$A,A4,'Infrastructure Costs'!$I:$I)</f>
        <v/>
      </c>
      <c r="G4" s="48">
        <f>D4+E4+F4</f>
        <v/>
      </c>
    </row>
    <row r="5" ht="26" customHeight="1">
      <c r="A5" s="41" t="inlineStr">
        <is>
          <t>Support &amp; Maintenance</t>
        </is>
      </c>
      <c r="B5" s="44">
        <f>SUMIF('Infrastructure Costs'!$A:$A,A5,'Infrastructure Costs'!$G:$G)</f>
        <v/>
      </c>
      <c r="C5" s="44">
        <f>SUMIF(Credits!$A:$A,A5,Credits!$C:$C)</f>
        <v/>
      </c>
      <c r="D5" s="44">
        <f>B5+C5</f>
        <v/>
      </c>
      <c r="E5" s="44">
        <f>SUMIF('Infrastructure Costs'!$A:$A,A5,'Infrastructure Costs'!$H:$H)</f>
        <v/>
      </c>
      <c r="F5" s="44">
        <f>SUMIF('Infrastructure Costs'!$A:$A,A5,'Infrastructure Costs'!$I:$I)</f>
        <v/>
      </c>
      <c r="G5" s="44">
        <f>D5+E5+F5</f>
        <v/>
      </c>
    </row>
    <row r="6" ht="26" customHeight="1">
      <c r="A6" s="45" t="inlineStr">
        <is>
          <t>Professional Services</t>
        </is>
      </c>
      <c r="B6" s="48">
        <f>SUMIF('Infrastructure Costs'!$A:$A,A6,'Infrastructure Costs'!$G:$G)</f>
        <v/>
      </c>
      <c r="C6" s="48">
        <f>SUMIF(Credits!$A:$A,A6,Credits!$C:$C)</f>
        <v/>
      </c>
      <c r="D6" s="48">
        <f>B6+C6</f>
        <v/>
      </c>
      <c r="E6" s="48">
        <f>SUMIF('Infrastructure Costs'!$A:$A,A6,'Infrastructure Costs'!$H:$H)</f>
        <v/>
      </c>
      <c r="F6" s="48">
        <f>SUMIF('Infrastructure Costs'!$A:$A,A6,'Infrastructure Costs'!$I:$I)</f>
        <v/>
      </c>
      <c r="G6" s="48">
        <f>D6+E6+F6</f>
        <v/>
      </c>
    </row>
    <row r="7" ht="26" customHeight="1">
      <c r="A7" s="49" t="inlineStr">
        <is>
          <t>TOTAL</t>
        </is>
      </c>
      <c r="B7" s="51">
        <f>SUM(B3:B6)</f>
        <v/>
      </c>
      <c r="C7" s="51">
        <f>SUM(C3:C6)</f>
        <v/>
      </c>
      <c r="D7" s="51">
        <f>SUM(D3:D6)</f>
        <v/>
      </c>
      <c r="E7" s="51">
        <f>SUM(E3:E6)</f>
        <v/>
      </c>
      <c r="F7" s="51">
        <f>SUM(F3:F6)</f>
        <v/>
      </c>
      <c r="G7" s="51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2025-11-22T02:13:54Z</dcterms:modified>
  <cp:lastModifiedBy>Kishan Siram</cp:lastModifiedBy>
</cp:coreProperties>
</file>