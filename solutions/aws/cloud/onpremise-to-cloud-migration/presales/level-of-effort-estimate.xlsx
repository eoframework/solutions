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Onpremise To Cloud Migration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Workloads to Migrate</t>
        </is>
      </c>
      <c r="C2" s="20" t="inlineStr">
        <is>
          <t>5-10 VMs/applications</t>
        </is>
      </c>
      <c r="D2" s="10" t="inlineStr">
        <is>
          <t>5-10 workloads</t>
        </is>
      </c>
      <c r="E2" s="10" t="inlineStr">
        <is>
          <t>10-25 workloads</t>
        </is>
      </c>
      <c r="F2" s="10" t="inlineStr">
        <is>
          <t>25+ workloads or complex apps</t>
        </is>
      </c>
      <c r="G2" s="10" t="inlineStr">
        <is>
          <t>Number of workloads being migrated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Migration Strategy</t>
        </is>
      </c>
      <c r="C3" s="20" t="inlineStr">
        <is>
          <t>Rehost (lift-and-shift)</t>
        </is>
      </c>
      <c r="D3" s="21" t="inlineStr">
        <is>
          <t>Rehost simple</t>
        </is>
      </c>
      <c r="E3" s="21" t="inlineStr">
        <is>
          <t>Replatform moderate</t>
        </is>
      </c>
      <c r="F3" s="21" t="inlineStr">
        <is>
          <t>Refactor complex</t>
        </is>
      </c>
      <c r="G3" s="21" t="inlineStr">
        <is>
          <t>AWS 6R migration strategy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Source Environment</t>
        </is>
      </c>
      <c r="C4" s="20" t="inlineStr">
        <is>
          <t>VMware vSphere on-premises</t>
        </is>
      </c>
      <c r="D4" s="10" t="inlineStr">
        <is>
          <t>Single hypervisor</t>
        </is>
      </c>
      <c r="E4" s="10" t="inlineStr">
        <is>
          <t>Multiple hypervisors</t>
        </is>
      </c>
      <c r="F4" s="10" t="inlineStr">
        <is>
          <t>Hybrid cloud + physical servers</t>
        </is>
      </c>
      <c r="G4" s="10" t="inlineStr">
        <is>
          <t>Current infrastructure platform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Hybrid Connectivity</t>
        </is>
      </c>
      <c r="C5" s="20" t="inlineStr">
        <is>
          <t>AWS Direct Connect</t>
        </is>
      </c>
      <c r="D5" s="21" t="inlineStr">
        <is>
          <t>VPN only</t>
        </is>
      </c>
      <c r="E5" s="21" t="inlineStr">
        <is>
          <t>Direct Connect</t>
        </is>
      </c>
      <c r="F5" s="21" t="inlineStr">
        <is>
          <t>Direct Connect + VPN redundancy</t>
        </is>
      </c>
      <c r="G5" s="21" t="inlineStr">
        <is>
          <t>On-premises to AWS connectivity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100 application users</t>
        </is>
      </c>
      <c r="D6" s="10" t="inlineStr">
        <is>
          <t>50-100 users</t>
        </is>
      </c>
      <c r="E6" s="10" t="inlineStr">
        <is>
          <t>100-500 users</t>
        </is>
      </c>
      <c r="F6" s="10" t="inlineStr">
        <is>
          <t>500+ users</t>
        </is>
      </c>
      <c r="G6" s="10" t="inlineStr">
        <is>
          <t>End users of migrated apps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(admin operator user)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migration access</t>
        </is>
      </c>
      <c r="G7" s="21" t="inlineStr">
        <is>
          <t>Roles for migration and operation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Total Data to Migrate</t>
        </is>
      </c>
      <c r="C8" s="20" t="inlineStr">
        <is>
          <t>500 GB</t>
        </is>
      </c>
      <c r="D8" s="10" t="inlineStr">
        <is>
          <t>100-500 GB</t>
        </is>
      </c>
      <c r="E8" s="10" t="inlineStr">
        <is>
          <t>500 GB - 2 TB</t>
        </is>
      </c>
      <c r="F8" s="10" t="inlineStr">
        <is>
          <t>2+ TB</t>
        </is>
      </c>
      <c r="G8" s="10" t="inlineStr">
        <is>
          <t>Total data volume for migration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Database Migration</t>
        </is>
      </c>
      <c r="C9" s="20" t="inlineStr">
        <is>
          <t>2 databases (MySQL PostgreSQL)</t>
        </is>
      </c>
      <c r="D9" s="21" t="inlineStr">
        <is>
          <t>1-2 databases</t>
        </is>
      </c>
      <c r="E9" s="21" t="inlineStr">
        <is>
          <t>3-5 databases</t>
        </is>
      </c>
      <c r="F9" s="21" t="inlineStr">
        <is>
          <t>6+ databases or complex schemas</t>
        </is>
      </c>
      <c r="G9" s="21" t="inlineStr">
        <is>
          <t>Database migration scope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Target AWS Region</t>
        </is>
      </c>
      <c r="C10" s="20" t="inlineStr">
        <is>
          <t>us-east-1</t>
        </is>
      </c>
      <c r="D10" s="10" t="inlineStr">
        <is>
          <t>Single region</t>
        </is>
      </c>
      <c r="E10" s="10" t="inlineStr">
        <is>
          <t>Multi-AZ deployment</t>
        </is>
      </c>
      <c r="F10" s="10" t="inlineStr">
        <is>
          <t>Multi-region deployment</t>
        </is>
      </c>
      <c r="G10" s="10" t="inlineStr">
        <is>
          <t>AWS target deployment region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High availability (99.9%)</t>
        </is>
      </c>
      <c r="F11" s="21" t="inlineStr">
        <is>
          <t>Mission critical (99.95%+)</t>
        </is>
      </c>
      <c r="G11" s="21" t="inlineStr">
        <is>
          <t>Post-migration availability SLA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EC2 RDS S3 standard</t>
        </is>
      </c>
      <c r="D12" s="10" t="inlineStr">
        <is>
          <t>Basic IaaS</t>
        </is>
      </c>
      <c r="E12" s="10" t="inlineStr">
        <is>
          <t>Standard AWS services</t>
        </is>
      </c>
      <c r="F12" s="10" t="inlineStr">
        <is>
          <t>Advanced AWS native services</t>
        </is>
      </c>
      <c r="G12" s="10" t="inlineStr">
        <is>
          <t>Target AWS architecture complexity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VPC Security Groups IAM</t>
        </is>
      </c>
      <c r="D13" s="21" t="inlineStr">
        <is>
          <t>Basic cloud security</t>
        </is>
      </c>
      <c r="E13" s="21" t="inlineStr">
        <is>
          <t>Industry standard (SOC2)</t>
        </is>
      </c>
      <c r="F13" s="21" t="inlineStr">
        <is>
          <t>Advanced (compliance frameworks)</t>
        </is>
      </c>
      <c r="G13" s="21" t="inlineStr">
        <is>
          <t>Cloud security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Post-migration compliance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Migration Window</t>
        </is>
      </c>
      <c r="C15" s="20" t="inlineStr">
        <is>
          <t>Weekend maintenance windows</t>
        </is>
      </c>
      <c r="D15" s="21" t="inlineStr">
        <is>
          <t>Single cutover</t>
        </is>
      </c>
      <c r="E15" s="21" t="inlineStr">
        <is>
          <t>Phased migration</t>
        </is>
      </c>
      <c r="F15" s="21" t="inlineStr">
        <is>
          <t>Zero-downtime migration</t>
        </is>
      </c>
      <c r="G15" s="21" t="inlineStr">
        <is>
          <t>Migration execution strategy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Performance Requirements</t>
        </is>
      </c>
      <c r="C16" s="20" t="inlineStr">
        <is>
          <t>Match on-premises baseline</t>
        </is>
      </c>
      <c r="D16" s="10" t="inlineStr">
        <is>
          <t>Standard performance</t>
        </is>
      </c>
      <c r="E16" s="10" t="inlineStr">
        <is>
          <t>Enhanced cloud performance</t>
        </is>
      </c>
      <c r="F16" s="10" t="inlineStr">
        <is>
          <t>Optimized cloud-native</t>
        </is>
      </c>
      <c r="G16" s="10" t="inlineStr">
        <is>
          <t>Post-migration performance targets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</t>
        </is>
      </c>
      <c r="E17" s="21" t="inlineStr">
        <is>
          <t>3 environments</t>
        </is>
      </c>
      <c r="F17" s="21" t="inlineStr">
        <is>
          <t>4+ environments with automation</t>
        </is>
      </c>
      <c r="G17" s="21" t="inlineStr">
        <is>
          <t>Target cloud environments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Cloud Requirements Gathering</t>
        </is>
      </c>
      <c r="C2" s="10" t="inlineStr">
        <is>
          <t>Conduct stakeholder interviews for cloud migration/infrastructure</t>
        </is>
      </c>
      <c r="D2" s="10" t="inlineStr">
        <is>
          <t>EO Engineer</t>
        </is>
      </c>
      <c r="E2" s="27" t="n">
        <v>40</v>
      </c>
      <c r="F2" s="28">
        <f>'Estimate Settings'!$C$21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Focus on scalability performance and business objectives</t>
        </is>
      </c>
    </row>
    <row r="3">
      <c r="A3" s="21" t="inlineStr">
        <is>
          <t>Discovery</t>
        </is>
      </c>
      <c r="B3" s="21" t="inlineStr">
        <is>
          <t>Infrastructure Assessment</t>
        </is>
      </c>
      <c r="C3" s="21" t="inlineStr">
        <is>
          <t>Analyze current infrastructure workloads and dependencies</t>
        </is>
      </c>
      <c r="D3" s="21" t="inlineStr">
        <is>
          <t>EO Engineer</t>
        </is>
      </c>
      <c r="E3" s="30" t="n">
        <v>32</v>
      </c>
      <c r="F3" s="28">
        <f>'Estimate Settings'!$C$21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Include application dependencies and performance baselines</t>
        </is>
      </c>
    </row>
    <row r="4">
      <c r="A4" s="10" t="inlineStr">
        <is>
          <t>Discovery</t>
        </is>
      </c>
      <c r="B4" s="10" t="inlineStr">
        <is>
          <t>AWS Services Assessment</t>
        </is>
      </c>
      <c r="C4" s="10" t="inlineStr">
        <is>
          <t>Evaluate target AWS services and architecture patterns</t>
        </is>
      </c>
      <c r="D4" s="10" t="inlineStr">
        <is>
          <t>EO Engineer</t>
        </is>
      </c>
      <c r="E4" s="27" t="n">
        <v>24</v>
      </c>
      <c r="F4" s="28">
        <f>'Estimate Settings'!$C$21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Focus on cost optimization and best practices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security governance and compliance requirements</t>
        </is>
      </c>
      <c r="D5" s="21" t="inlineStr">
        <is>
          <t>EO Engineer</t>
        </is>
      </c>
      <c r="E5" s="30" t="n">
        <v>16</v>
      </c>
      <c r="F5" s="28">
        <f>'Estimate Settings'!$C$21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Include industry regulations and data residency</t>
        </is>
      </c>
    </row>
    <row r="6">
      <c r="A6" s="10" t="inlineStr">
        <is>
          <t>Planning</t>
        </is>
      </c>
      <c r="B6" s="10" t="inlineStr">
        <is>
          <t>AWS Architecture Design</t>
        </is>
      </c>
      <c r="C6" s="10" t="inlineStr">
        <is>
          <t>Design AWS cloud architecture and migration strategy</t>
        </is>
      </c>
      <c r="D6" s="10" t="inlineStr">
        <is>
          <t>EO Engineer</t>
        </is>
      </c>
      <c r="E6" s="27" t="n">
        <v>48</v>
      </c>
      <c r="F6" s="28">
        <f>'Estimate Settings'!$C$22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/>
      <c r="K6" s="10" t="inlineStr">
        <is>
          <t>Include multi-AZ design and disaster recovery</t>
        </is>
      </c>
    </row>
    <row r="7">
      <c r="A7" s="21" t="inlineStr">
        <is>
          <t>Planning</t>
        </is>
      </c>
      <c r="B7" s="21" t="inlineStr">
        <is>
          <t>Migration Strategy</t>
        </is>
      </c>
      <c r="C7" s="21" t="inlineStr">
        <is>
          <t>Develop detailed migration approach and timeline</t>
        </is>
      </c>
      <c r="D7" s="21" t="inlineStr">
        <is>
          <t>EO Engineer</t>
        </is>
      </c>
      <c r="E7" s="30" t="n">
        <v>32</v>
      </c>
      <c r="F7" s="28">
        <f>'Estimate Settings'!$C$22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/>
      <c r="K7" s="21" t="inlineStr">
        <is>
          <t>Include risk assessment and rollback procedures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AWS security controls and governance framework</t>
        </is>
      </c>
      <c r="D8" s="10" t="inlineStr">
        <is>
          <t>EO Engineer</t>
        </is>
      </c>
      <c r="E8" s="27" t="n">
        <v>24</v>
      </c>
      <c r="F8" s="28">
        <f>'Estimate Settings'!$C$22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/>
      <c r="K8" s="10" t="inlineStr">
        <is>
          <t>Include IAM networking and data protection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cloud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Settings'!$C$22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/>
      <c r="K9" s="21" t="inlineStr">
        <is>
          <t>Coordinate with infrastructure and security teams</t>
        </is>
      </c>
    </row>
    <row r="10">
      <c r="A10" s="10" t="inlineStr">
        <is>
          <t>Development</t>
        </is>
      </c>
      <c r="B10" s="10" t="inlineStr">
        <is>
          <t>AWS Infrastructure Provisioning</t>
        </is>
      </c>
      <c r="C10" s="10" t="inlineStr">
        <is>
          <t>Provision AWS services networking and foundational infrastructure</t>
        </is>
      </c>
      <c r="D10" s="10" t="inlineStr">
        <is>
          <t>EO Engineer</t>
        </is>
      </c>
      <c r="E10" s="27" t="n">
        <v>60</v>
      </c>
      <c r="F10" s="28">
        <f>'Estimate Settings'!$C$23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/>
      <c r="K10" s="10" t="inlineStr">
        <is>
          <t>Include VPC subnets security groups and routing</t>
        </is>
      </c>
    </row>
    <row r="11">
      <c r="A11" s="21" t="inlineStr">
        <is>
          <t>Development</t>
        </is>
      </c>
      <c r="B11" s="21" t="inlineStr">
        <is>
          <t>Application Migration</t>
        </is>
      </c>
      <c r="C11" s="21" t="inlineStr">
        <is>
          <t>Migrate applications and workloads to AWS</t>
        </is>
      </c>
      <c r="D11" s="21" t="inlineStr">
        <is>
          <t>EO Engineer</t>
        </is>
      </c>
      <c r="E11" s="30" t="n">
        <v>80</v>
      </c>
      <c r="F11" s="28">
        <f>'Estimate Settings'!$C$23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/>
      <c r="K11" s="21" t="inlineStr">
        <is>
          <t>Include application optimization and testing</t>
        </is>
      </c>
    </row>
    <row r="12">
      <c r="A12" s="10" t="inlineStr">
        <is>
          <t>Development</t>
        </is>
      </c>
      <c r="B12" s="10" t="inlineStr">
        <is>
          <t>Data Migration</t>
        </is>
      </c>
      <c r="C12" s="10" t="inlineStr">
        <is>
          <t>Migrate databases and data stores to AWS</t>
        </is>
      </c>
      <c r="D12" s="10" t="inlineStr">
        <is>
          <t>EO Engineer</t>
        </is>
      </c>
      <c r="E12" s="27" t="n">
        <v>48</v>
      </c>
      <c r="F12" s="28">
        <f>'Estimate Settings'!$C$23</f>
        <v/>
      </c>
      <c r="G12" s="10">
        <f>$E12*$F12</f>
        <v/>
      </c>
      <c r="H12" s="29" t="n">
        <v>145</v>
      </c>
      <c r="I12" s="10">
        <f>TEXT($G12*$H12,"$#,##0")</f>
        <v/>
      </c>
      <c r="J12" s="10" t="inlineStr"/>
      <c r="K12" s="10" t="inlineStr">
        <is>
          <t>Include data validation backup and recovery testing</t>
        </is>
      </c>
    </row>
    <row r="13">
      <c r="A13" s="21" t="inlineStr">
        <is>
          <t>Development</t>
        </is>
      </c>
      <c r="B13" s="21" t="inlineStr">
        <is>
          <t>Monitoring and Operations</t>
        </is>
      </c>
      <c r="C13" s="21" t="inlineStr">
        <is>
          <t>Implement AWS monitoring logging and operational tools</t>
        </is>
      </c>
      <c r="D13" s="21" t="inlineStr">
        <is>
          <t>EO Engineer</t>
        </is>
      </c>
      <c r="E13" s="30" t="n">
        <v>40</v>
      </c>
      <c r="F13" s="28">
        <f>'Estimate Settings'!$C$23</f>
        <v/>
      </c>
      <c r="G13" s="21">
        <f>$E13*$F13</f>
        <v/>
      </c>
      <c r="H13" s="31" t="n">
        <v>140</v>
      </c>
      <c r="I13" s="21">
        <f>TEXT($G13*$H13,"$#,##0")</f>
        <v/>
      </c>
      <c r="J13" s="21" t="inlineStr"/>
      <c r="K13" s="21" t="inlineStr">
        <is>
          <t>Include CloudWatch X-Ray and operational dashboards</t>
        </is>
      </c>
    </row>
    <row r="14">
      <c r="A14" s="10" t="inlineStr">
        <is>
          <t>Development</t>
        </is>
      </c>
      <c r="B14" s="10" t="inlineStr">
        <is>
          <t>Automation and IaC</t>
        </is>
      </c>
      <c r="C14" s="10" t="inlineStr">
        <is>
          <t>Develop infrastructure automation using CloudFormation/CDK</t>
        </is>
      </c>
      <c r="D14" s="10" t="inlineStr">
        <is>
          <t>EO Engineer</t>
        </is>
      </c>
      <c r="E14" s="27" t="n">
        <v>32</v>
      </c>
      <c r="F14" s="28">
        <f>'Estimate Settings'!$C$23</f>
        <v/>
      </c>
      <c r="G14" s="10">
        <f>$E14*$F14</f>
        <v/>
      </c>
      <c r="H14" s="29" t="n">
        <v>125</v>
      </c>
      <c r="I14" s="10">
        <f>TEXT($G14*$H14,"$#,##0")</f>
        <v/>
      </c>
      <c r="J14" s="10" t="inlineStr"/>
      <c r="K14" s="10" t="inlineStr">
        <is>
          <t>Include CI/CD pipeline integration</t>
        </is>
      </c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Settings'!$C$24</f>
        <v/>
      </c>
      <c r="G15" s="21">
        <f>$E15*$F15</f>
        <v/>
      </c>
      <c r="H15" s="31" t="n">
        <v>120</v>
      </c>
      <c r="I15" s="21">
        <f>TEXT($G15*$H15,"$#,##0")</f>
        <v/>
      </c>
      <c r="J15" s="21" t="inlineStr"/>
      <c r="K15" s="21" t="inlineStr">
        <is>
          <t>Include technology-specific testing frameworks</t>
        </is>
      </c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Settings'!$C$24</f>
        <v/>
      </c>
      <c r="G16" s="10">
        <f>$E16*$F16</f>
        <v/>
      </c>
      <c r="H16" s="29" t="n">
        <v>120</v>
      </c>
      <c r="I16" s="10">
        <f>TEXT($G16*$H16,"$#,##0")</f>
        <v/>
      </c>
      <c r="J16" s="10" t="inlineStr"/>
      <c r="K16" s="10" t="inlineStr">
        <is>
          <t>Include end-to-end workflow validation</t>
        </is>
      </c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Settings'!$C$24</f>
        <v/>
      </c>
      <c r="G17" s="21">
        <f>$E17*$F17</f>
        <v/>
      </c>
      <c r="H17" s="31" t="n">
        <v>140</v>
      </c>
      <c r="I17" s="21">
        <f>TEXT($G17*$H17,"$#,##0")</f>
        <v/>
      </c>
      <c r="J17" s="21" t="inlineStr"/>
      <c r="K17" s="21" t="inlineStr">
        <is>
          <t>Include production-like environment and stress testing</t>
        </is>
      </c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Settings'!$C$24</f>
        <v/>
      </c>
      <c r="G18" s="10">
        <f>$E18*$F18</f>
        <v/>
      </c>
      <c r="H18" s="29" t="n">
        <v>175</v>
      </c>
      <c r="I18" s="10">
        <f>TEXT($G18*$H18,"$#,##0")</f>
        <v/>
      </c>
      <c r="J18" s="10" t="inlineStr"/>
      <c r="K18" s="10" t="inlineStr">
        <is>
          <t>Include vulnerability scanning and compliance checks</t>
        </is>
      </c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Settings'!$C$24</f>
        <v/>
      </c>
      <c r="G19" s="21">
        <f>$E19*$F19</f>
        <v/>
      </c>
      <c r="H19" s="31" t="n">
        <v>150</v>
      </c>
      <c r="I19" s="21">
        <f>TEXT($G19*$H19,"$#,##0")</f>
        <v/>
      </c>
      <c r="J19" s="21" t="inlineStr"/>
      <c r="K19" s="21" t="inlineStr">
        <is>
          <t>Include training feedback collection and sign-off</t>
        </is>
      </c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Settings'!$C$25</f>
        <v/>
      </c>
      <c r="G20" s="10">
        <f>$E20*$F20</f>
        <v/>
      </c>
      <c r="H20" s="29" t="n">
        <v>160</v>
      </c>
      <c r="I20" s="10">
        <f>TEXT($G20*$H20,"$#,##0")</f>
        <v/>
      </c>
      <c r="J20" s="10" t="inlineStr"/>
      <c r="K20" s="10" t="inlineStr">
        <is>
          <t>Include blue-green deployment rollback and validation</t>
        </is>
      </c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Settings'!$C$25</f>
        <v/>
      </c>
      <c r="G21" s="21">
        <f>$E21*$F21</f>
        <v/>
      </c>
      <c r="H21" s="31" t="n">
        <v>110</v>
      </c>
      <c r="I21" s="21">
        <f>TEXT($G21*$H21,"$#,##0")</f>
        <v/>
      </c>
      <c r="J21" s="21" t="inlineStr"/>
      <c r="K21" s="21" t="inlineStr">
        <is>
          <t>Include 24/7 support monitoring and issue resolution</t>
        </is>
      </c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Settings'!$C$26</f>
        <v/>
      </c>
      <c r="G22" s="10">
        <f>$E22*$F22</f>
        <v/>
      </c>
      <c r="H22" s="29" t="n">
        <v>130</v>
      </c>
      <c r="I22" s="10">
        <f>TEXT($G22*$H22,"$#,##0")</f>
        <v/>
      </c>
      <c r="J22" s="10" t="inlineStr"/>
      <c r="K22" s="10" t="inlineStr">
        <is>
          <t>Include hands-on technical training and certification</t>
        </is>
      </c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Settings'!$C$26</f>
        <v/>
      </c>
      <c r="G23" s="21">
        <f>$E23*$F23</f>
        <v/>
      </c>
      <c r="H23" s="31" t="n">
        <v>120</v>
      </c>
      <c r="I23" s="21">
        <f>TEXT($G23*$H23,"$#,##0")</f>
        <v/>
      </c>
      <c r="J23" s="21" t="inlineStr"/>
      <c r="K23" s="21" t="inlineStr">
        <is>
          <t>Include role-based training documentation and support</t>
        </is>
      </c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Settings'!$C$26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/>
      <c r="K24" s="10" t="inlineStr">
        <is>
          <t>Include runbooks troubleshooting guides and best practices</t>
        </is>
      </c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Settings'!$C$27</f>
        <v/>
      </c>
      <c r="G25" s="21">
        <f>$E25*$F25</f>
        <v/>
      </c>
      <c r="H25" s="31" t="n">
        <v>140</v>
      </c>
      <c r="I25" s="21">
        <f>TEXT($G25*$H25,"$#,##0")</f>
        <v/>
      </c>
      <c r="J25" s="21" t="inlineStr"/>
      <c r="K25" s="21" t="inlineStr">
        <is>
          <t>Include operational procedures escalation and maintenance</t>
        </is>
      </c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Settings'!$C$27</f>
        <v/>
      </c>
      <c r="G26" s="10">
        <f>$E26*$F26</f>
        <v/>
      </c>
      <c r="H26" s="29" t="n">
        <v>130</v>
      </c>
      <c r="I26" s="10">
        <f>TEXT($G26*$H26,"$#,##0")</f>
        <v/>
      </c>
      <c r="J26" s="10" t="inlineStr"/>
      <c r="K26" s="10" t="inlineStr">
        <is>
          <t>Include KPI definition monitoring setup and reporting</t>
        </is>
      </c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30" t="n">
        <v>40</v>
      </c>
      <c r="F27" s="28">
        <f>'Estimate Settings'!$C$28</f>
        <v/>
      </c>
      <c r="G27" s="21">
        <f>$E27*$F27</f>
        <v/>
      </c>
      <c r="H27" s="31" t="n">
        <v>180</v>
      </c>
      <c r="I27" s="21">
        <f>TEXT($G27*$H27,"$#,##0")</f>
        <v/>
      </c>
      <c r="J27" s="21" t="inlineStr"/>
      <c r="K27" s="21" t="inlineStr">
        <is>
          <t>25% of engineering effort</t>
        </is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27" t="n">
        <v>40</v>
      </c>
      <c r="F28" s="28">
        <f>'Estimate Settings'!$C$28</f>
        <v/>
      </c>
      <c r="G28" s="10">
        <f>$E28*$F28</f>
        <v/>
      </c>
      <c r="H28" s="29" t="n">
        <v>150</v>
      </c>
      <c r="I28" s="10">
        <f>TEXT($G28*$H28,"$#,##0")</f>
        <v/>
      </c>
      <c r="J28" s="10" t="inlineStr"/>
      <c r="K28" s="10" t="inlineStr">
        <is>
          <t>20% of engineering effort</t>
        </is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SUM(G33:G59)</f>
        <v/>
      </c>
      <c r="H29" s="16" t="inlineStr">
        <is>
          <t>TOTAL COST</t>
        </is>
      </c>
      <c r="I29" s="16">
        <f>TEXT(SUMPRODUCT(G33:G59,H33:H59),"$#,##0")</f>
        <v/>
      </c>
      <c r="J29" s="28" t="inlineStr"/>
      <c r="K29" s="16" t="inlineStr">
        <is>
          <t>Total project cost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2025-11-17T04:56:32Z</dcterms:modified>
</cp:coreProperties>
</file>