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Onpremise To Cloud Migration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Workloads to Migrate</t>
        </is>
      </c>
      <c r="C3" s="39" t="inlineStr">
        <is>
          <t>5-10 VMs/applications</t>
        </is>
      </c>
      <c r="D3" s="38" t="inlineStr">
        <is>
          <t>5-10 workloads</t>
        </is>
      </c>
      <c r="E3" s="38" t="inlineStr">
        <is>
          <t>10-25 workloads</t>
        </is>
      </c>
      <c r="F3" s="38" t="inlineStr">
        <is>
          <t>25+ workloads or complex apps</t>
        </is>
      </c>
      <c r="G3" s="38" t="inlineStr">
        <is>
          <t>Number of workloads being migrated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Migration Strategy</t>
        </is>
      </c>
      <c r="C4" s="39" t="inlineStr">
        <is>
          <t>Rehost (lift-and-shift)</t>
        </is>
      </c>
      <c r="D4" s="41" t="inlineStr">
        <is>
          <t>Rehost simple</t>
        </is>
      </c>
      <c r="E4" s="41" t="inlineStr">
        <is>
          <t>Replatform moderate</t>
        </is>
      </c>
      <c r="F4" s="41" t="inlineStr">
        <is>
          <t>Refactor complex</t>
        </is>
      </c>
      <c r="G4" s="41" t="inlineStr">
        <is>
          <t>AWS 6R migration strategy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Source Environment</t>
        </is>
      </c>
      <c r="C5" s="39" t="inlineStr">
        <is>
          <t>VMware vSphere on-premises</t>
        </is>
      </c>
      <c r="D5" s="38" t="inlineStr">
        <is>
          <t>Single hypervisor</t>
        </is>
      </c>
      <c r="E5" s="38" t="inlineStr">
        <is>
          <t>Multiple hypervisors</t>
        </is>
      </c>
      <c r="F5" s="38" t="inlineStr">
        <is>
          <t>Hybrid cloud + physical servers</t>
        </is>
      </c>
      <c r="G5" s="38" t="inlineStr">
        <is>
          <t>Current infrastructure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Hybrid Connectivity</t>
        </is>
      </c>
      <c r="C6" s="39" t="inlineStr">
        <is>
          <t>AWS Direct Connect</t>
        </is>
      </c>
      <c r="D6" s="41" t="inlineStr">
        <is>
          <t>VPN only</t>
        </is>
      </c>
      <c r="E6" s="41" t="inlineStr">
        <is>
          <t>Direct Connect</t>
        </is>
      </c>
      <c r="F6" s="41" t="inlineStr">
        <is>
          <t>Direct Connect + VPN redundancy</t>
        </is>
      </c>
      <c r="G6" s="41" t="inlineStr">
        <is>
          <t>On-premises to AWS connectivity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 application users</t>
        </is>
      </c>
      <c r="D7" s="38" t="inlineStr">
        <is>
          <t>50-100 users</t>
        </is>
      </c>
      <c r="E7" s="38" t="inlineStr">
        <is>
          <t>100-500 users</t>
        </is>
      </c>
      <c r="F7" s="38" t="inlineStr">
        <is>
          <t>500+ users</t>
        </is>
      </c>
      <c r="G7" s="38" t="inlineStr">
        <is>
          <t>End users of migrated apps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(admin operator user)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migration access</t>
        </is>
      </c>
      <c r="G8" s="41" t="inlineStr">
        <is>
          <t>Roles for migration and operation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Total Data to Migrate</t>
        </is>
      </c>
      <c r="C9" s="39" t="inlineStr">
        <is>
          <t>500 GB</t>
        </is>
      </c>
      <c r="D9" s="38" t="inlineStr">
        <is>
          <t>100-500 GB</t>
        </is>
      </c>
      <c r="E9" s="38" t="inlineStr">
        <is>
          <t>500 GB - 2 TB</t>
        </is>
      </c>
      <c r="F9" s="38" t="inlineStr">
        <is>
          <t>2+ TB</t>
        </is>
      </c>
      <c r="G9" s="38" t="inlineStr">
        <is>
          <t>Total data volume for migration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Database Migration</t>
        </is>
      </c>
      <c r="C10" s="39" t="inlineStr">
        <is>
          <t>2 databases (MySQL PostgreSQL)</t>
        </is>
      </c>
      <c r="D10" s="41" t="inlineStr">
        <is>
          <t>1-2 databases</t>
        </is>
      </c>
      <c r="E10" s="41" t="inlineStr">
        <is>
          <t>3-5 databases</t>
        </is>
      </c>
      <c r="F10" s="41" t="inlineStr">
        <is>
          <t>6+ databases or complex schemas</t>
        </is>
      </c>
      <c r="G10" s="41" t="inlineStr">
        <is>
          <t>Database migration scope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AWS Region</t>
        </is>
      </c>
      <c r="C11" s="39" t="inlineStr">
        <is>
          <t>us-east-1</t>
        </is>
      </c>
      <c r="D11" s="38" t="inlineStr">
        <is>
          <t>Single region</t>
        </is>
      </c>
      <c r="E11" s="38" t="inlineStr">
        <is>
          <t>Multi-AZ deployment</t>
        </is>
      </c>
      <c r="F11" s="38" t="inlineStr">
        <is>
          <t>Multi-region deployment</t>
        </is>
      </c>
      <c r="G11" s="38" t="inlineStr">
        <is>
          <t>AWS target deployment region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Post-migration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EC2 RDS S3 standard</t>
        </is>
      </c>
      <c r="D13" s="38" t="inlineStr">
        <is>
          <t>Basic IaaS</t>
        </is>
      </c>
      <c r="E13" s="38" t="inlineStr">
        <is>
          <t>Standard AWS services</t>
        </is>
      </c>
      <c r="F13" s="38" t="inlineStr">
        <is>
          <t>Advanced AWS native services</t>
        </is>
      </c>
      <c r="G13" s="38" t="inlineStr">
        <is>
          <t>Target AWS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VPC Security Groups IAM</t>
        </is>
      </c>
      <c r="D14" s="41" t="inlineStr">
        <is>
          <t>Basic cloud security</t>
        </is>
      </c>
      <c r="E14" s="41" t="inlineStr">
        <is>
          <t>Industry standard (SOC2)</t>
        </is>
      </c>
      <c r="F14" s="41" t="inlineStr">
        <is>
          <t>Advanced (compliance frameworks)</t>
        </is>
      </c>
      <c r="G14" s="41" t="inlineStr">
        <is>
          <t>Cloud security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Post-migration compliance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Migration Window</t>
        </is>
      </c>
      <c r="C16" s="39" t="inlineStr">
        <is>
          <t>Weekend maintenance windows</t>
        </is>
      </c>
      <c r="D16" s="41" t="inlineStr">
        <is>
          <t>Single cutover</t>
        </is>
      </c>
      <c r="E16" s="41" t="inlineStr">
        <is>
          <t>Phased migration</t>
        </is>
      </c>
      <c r="F16" s="41" t="inlineStr">
        <is>
          <t>Zero-downtime migration</t>
        </is>
      </c>
      <c r="G16" s="41" t="inlineStr">
        <is>
          <t>Migration execution strategy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Performance Requirements</t>
        </is>
      </c>
      <c r="C17" s="39" t="inlineStr">
        <is>
          <t>Match on-premises baseline</t>
        </is>
      </c>
      <c r="D17" s="38" t="inlineStr">
        <is>
          <t>Standard performance</t>
        </is>
      </c>
      <c r="E17" s="38" t="inlineStr">
        <is>
          <t>Enhanced cloud performance</t>
        </is>
      </c>
      <c r="F17" s="38" t="inlineStr">
        <is>
          <t>Optimized cloud-native</t>
        </is>
      </c>
      <c r="G17" s="38" t="inlineStr">
        <is>
          <t>Post-migration performance targets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</t>
        </is>
      </c>
      <c r="E18" s="41" t="inlineStr">
        <is>
          <t>3 environments</t>
        </is>
      </c>
      <c r="F18" s="41" t="inlineStr">
        <is>
          <t>4+ environments with automation</t>
        </is>
      </c>
      <c r="G18" s="41" t="inlineStr">
        <is>
          <t>Target cloud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Cloud Requirements Gathering</t>
        </is>
      </c>
      <c r="C3" s="47" t="inlineStr">
        <is>
          <t>Conduct stakeholder interviews for cloud migration/infrastructure</t>
        </is>
      </c>
      <c r="D3" s="47" t="inlineStr">
        <is>
          <t>EO Engineer</t>
        </is>
      </c>
      <c r="E3" s="48" t="n">
        <v>40</v>
      </c>
      <c r="F3" s="49">
        <f>'Estimate Settings'!$C$21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scalability performance and business objectives</t>
        </is>
      </c>
    </row>
    <row r="4" ht="26" customHeight="1">
      <c r="A4" s="52" t="inlineStr">
        <is>
          <t>Discovery</t>
        </is>
      </c>
      <c r="B4" s="53" t="inlineStr">
        <is>
          <t>Infrastructure Assessment</t>
        </is>
      </c>
      <c r="C4" s="53" t="inlineStr">
        <is>
          <t>Analyze current infrastructure workloads and dependencies</t>
        </is>
      </c>
      <c r="D4" s="53" t="inlineStr">
        <is>
          <t>EO Engineer</t>
        </is>
      </c>
      <c r="E4" s="54" t="n">
        <v>32</v>
      </c>
      <c r="F4" s="55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application dependencies and performance baselines</t>
        </is>
      </c>
    </row>
    <row r="5" ht="26" customHeight="1">
      <c r="A5" s="46" t="inlineStr">
        <is>
          <t>Discovery</t>
        </is>
      </c>
      <c r="B5" s="47" t="inlineStr">
        <is>
          <t>AWS Services Assessment</t>
        </is>
      </c>
      <c r="C5" s="47" t="inlineStr">
        <is>
          <t>Evaluate target AWS services and architecture patterns</t>
        </is>
      </c>
      <c r="D5" s="47" t="inlineStr">
        <is>
          <t>EO Engineer</t>
        </is>
      </c>
      <c r="E5" s="48" t="n">
        <v>24</v>
      </c>
      <c r="F5" s="49">
        <f>'Estimate Settings'!$C$21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cost optimization and best practices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security governance and compliance requirements</t>
        </is>
      </c>
      <c r="D6" s="53" t="inlineStr">
        <is>
          <t>EO Engineer</t>
        </is>
      </c>
      <c r="E6" s="54" t="n">
        <v>16</v>
      </c>
      <c r="F6" s="55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industry regulations and data residency</t>
        </is>
      </c>
    </row>
    <row r="7" ht="26" customHeight="1">
      <c r="A7" s="46" t="inlineStr">
        <is>
          <t>Planning</t>
        </is>
      </c>
      <c r="B7" s="47" t="inlineStr">
        <is>
          <t>AWS Architecture Design</t>
        </is>
      </c>
      <c r="C7" s="47" t="inlineStr">
        <is>
          <t>Design AWS cloud architecture and migration strategy</t>
        </is>
      </c>
      <c r="D7" s="47" t="inlineStr">
        <is>
          <t>EO Engineer</t>
        </is>
      </c>
      <c r="E7" s="48" t="n">
        <v>48</v>
      </c>
      <c r="F7" s="49">
        <f>'Estimate Settings'!$C$22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/>
      <c r="K7" s="47" t="inlineStr">
        <is>
          <t>Include multi-AZ design and disaster recovery</t>
        </is>
      </c>
    </row>
    <row r="8" ht="26" customHeight="1">
      <c r="A8" s="52" t="inlineStr">
        <is>
          <t>Planning</t>
        </is>
      </c>
      <c r="B8" s="53" t="inlineStr">
        <is>
          <t>Migration Strategy</t>
        </is>
      </c>
      <c r="C8" s="53" t="inlineStr">
        <is>
          <t>Develop detailed migration approach and timeline</t>
        </is>
      </c>
      <c r="D8" s="53" t="inlineStr">
        <is>
          <t>EO Engineer</t>
        </is>
      </c>
      <c r="E8" s="54" t="n">
        <v>32</v>
      </c>
      <c r="F8" s="55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/>
      <c r="K8" s="53" t="inlineStr">
        <is>
          <t>Include risk assessment and rollback procedures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AWS security controls and governance framework</t>
        </is>
      </c>
      <c r="D9" s="47" t="inlineStr">
        <is>
          <t>EO Engineer</t>
        </is>
      </c>
      <c r="E9" s="48" t="n">
        <v>24</v>
      </c>
      <c r="F9" s="49">
        <f>'Estimate Settings'!$C$22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/>
      <c r="K9" s="47" t="inlineStr">
        <is>
          <t>Include IAM networking and data protection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cloud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/>
      <c r="K10" s="53" t="inlineStr">
        <is>
          <t>Coordinate with infrastructure and security teams</t>
        </is>
      </c>
    </row>
    <row r="11" ht="26" customHeight="1">
      <c r="A11" s="46" t="inlineStr">
        <is>
          <t>Development</t>
        </is>
      </c>
      <c r="B11" s="47" t="inlineStr">
        <is>
          <t>AWS Infrastructure Provisioning</t>
        </is>
      </c>
      <c r="C11" s="47" t="inlineStr">
        <is>
          <t>Provision AWS services networking and foundational infrastructure</t>
        </is>
      </c>
      <c r="D11" s="47" t="inlineStr">
        <is>
          <t>EO Engineer</t>
        </is>
      </c>
      <c r="E11" s="48" t="n">
        <v>60</v>
      </c>
      <c r="F11" s="49">
        <f>'Estimate Settings'!$C$23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/>
      <c r="K11" s="47" t="inlineStr">
        <is>
          <t>Include VPC subnets security groups and routing</t>
        </is>
      </c>
    </row>
    <row r="12" ht="26" customHeight="1">
      <c r="A12" s="52" t="inlineStr">
        <is>
          <t>Development</t>
        </is>
      </c>
      <c r="B12" s="53" t="inlineStr">
        <is>
          <t>Application Migration</t>
        </is>
      </c>
      <c r="C12" s="53" t="inlineStr">
        <is>
          <t>Migrate applications and workloads to AWS</t>
        </is>
      </c>
      <c r="D12" s="53" t="inlineStr">
        <is>
          <t>EO Engineer</t>
        </is>
      </c>
      <c r="E12" s="54" t="n">
        <v>80</v>
      </c>
      <c r="F12" s="55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/>
      <c r="K12" s="53" t="inlineStr">
        <is>
          <t>Include application optimization and testing</t>
        </is>
      </c>
    </row>
    <row r="13" ht="26" customHeight="1">
      <c r="A13" s="46" t="inlineStr">
        <is>
          <t>Development</t>
        </is>
      </c>
      <c r="B13" s="47" t="inlineStr">
        <is>
          <t>Data Migration</t>
        </is>
      </c>
      <c r="C13" s="47" t="inlineStr">
        <is>
          <t>Migrate databases and data stores to AWS</t>
        </is>
      </c>
      <c r="D13" s="47" t="inlineStr">
        <is>
          <t>EO Engineer</t>
        </is>
      </c>
      <c r="E13" s="48" t="n">
        <v>48</v>
      </c>
      <c r="F13" s="49">
        <f>'Estimate Settings'!$C$23</f>
        <v/>
      </c>
      <c r="G13" s="50">
        <f>$E13*$F13</f>
        <v/>
      </c>
      <c r="H13" s="51" t="n">
        <v>145</v>
      </c>
      <c r="I13" s="50">
        <f>TEXT($G13*$H13,"$#,##0")</f>
        <v/>
      </c>
      <c r="J13" s="47" t="inlineStr"/>
      <c r="K13" s="47" t="inlineStr">
        <is>
          <t>Include data validation backup and recovery testing</t>
        </is>
      </c>
    </row>
    <row r="14" ht="26" customHeight="1">
      <c r="A14" s="52" t="inlineStr">
        <is>
          <t>Development</t>
        </is>
      </c>
      <c r="B14" s="53" t="inlineStr">
        <is>
          <t>Monitoring and Operations</t>
        </is>
      </c>
      <c r="C14" s="53" t="inlineStr">
        <is>
          <t>Implement AWS monitoring logging and operational tools</t>
        </is>
      </c>
      <c r="D14" s="53" t="inlineStr">
        <is>
          <t>EO Engineer</t>
        </is>
      </c>
      <c r="E14" s="54" t="n">
        <v>40</v>
      </c>
      <c r="F14" s="55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3" t="inlineStr"/>
      <c r="K14" s="53" t="inlineStr">
        <is>
          <t>Include CloudWatch X-Ray and operational dashboards</t>
        </is>
      </c>
    </row>
    <row r="15" ht="26" customHeight="1">
      <c r="A15" s="46" t="inlineStr">
        <is>
          <t>Development</t>
        </is>
      </c>
      <c r="B15" s="47" t="inlineStr">
        <is>
          <t>Automation and IaC</t>
        </is>
      </c>
      <c r="C15" s="47" t="inlineStr">
        <is>
          <t>Develop infrastructure automation using CloudFormation/CDK</t>
        </is>
      </c>
      <c r="D15" s="47" t="inlineStr">
        <is>
          <t>EO Engineer</t>
        </is>
      </c>
      <c r="E15" s="48" t="n">
        <v>32</v>
      </c>
      <c r="F15" s="49">
        <f>'Estimate Settings'!$C$23</f>
        <v/>
      </c>
      <c r="G15" s="50">
        <f>$E15*$F15</f>
        <v/>
      </c>
      <c r="H15" s="51" t="n">
        <v>125</v>
      </c>
      <c r="I15" s="50">
        <f>TEXT($G15*$H15,"$#,##0")</f>
        <v/>
      </c>
      <c r="J15" s="47" t="inlineStr"/>
      <c r="K15" s="47" t="inlineStr">
        <is>
          <t>Include CI/CD pipeline integration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/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Settings'!$C$24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/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/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Settings'!$C$24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/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/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Settings'!$C$25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/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/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Settings'!$C$26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/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/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Settings'!$C$26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/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/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Settings'!$C$27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/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4" t="n">
        <v>40</v>
      </c>
      <c r="F28" s="55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3" t="inlineStr"/>
      <c r="K28" s="53" t="inlineStr">
        <is>
          <t>25% of engineering effort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48" t="n">
        <v>40</v>
      </c>
      <c r="F29" s="49">
        <f>'Estimate Settings'!$C$28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38" t="inlineStr">
        <is>
          <t>AWS Partner Network (APN) credit for cloud migration solution architecture and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2025-11-22T05:11:50Z</dcterms:modified>
  <cp:lastModifiedBy>Kishan Siram</cp:lastModifiedBy>
</cp:coreProperties>
</file>