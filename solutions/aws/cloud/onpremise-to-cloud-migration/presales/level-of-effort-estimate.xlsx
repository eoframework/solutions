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'LOE'!$A$2:$K$30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AWS - Cloud - Onpremise To Cloud Migration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Workloads to Migrate</t>
        </is>
      </c>
      <c r="C3" s="39" t="inlineStr">
        <is>
          <t>5-10 VMs/applications</t>
        </is>
      </c>
      <c r="D3" s="38" t="inlineStr">
        <is>
          <t>5-10 workloads</t>
        </is>
      </c>
      <c r="E3" s="38" t="inlineStr">
        <is>
          <t>10-25 workloads</t>
        </is>
      </c>
      <c r="F3" s="38" t="inlineStr">
        <is>
          <t>25+ workloads or complex apps</t>
        </is>
      </c>
      <c r="G3" s="38" t="inlineStr">
        <is>
          <t>Number of workloads being migrated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Migration Strategy</t>
        </is>
      </c>
      <c r="C4" s="39" t="inlineStr">
        <is>
          <t>Rehost (lift-and-shift)</t>
        </is>
      </c>
      <c r="D4" s="41" t="inlineStr">
        <is>
          <t>Rehost simple</t>
        </is>
      </c>
      <c r="E4" s="41" t="inlineStr">
        <is>
          <t>Replatform moderate</t>
        </is>
      </c>
      <c r="F4" s="41" t="inlineStr">
        <is>
          <t>Refactor complex</t>
        </is>
      </c>
      <c r="G4" s="41" t="inlineStr">
        <is>
          <t>AWS 6R migration strategy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Source Environment</t>
        </is>
      </c>
      <c r="C5" s="39" t="inlineStr">
        <is>
          <t>VMware vSphere on-premises</t>
        </is>
      </c>
      <c r="D5" s="38" t="inlineStr">
        <is>
          <t>Single hypervisor</t>
        </is>
      </c>
      <c r="E5" s="38" t="inlineStr">
        <is>
          <t>Multiple hypervisors</t>
        </is>
      </c>
      <c r="F5" s="38" t="inlineStr">
        <is>
          <t>Hybrid cloud + physical servers</t>
        </is>
      </c>
      <c r="G5" s="38" t="inlineStr">
        <is>
          <t>Current infrastructure platform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Hybrid Connectivity</t>
        </is>
      </c>
      <c r="C6" s="39" t="inlineStr">
        <is>
          <t>AWS Direct Connect</t>
        </is>
      </c>
      <c r="D6" s="41" t="inlineStr">
        <is>
          <t>VPN only</t>
        </is>
      </c>
      <c r="E6" s="41" t="inlineStr">
        <is>
          <t>Direct Connect</t>
        </is>
      </c>
      <c r="F6" s="41" t="inlineStr">
        <is>
          <t>Direct Connect + VPN redundancy</t>
        </is>
      </c>
      <c r="G6" s="41" t="inlineStr">
        <is>
          <t>On-premises to AWS connectivity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100 application users</t>
        </is>
      </c>
      <c r="D7" s="38" t="inlineStr">
        <is>
          <t>50-100 users</t>
        </is>
      </c>
      <c r="E7" s="38" t="inlineStr">
        <is>
          <t>100-500 users</t>
        </is>
      </c>
      <c r="F7" s="38" t="inlineStr">
        <is>
          <t>500+ users</t>
        </is>
      </c>
      <c r="G7" s="38" t="inlineStr">
        <is>
          <t>End users of migrated apps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(admin operator user)</t>
        </is>
      </c>
      <c r="D8" s="41" t="inlineStr">
        <is>
          <t>2-3 standard roles</t>
        </is>
      </c>
      <c r="E8" s="41" t="inlineStr">
        <is>
          <t>4-6 roles</t>
        </is>
      </c>
      <c r="F8" s="41" t="inlineStr">
        <is>
          <t>8+ roles with migration access</t>
        </is>
      </c>
      <c r="G8" s="41" t="inlineStr">
        <is>
          <t>Roles for migration and operation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Total Data to Migrate</t>
        </is>
      </c>
      <c r="C9" s="39" t="inlineStr">
        <is>
          <t>500 GB</t>
        </is>
      </c>
      <c r="D9" s="38" t="inlineStr">
        <is>
          <t>100-500 GB</t>
        </is>
      </c>
      <c r="E9" s="38" t="inlineStr">
        <is>
          <t>500 GB - 2 TB</t>
        </is>
      </c>
      <c r="F9" s="38" t="inlineStr">
        <is>
          <t>2+ TB</t>
        </is>
      </c>
      <c r="G9" s="38" t="inlineStr">
        <is>
          <t>Total data volume for migration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Database Migration</t>
        </is>
      </c>
      <c r="C10" s="39" t="inlineStr">
        <is>
          <t>2 databases (MySQL PostgreSQL)</t>
        </is>
      </c>
      <c r="D10" s="41" t="inlineStr">
        <is>
          <t>1-2 databases</t>
        </is>
      </c>
      <c r="E10" s="41" t="inlineStr">
        <is>
          <t>3-5 databases</t>
        </is>
      </c>
      <c r="F10" s="41" t="inlineStr">
        <is>
          <t>6+ databases or complex schemas</t>
        </is>
      </c>
      <c r="G10" s="41" t="inlineStr">
        <is>
          <t>Database migration scope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Target AWS Region</t>
        </is>
      </c>
      <c r="C11" s="39" t="inlineStr">
        <is>
          <t>us-east-1</t>
        </is>
      </c>
      <c r="D11" s="38" t="inlineStr">
        <is>
          <t>Single region</t>
        </is>
      </c>
      <c r="E11" s="38" t="inlineStr">
        <is>
          <t>Multi-AZ deployment</t>
        </is>
      </c>
      <c r="F11" s="38" t="inlineStr">
        <is>
          <t>Multi-region deployment</t>
        </is>
      </c>
      <c r="G11" s="38" t="inlineStr">
        <is>
          <t>AWS target deployment region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Post-migration availability SLA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EC2 RDS S3 standard</t>
        </is>
      </c>
      <c r="D13" s="38" t="inlineStr">
        <is>
          <t>Basic IaaS</t>
        </is>
      </c>
      <c r="E13" s="38" t="inlineStr">
        <is>
          <t>Standard AWS services</t>
        </is>
      </c>
      <c r="F13" s="38" t="inlineStr">
        <is>
          <t>Advanced AWS native services</t>
        </is>
      </c>
      <c r="G13" s="38" t="inlineStr">
        <is>
          <t>Target AWS architecture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VPC Security Groups IAM</t>
        </is>
      </c>
      <c r="D14" s="41" t="inlineStr">
        <is>
          <t>Basic cloud security</t>
        </is>
      </c>
      <c r="E14" s="41" t="inlineStr">
        <is>
          <t>Industry standard (SOC2)</t>
        </is>
      </c>
      <c r="F14" s="41" t="inlineStr">
        <is>
          <t>Advanced (compliance frameworks)</t>
        </is>
      </c>
      <c r="G14" s="41" t="inlineStr">
        <is>
          <t>Cloud security controls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Post-migration compliance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Migration Window</t>
        </is>
      </c>
      <c r="C16" s="39" t="inlineStr">
        <is>
          <t>Weekend maintenance windows</t>
        </is>
      </c>
      <c r="D16" s="41" t="inlineStr">
        <is>
          <t>Single cutover</t>
        </is>
      </c>
      <c r="E16" s="41" t="inlineStr">
        <is>
          <t>Phased migration</t>
        </is>
      </c>
      <c r="F16" s="41" t="inlineStr">
        <is>
          <t>Zero-downtime migration</t>
        </is>
      </c>
      <c r="G16" s="41" t="inlineStr">
        <is>
          <t>Migration execution strategy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Performance Requirements</t>
        </is>
      </c>
      <c r="C17" s="39" t="inlineStr">
        <is>
          <t>Match on-premises baseline</t>
        </is>
      </c>
      <c r="D17" s="38" t="inlineStr">
        <is>
          <t>Standard performance</t>
        </is>
      </c>
      <c r="E17" s="38" t="inlineStr">
        <is>
          <t>Enhanced cloud performance</t>
        </is>
      </c>
      <c r="F17" s="38" t="inlineStr">
        <is>
          <t>Optimized cloud-native</t>
        </is>
      </c>
      <c r="G17" s="38" t="inlineStr">
        <is>
          <t>Post-migration performance targets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2 environments (dev prod)</t>
        </is>
      </c>
      <c r="D18" s="41" t="inlineStr">
        <is>
          <t>2 environments</t>
        </is>
      </c>
      <c r="E18" s="41" t="inlineStr">
        <is>
          <t>3 environments</t>
        </is>
      </c>
      <c r="F18" s="41" t="inlineStr">
        <is>
          <t>4+ environments with automation</t>
        </is>
      </c>
      <c r="G18" s="41" t="inlineStr">
        <is>
          <t>Target cloud environments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Cloud Requirements Gathering</t>
        </is>
      </c>
      <c r="C3" s="47" t="inlineStr">
        <is>
          <t>Conduct stakeholder interviews for cloud migration/infrastructure</t>
        </is>
      </c>
      <c r="D3" s="47" t="inlineStr">
        <is>
          <t>EO Engineer</t>
        </is>
      </c>
      <c r="E3" s="48" t="n">
        <v>40</v>
      </c>
      <c r="F3" s="49">
        <f>'Estimate Settings'!$C$21</f>
        <v/>
      </c>
      <c r="G3" s="50">
        <f>$E3*$F3</f>
        <v/>
      </c>
      <c r="H3" s="51" t="n">
        <v>150</v>
      </c>
      <c r="I3" s="50">
        <f>TEXT($G3*$H3,"$#,##0")</f>
        <v/>
      </c>
      <c r="J3" s="47" t="inlineStr"/>
      <c r="K3" s="47" t="inlineStr">
        <is>
          <t>Focus on scalability performance and business objectives</t>
        </is>
      </c>
    </row>
    <row r="4" ht="26" customHeight="1">
      <c r="A4" s="52" t="inlineStr">
        <is>
          <t>Discovery</t>
        </is>
      </c>
      <c r="B4" s="53" t="inlineStr">
        <is>
          <t>Infrastructure Assessment</t>
        </is>
      </c>
      <c r="C4" s="53" t="inlineStr">
        <is>
          <t>Analyze current infrastructure workloads and dependencies</t>
        </is>
      </c>
      <c r="D4" s="53" t="inlineStr">
        <is>
          <t>EO Engineer</t>
        </is>
      </c>
      <c r="E4" s="54" t="n">
        <v>32</v>
      </c>
      <c r="F4" s="55">
        <f>'Estimate Settings'!$C$21</f>
        <v/>
      </c>
      <c r="G4" s="56">
        <f>$E4*$F4</f>
        <v/>
      </c>
      <c r="H4" s="57" t="n">
        <v>200</v>
      </c>
      <c r="I4" s="56">
        <f>TEXT($G4*$H4,"$#,##0")</f>
        <v/>
      </c>
      <c r="J4" s="53" t="inlineStr"/>
      <c r="K4" s="53" t="inlineStr">
        <is>
          <t>Include application dependencies and performance baselines</t>
        </is>
      </c>
    </row>
    <row r="5" ht="26" customHeight="1">
      <c r="A5" s="46" t="inlineStr">
        <is>
          <t>Discovery</t>
        </is>
      </c>
      <c r="B5" s="47" t="inlineStr">
        <is>
          <t>AWS Services Assessment</t>
        </is>
      </c>
      <c r="C5" s="47" t="inlineStr">
        <is>
          <t>Evaluate target AWS services and architecture patterns</t>
        </is>
      </c>
      <c r="D5" s="47" t="inlineStr">
        <is>
          <t>EO Engineer</t>
        </is>
      </c>
      <c r="E5" s="48" t="n">
        <v>24</v>
      </c>
      <c r="F5" s="49">
        <f>'Estimate Settings'!$C$21</f>
        <v/>
      </c>
      <c r="G5" s="50">
        <f>$E5*$F5</f>
        <v/>
      </c>
      <c r="H5" s="51" t="n">
        <v>200</v>
      </c>
      <c r="I5" s="50">
        <f>TEXT($G5*$H5,"$#,##0")</f>
        <v/>
      </c>
      <c r="J5" s="47" t="inlineStr"/>
      <c r="K5" s="47" t="inlineStr">
        <is>
          <t>Focus on cost optimization and best practices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security governance and compliance requirements</t>
        </is>
      </c>
      <c r="D6" s="53" t="inlineStr">
        <is>
          <t>EO Engineer</t>
        </is>
      </c>
      <c r="E6" s="54" t="n">
        <v>16</v>
      </c>
      <c r="F6" s="55">
        <f>'Estimate Settings'!$C$21</f>
        <v/>
      </c>
      <c r="G6" s="56">
        <f>$E6*$F6</f>
        <v/>
      </c>
      <c r="H6" s="57" t="n">
        <v>175</v>
      </c>
      <c r="I6" s="56">
        <f>TEXT($G6*$H6,"$#,##0")</f>
        <v/>
      </c>
      <c r="J6" s="53" t="inlineStr"/>
      <c r="K6" s="53" t="inlineStr">
        <is>
          <t>Include industry regulations and data residency</t>
        </is>
      </c>
    </row>
    <row r="7" ht="26" customHeight="1">
      <c r="A7" s="46" t="inlineStr">
        <is>
          <t>Planning</t>
        </is>
      </c>
      <c r="B7" s="47" t="inlineStr">
        <is>
          <t>AWS Architecture Design</t>
        </is>
      </c>
      <c r="C7" s="47" t="inlineStr">
        <is>
          <t>Design AWS cloud architecture and migration strategy</t>
        </is>
      </c>
      <c r="D7" s="47" t="inlineStr">
        <is>
          <t>EO Engineer</t>
        </is>
      </c>
      <c r="E7" s="48" t="n">
        <v>48</v>
      </c>
      <c r="F7" s="49">
        <f>'Estimate Settings'!$C$22</f>
        <v/>
      </c>
      <c r="G7" s="50">
        <f>$E7*$F7</f>
        <v/>
      </c>
      <c r="H7" s="51" t="n">
        <v>200</v>
      </c>
      <c r="I7" s="50">
        <f>TEXT($G7*$H7,"$#,##0")</f>
        <v/>
      </c>
      <c r="J7" s="47" t="inlineStr"/>
      <c r="K7" s="47" t="inlineStr">
        <is>
          <t>Include multi-AZ design and disaster recovery</t>
        </is>
      </c>
    </row>
    <row r="8" ht="26" customHeight="1">
      <c r="A8" s="52" t="inlineStr">
        <is>
          <t>Planning</t>
        </is>
      </c>
      <c r="B8" s="53" t="inlineStr">
        <is>
          <t>Migration Strategy</t>
        </is>
      </c>
      <c r="C8" s="53" t="inlineStr">
        <is>
          <t>Develop detailed migration approach and timeline</t>
        </is>
      </c>
      <c r="D8" s="53" t="inlineStr">
        <is>
          <t>EO Engineer</t>
        </is>
      </c>
      <c r="E8" s="54" t="n">
        <v>32</v>
      </c>
      <c r="F8" s="55">
        <f>'Estimate Settings'!$C$22</f>
        <v/>
      </c>
      <c r="G8" s="56">
        <f>$E8*$F8</f>
        <v/>
      </c>
      <c r="H8" s="57" t="n">
        <v>180</v>
      </c>
      <c r="I8" s="56">
        <f>TEXT($G8*$H8,"$#,##0")</f>
        <v/>
      </c>
      <c r="J8" s="53" t="inlineStr"/>
      <c r="K8" s="53" t="inlineStr">
        <is>
          <t>Include risk assessment and rollback procedures</t>
        </is>
      </c>
    </row>
    <row r="9" ht="26" customHeight="1">
      <c r="A9" s="46" t="inlineStr">
        <is>
          <t>Planning</t>
        </is>
      </c>
      <c r="B9" s="47" t="inlineStr">
        <is>
          <t>Security Architecture</t>
        </is>
      </c>
      <c r="C9" s="47" t="inlineStr">
        <is>
          <t>Design AWS security controls and governance framework</t>
        </is>
      </c>
      <c r="D9" s="47" t="inlineStr">
        <is>
          <t>EO Engineer</t>
        </is>
      </c>
      <c r="E9" s="48" t="n">
        <v>24</v>
      </c>
      <c r="F9" s="49">
        <f>'Estimate Settings'!$C$22</f>
        <v/>
      </c>
      <c r="G9" s="50">
        <f>$E9*$F9</f>
        <v/>
      </c>
      <c r="H9" s="51" t="n">
        <v>175</v>
      </c>
      <c r="I9" s="50">
        <f>TEXT($G9*$H9,"$#,##0")</f>
        <v/>
      </c>
      <c r="J9" s="47" t="inlineStr"/>
      <c r="K9" s="47" t="inlineStr">
        <is>
          <t>Include IAM networking and data protection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cloud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Settings'!$C$22</f>
        <v/>
      </c>
      <c r="G10" s="56">
        <f>$E10*$F10</f>
        <v/>
      </c>
      <c r="H10" s="57" t="n">
        <v>140</v>
      </c>
      <c r="I10" s="56">
        <f>TEXT($G10*$H10,"$#,##0")</f>
        <v/>
      </c>
      <c r="J10" s="53" t="inlineStr"/>
      <c r="K10" s="53" t="inlineStr">
        <is>
          <t>Coordinate with infrastructure and security teams</t>
        </is>
      </c>
    </row>
    <row r="11" ht="26" customHeight="1">
      <c r="A11" s="46" t="inlineStr">
        <is>
          <t>Development</t>
        </is>
      </c>
      <c r="B11" s="47" t="inlineStr">
        <is>
          <t>AWS Infrastructure Provisioning</t>
        </is>
      </c>
      <c r="C11" s="47" t="inlineStr">
        <is>
          <t>Provision AWS services networking and foundational infrastructure</t>
        </is>
      </c>
      <c r="D11" s="47" t="inlineStr">
        <is>
          <t>EO Engineer</t>
        </is>
      </c>
      <c r="E11" s="48" t="n">
        <v>60</v>
      </c>
      <c r="F11" s="49">
        <f>'Estimate Settings'!$C$23</f>
        <v/>
      </c>
      <c r="G11" s="50">
        <f>$E11*$F11</f>
        <v/>
      </c>
      <c r="H11" s="51" t="n">
        <v>160</v>
      </c>
      <c r="I11" s="50">
        <f>TEXT($G11*$H11,"$#,##0")</f>
        <v/>
      </c>
      <c r="J11" s="47" t="inlineStr"/>
      <c r="K11" s="47" t="inlineStr">
        <is>
          <t>Include VPC subnets security groups and routing</t>
        </is>
      </c>
    </row>
    <row r="12" ht="26" customHeight="1">
      <c r="A12" s="52" t="inlineStr">
        <is>
          <t>Development</t>
        </is>
      </c>
      <c r="B12" s="53" t="inlineStr">
        <is>
          <t>Application Migration</t>
        </is>
      </c>
      <c r="C12" s="53" t="inlineStr">
        <is>
          <t>Migrate applications and workloads to AWS</t>
        </is>
      </c>
      <c r="D12" s="53" t="inlineStr">
        <is>
          <t>EO Engineer</t>
        </is>
      </c>
      <c r="E12" s="54" t="n">
        <v>80</v>
      </c>
      <c r="F12" s="55">
        <f>'Estimate Settings'!$C$23</f>
        <v/>
      </c>
      <c r="G12" s="56">
        <f>$E12*$F12</f>
        <v/>
      </c>
      <c r="H12" s="57" t="n">
        <v>130</v>
      </c>
      <c r="I12" s="56">
        <f>TEXT($G12*$H12,"$#,##0")</f>
        <v/>
      </c>
      <c r="J12" s="53" t="inlineStr"/>
      <c r="K12" s="53" t="inlineStr">
        <is>
          <t>Include application optimization and testing</t>
        </is>
      </c>
    </row>
    <row r="13" ht="26" customHeight="1">
      <c r="A13" s="46" t="inlineStr">
        <is>
          <t>Development</t>
        </is>
      </c>
      <c r="B13" s="47" t="inlineStr">
        <is>
          <t>Data Migration</t>
        </is>
      </c>
      <c r="C13" s="47" t="inlineStr">
        <is>
          <t>Migrate databases and data stores to AWS</t>
        </is>
      </c>
      <c r="D13" s="47" t="inlineStr">
        <is>
          <t>EO Engineer</t>
        </is>
      </c>
      <c r="E13" s="48" t="n">
        <v>48</v>
      </c>
      <c r="F13" s="49">
        <f>'Estimate Settings'!$C$23</f>
        <v/>
      </c>
      <c r="G13" s="50">
        <f>$E13*$F13</f>
        <v/>
      </c>
      <c r="H13" s="51" t="n">
        <v>145</v>
      </c>
      <c r="I13" s="50">
        <f>TEXT($G13*$H13,"$#,##0")</f>
        <v/>
      </c>
      <c r="J13" s="47" t="inlineStr"/>
      <c r="K13" s="47" t="inlineStr">
        <is>
          <t>Include data validation backup and recovery testing</t>
        </is>
      </c>
    </row>
    <row r="14" ht="26" customHeight="1">
      <c r="A14" s="52" t="inlineStr">
        <is>
          <t>Development</t>
        </is>
      </c>
      <c r="B14" s="53" t="inlineStr">
        <is>
          <t>Monitoring and Operations</t>
        </is>
      </c>
      <c r="C14" s="53" t="inlineStr">
        <is>
          <t>Implement AWS monitoring logging and operational tools</t>
        </is>
      </c>
      <c r="D14" s="53" t="inlineStr">
        <is>
          <t>EO Engineer</t>
        </is>
      </c>
      <c r="E14" s="54" t="n">
        <v>40</v>
      </c>
      <c r="F14" s="55">
        <f>'Estimate Settings'!$C$23</f>
        <v/>
      </c>
      <c r="G14" s="56">
        <f>$E14*$F14</f>
        <v/>
      </c>
      <c r="H14" s="57" t="n">
        <v>140</v>
      </c>
      <c r="I14" s="56">
        <f>TEXT($G14*$H14,"$#,##0")</f>
        <v/>
      </c>
      <c r="J14" s="53" t="inlineStr"/>
      <c r="K14" s="53" t="inlineStr">
        <is>
          <t>Include CloudWatch X-Ray and operational dashboards</t>
        </is>
      </c>
    </row>
    <row r="15" ht="26" customHeight="1">
      <c r="A15" s="46" t="inlineStr">
        <is>
          <t>Development</t>
        </is>
      </c>
      <c r="B15" s="47" t="inlineStr">
        <is>
          <t>Automation and IaC</t>
        </is>
      </c>
      <c r="C15" s="47" t="inlineStr">
        <is>
          <t>Develop infrastructure automation using CloudFormation/CDK</t>
        </is>
      </c>
      <c r="D15" s="47" t="inlineStr">
        <is>
          <t>EO Engineer</t>
        </is>
      </c>
      <c r="E15" s="48" t="n">
        <v>32</v>
      </c>
      <c r="F15" s="49">
        <f>'Estimate Settings'!$C$23</f>
        <v/>
      </c>
      <c r="G15" s="50">
        <f>$E15*$F15</f>
        <v/>
      </c>
      <c r="H15" s="51" t="n">
        <v>125</v>
      </c>
      <c r="I15" s="50">
        <f>TEXT($G15*$H15,"$#,##0")</f>
        <v/>
      </c>
      <c r="J15" s="47" t="inlineStr"/>
      <c r="K15" s="47" t="inlineStr">
        <is>
          <t>Include CI/CD pipeline integration</t>
        </is>
      </c>
    </row>
    <row r="16" ht="26" customHeight="1">
      <c r="A16" s="52" t="inlineStr">
        <is>
          <t>Testing</t>
        </is>
      </c>
      <c r="B16" s="53" t="inlineStr">
        <is>
          <t>Unit Testing</t>
        </is>
      </c>
      <c r="C16" s="53" t="inlineStr">
        <is>
          <t>Develop automated tests for all solution components</t>
        </is>
      </c>
      <c r="D16" s="53" t="inlineStr">
        <is>
          <t>EO Engineer</t>
        </is>
      </c>
      <c r="E16" s="54" t="n">
        <v>32</v>
      </c>
      <c r="F16" s="55">
        <f>'Estimate Settings'!$C$24</f>
        <v/>
      </c>
      <c r="G16" s="56">
        <f>$E16*$F16</f>
        <v/>
      </c>
      <c r="H16" s="57" t="n">
        <v>120</v>
      </c>
      <c r="I16" s="56">
        <f>TEXT($G16*$H16,"$#,##0")</f>
        <v/>
      </c>
      <c r="J16" s="53" t="inlineStr"/>
      <c r="K16" s="53" t="inlineStr">
        <is>
          <t>Include technology-specific testing frameworks</t>
        </is>
      </c>
    </row>
    <row r="17" ht="26" customHeight="1">
      <c r="A17" s="46" t="inlineStr">
        <is>
          <t>Testing</t>
        </is>
      </c>
      <c r="B17" s="47" t="inlineStr">
        <is>
          <t>Integration Testing</t>
        </is>
      </c>
      <c r="C17" s="47" t="inlineStr">
        <is>
          <t>Test system integrations data flows and external dependencies</t>
        </is>
      </c>
      <c r="D17" s="47" t="inlineStr">
        <is>
          <t>EO Engineer</t>
        </is>
      </c>
      <c r="E17" s="48" t="n">
        <v>40</v>
      </c>
      <c r="F17" s="49">
        <f>'Estimate Settings'!$C$24</f>
        <v/>
      </c>
      <c r="G17" s="50">
        <f>$E17*$F17</f>
        <v/>
      </c>
      <c r="H17" s="51" t="n">
        <v>120</v>
      </c>
      <c r="I17" s="50">
        <f>TEXT($G17*$H17,"$#,##0")</f>
        <v/>
      </c>
      <c r="J17" s="47" t="inlineStr"/>
      <c r="K17" s="47" t="inlineStr">
        <is>
          <t>Include end-to-end workflow validation</t>
        </is>
      </c>
    </row>
    <row r="18" ht="26" customHeight="1">
      <c r="A18" s="52" t="inlineStr">
        <is>
          <t>Testing</t>
        </is>
      </c>
      <c r="B18" s="53" t="inlineStr">
        <is>
          <t>Performance Testing</t>
        </is>
      </c>
      <c r="C18" s="53" t="inlineStr">
        <is>
          <t>Conduct load performance and scalability testing</t>
        </is>
      </c>
      <c r="D18" s="53" t="inlineStr">
        <is>
          <t>EO Engineer</t>
        </is>
      </c>
      <c r="E18" s="54" t="n">
        <v>24</v>
      </c>
      <c r="F18" s="55">
        <f>'Estimate Settings'!$C$24</f>
        <v/>
      </c>
      <c r="G18" s="56">
        <f>$E18*$F18</f>
        <v/>
      </c>
      <c r="H18" s="57" t="n">
        <v>140</v>
      </c>
      <c r="I18" s="56">
        <f>TEXT($G18*$H18,"$#,##0")</f>
        <v/>
      </c>
      <c r="J18" s="53" t="inlineStr"/>
      <c r="K18" s="53" t="inlineStr">
        <is>
          <t>Include production-like environment and stress testing</t>
        </is>
      </c>
    </row>
    <row r="19" ht="26" customHeight="1">
      <c r="A19" s="46" t="inlineStr">
        <is>
          <t>Testing</t>
        </is>
      </c>
      <c r="B19" s="47" t="inlineStr">
        <is>
          <t>Security Testing</t>
        </is>
      </c>
      <c r="C19" s="47" t="inlineStr">
        <is>
          <t>Perform security assessments penetration testing and compliance validation</t>
        </is>
      </c>
      <c r="D19" s="47" t="inlineStr">
        <is>
          <t>EO Engineer</t>
        </is>
      </c>
      <c r="E19" s="48" t="n">
        <v>16</v>
      </c>
      <c r="F19" s="49">
        <f>'Estimate Settings'!$C$24</f>
        <v/>
      </c>
      <c r="G19" s="50">
        <f>$E19*$F19</f>
        <v/>
      </c>
      <c r="H19" s="51" t="n">
        <v>175</v>
      </c>
      <c r="I19" s="50">
        <f>TEXT($G19*$H19,"$#,##0")</f>
        <v/>
      </c>
      <c r="J19" s="47" t="inlineStr"/>
      <c r="K19" s="47" t="inlineStr">
        <is>
          <t>Include vulnerability scanning and compliance checks</t>
        </is>
      </c>
    </row>
    <row r="20" ht="26" customHeight="1">
      <c r="A20" s="52" t="inlineStr">
        <is>
          <t>Testing</t>
        </is>
      </c>
      <c r="B20" s="53" t="inlineStr">
        <is>
          <t>User Acceptance Testing</t>
        </is>
      </c>
      <c r="C20" s="53" t="inlineStr">
        <is>
          <t>Coordinate UAT with business users and stakeholders</t>
        </is>
      </c>
      <c r="D20" s="53" t="inlineStr">
        <is>
          <t>EO Engineer</t>
        </is>
      </c>
      <c r="E20" s="54" t="n">
        <v>32</v>
      </c>
      <c r="F20" s="55">
        <f>'Estimate Settings'!$C$24</f>
        <v/>
      </c>
      <c r="G20" s="56">
        <f>$E20*$F20</f>
        <v/>
      </c>
      <c r="H20" s="57" t="n">
        <v>150</v>
      </c>
      <c r="I20" s="56">
        <f>TEXT($G20*$H20,"$#,##0")</f>
        <v/>
      </c>
      <c r="J20" s="53" t="inlineStr"/>
      <c r="K20" s="53" t="inlineStr">
        <is>
          <t>Include training feedback collection and sign-off</t>
        </is>
      </c>
    </row>
    <row r="21" ht="26" customHeight="1">
      <c r="A21" s="46" t="inlineStr">
        <is>
          <t>Deployment</t>
        </is>
      </c>
      <c r="B21" s="47" t="inlineStr">
        <is>
          <t>Production Deployment</t>
        </is>
      </c>
      <c r="C21" s="47" t="inlineStr">
        <is>
          <t>Deploy solution to production environment with monitoring</t>
        </is>
      </c>
      <c r="D21" s="47" t="inlineStr">
        <is>
          <t>EO Engineer</t>
        </is>
      </c>
      <c r="E21" s="48" t="n">
        <v>24</v>
      </c>
      <c r="F21" s="49">
        <f>'Estimate Settings'!$C$25</f>
        <v/>
      </c>
      <c r="G21" s="50">
        <f>$E21*$F21</f>
        <v/>
      </c>
      <c r="H21" s="51" t="n">
        <v>160</v>
      </c>
      <c r="I21" s="50">
        <f>TEXT($G21*$H21,"$#,##0")</f>
        <v/>
      </c>
      <c r="J21" s="47" t="inlineStr"/>
      <c r="K21" s="47" t="inlineStr">
        <is>
          <t>Include blue-green deployment rollback and validation</t>
        </is>
      </c>
    </row>
    <row r="22" ht="26" customHeight="1">
      <c r="A22" s="52" t="inlineStr">
        <is>
          <t>Deployment</t>
        </is>
      </c>
      <c r="B22" s="53" t="inlineStr">
        <is>
          <t>Go-Live Support</t>
        </is>
      </c>
      <c r="C22" s="53" t="inlineStr">
        <is>
          <t>Provide comprehensive support during initial production rollout</t>
        </is>
      </c>
      <c r="D22" s="53" t="inlineStr">
        <is>
          <t>EO Engineer</t>
        </is>
      </c>
      <c r="E22" s="54" t="n">
        <v>48</v>
      </c>
      <c r="F22" s="55">
        <f>'Estimate Settings'!$C$25</f>
        <v/>
      </c>
      <c r="G22" s="56">
        <f>$E22*$F22</f>
        <v/>
      </c>
      <c r="H22" s="57" t="n">
        <v>110</v>
      </c>
      <c r="I22" s="56">
        <f>TEXT($G22*$H22,"$#,##0")</f>
        <v/>
      </c>
      <c r="J22" s="53" t="inlineStr"/>
      <c r="K22" s="53" t="inlineStr">
        <is>
          <t>Include 24/7 support monitoring and issue resolution</t>
        </is>
      </c>
    </row>
    <row r="23" ht="26" customHeight="1">
      <c r="A23" s="46" t="inlineStr">
        <is>
          <t>Training</t>
        </is>
      </c>
      <c r="B23" s="47" t="inlineStr">
        <is>
          <t>Administrator Training</t>
        </is>
      </c>
      <c r="C23" s="47" t="inlineStr">
        <is>
          <t>Train system administrators and technical support teams</t>
        </is>
      </c>
      <c r="D23" s="47" t="inlineStr">
        <is>
          <t>EO Engineer</t>
        </is>
      </c>
      <c r="E23" s="48" t="n">
        <v>16</v>
      </c>
      <c r="F23" s="49">
        <f>'Estimate Settings'!$C$26</f>
        <v/>
      </c>
      <c r="G23" s="50">
        <f>$E23*$F23</f>
        <v/>
      </c>
      <c r="H23" s="51" t="n">
        <v>130</v>
      </c>
      <c r="I23" s="50">
        <f>TEXT($G23*$H23,"$#,##0")</f>
        <v/>
      </c>
      <c r="J23" s="47" t="inlineStr"/>
      <c r="K23" s="47" t="inlineStr">
        <is>
          <t>Include hands-on technical training and certification</t>
        </is>
      </c>
    </row>
    <row r="24" ht="26" customHeight="1">
      <c r="A24" s="52" t="inlineStr">
        <is>
          <t>Training</t>
        </is>
      </c>
      <c r="B24" s="53" t="inlineStr">
        <is>
          <t>End User Training</t>
        </is>
      </c>
      <c r="C24" s="53" t="inlineStr">
        <is>
          <t>Train business users on solution functionality and workflows</t>
        </is>
      </c>
      <c r="D24" s="53" t="inlineStr">
        <is>
          <t>EO Engineer</t>
        </is>
      </c>
      <c r="E24" s="54" t="n">
        <v>24</v>
      </c>
      <c r="F24" s="55">
        <f>'Estimate Settings'!$C$26</f>
        <v/>
      </c>
      <c r="G24" s="56">
        <f>$E24*$F24</f>
        <v/>
      </c>
      <c r="H24" s="57" t="n">
        <v>120</v>
      </c>
      <c r="I24" s="56">
        <f>TEXT($G24*$H24,"$#,##0")</f>
        <v/>
      </c>
      <c r="J24" s="53" t="inlineStr"/>
      <c r="K24" s="53" t="inlineStr">
        <is>
          <t>Include role-based training documentation and support</t>
        </is>
      </c>
    </row>
    <row r="25" ht="26" customHeight="1">
      <c r="A25" s="46" t="inlineStr">
        <is>
          <t>Training</t>
        </is>
      </c>
      <c r="B25" s="47" t="inlineStr">
        <is>
          <t>Documentation</t>
        </is>
      </c>
      <c r="C25" s="47" t="inlineStr">
        <is>
          <t>Create comprehensive technical and user documentation</t>
        </is>
      </c>
      <c r="D25" s="47" t="inlineStr">
        <is>
          <t>EO Engineer</t>
        </is>
      </c>
      <c r="E25" s="48" t="n">
        <v>32</v>
      </c>
      <c r="F25" s="49">
        <f>'Estimate Settings'!$C$26</f>
        <v/>
      </c>
      <c r="G25" s="50">
        <f>$E25*$F25</f>
        <v/>
      </c>
      <c r="H25" s="51" t="n">
        <v>110</v>
      </c>
      <c r="I25" s="50">
        <f>TEXT($G25*$H25,"$#,##0")</f>
        <v/>
      </c>
      <c r="J25" s="47" t="inlineStr"/>
      <c r="K25" s="47" t="inlineStr">
        <is>
          <t>Include runbooks troubleshooting guides and best practices</t>
        </is>
      </c>
    </row>
    <row r="26" ht="26" customHeight="1">
      <c r="A26" s="52" t="inlineStr">
        <is>
          <t>Closeout</t>
        </is>
      </c>
      <c r="B26" s="53" t="inlineStr">
        <is>
          <t>Knowledge Transfer</t>
        </is>
      </c>
      <c r="C26" s="53" t="inlineStr">
        <is>
          <t>Transfer solution ownership to operations and support teams</t>
        </is>
      </c>
      <c r="D26" s="53" t="inlineStr">
        <is>
          <t>EO Engineer</t>
        </is>
      </c>
      <c r="E26" s="54" t="n">
        <v>16</v>
      </c>
      <c r="F26" s="55">
        <f>'Estimate Settings'!$C$27</f>
        <v/>
      </c>
      <c r="G26" s="56">
        <f>$E26*$F26</f>
        <v/>
      </c>
      <c r="H26" s="57" t="n">
        <v>140</v>
      </c>
      <c r="I26" s="56">
        <f>TEXT($G26*$H26,"$#,##0")</f>
        <v/>
      </c>
      <c r="J26" s="53" t="inlineStr"/>
      <c r="K26" s="53" t="inlineStr">
        <is>
          <t>Include operational procedures escalation and maintenance</t>
        </is>
      </c>
    </row>
    <row r="27" ht="26" customHeight="1">
      <c r="A27" s="46" t="inlineStr">
        <is>
          <t>Closeout</t>
        </is>
      </c>
      <c r="B27" s="47" t="inlineStr">
        <is>
          <t>Performance Baseline</t>
        </is>
      </c>
      <c r="C27" s="47" t="inlineStr">
        <is>
          <t>Establish performance metrics monitoring baselines and SLAs</t>
        </is>
      </c>
      <c r="D27" s="47" t="inlineStr">
        <is>
          <t>EO Engineer</t>
        </is>
      </c>
      <c r="E27" s="48" t="n">
        <v>8</v>
      </c>
      <c r="F27" s="49">
        <f>'Estimate Settings'!$C$27</f>
        <v/>
      </c>
      <c r="G27" s="50">
        <f>$E27*$F27</f>
        <v/>
      </c>
      <c r="H27" s="51" t="n">
        <v>130</v>
      </c>
      <c r="I27" s="50">
        <f>TEXT($G27*$H27,"$#,##0")</f>
        <v/>
      </c>
      <c r="J27" s="47" t="inlineStr"/>
      <c r="K27" s="47" t="inlineStr">
        <is>
          <t>Include KPI definition monitoring setup and reporting</t>
        </is>
      </c>
    </row>
    <row r="28" ht="26" customHeight="1">
      <c r="A28" s="52" t="inlineStr">
        <is>
          <t>Management</t>
        </is>
      </c>
      <c r="B28" s="53" t="inlineStr">
        <is>
          <t>Technical Leadership</t>
        </is>
      </c>
      <c r="C28" s="53" t="inlineStr">
        <is>
          <t>Quarterback technical oversight and architecture review</t>
        </is>
      </c>
      <c r="D28" s="53" t="inlineStr">
        <is>
          <t>EO Quarterback</t>
        </is>
      </c>
      <c r="E28" s="54" t="n">
        <v>40</v>
      </c>
      <c r="F28" s="55">
        <f>'Estimate Settings'!$C$28</f>
        <v/>
      </c>
      <c r="G28" s="56">
        <f>$E28*$F28</f>
        <v/>
      </c>
      <c r="H28" s="57" t="n">
        <v>180</v>
      </c>
      <c r="I28" s="56">
        <f>TEXT($G28*$H28,"$#,##0")</f>
        <v/>
      </c>
      <c r="J28" s="53" t="inlineStr"/>
      <c r="K28" s="53" t="inlineStr">
        <is>
          <t>25% of engineering effort</t>
        </is>
      </c>
    </row>
    <row r="29" ht="26" customHeight="1">
      <c r="A29" s="46" t="inlineStr">
        <is>
          <t>Management</t>
        </is>
      </c>
      <c r="B29" s="47" t="inlineStr">
        <is>
          <t>Project Management</t>
        </is>
      </c>
      <c r="C29" s="47" t="inlineStr">
        <is>
          <t>Project coordination and management activities</t>
        </is>
      </c>
      <c r="D29" s="47" t="inlineStr">
        <is>
          <t>EO Project Manager</t>
        </is>
      </c>
      <c r="E29" s="48" t="n">
        <v>40</v>
      </c>
      <c r="F29" s="49">
        <f>'Estimate Settings'!$C$28</f>
        <v/>
      </c>
      <c r="G29" s="50">
        <f>$E29*$F29</f>
        <v/>
      </c>
      <c r="H29" s="51" t="n">
        <v>150</v>
      </c>
      <c r="I29" s="50">
        <f>TEXT($G29*$H29,"$#,##0")</f>
        <v/>
      </c>
      <c r="J29" s="47" t="inlineStr"/>
      <c r="K29" s="47" t="inlineStr">
        <is>
          <t>20% of engineering effort</t>
        </is>
      </c>
    </row>
    <row r="30" ht="26" customHeight="1">
      <c r="A30" s="58" t="inlineStr"/>
      <c r="B30" s="58" t="inlineStr"/>
      <c r="C30" s="58" t="inlineStr"/>
      <c r="D30" s="58" t="inlineStr"/>
      <c r="E30" s="58" t="inlineStr"/>
      <c r="F30" s="59" t="inlineStr">
        <is>
          <t>TOTAL HOURS</t>
        </is>
      </c>
      <c r="G30" s="59">
        <f>SUM(G33:G59)</f>
        <v/>
      </c>
      <c r="H30" s="59" t="inlineStr">
        <is>
          <t>TOTAL COST</t>
        </is>
      </c>
      <c r="I30" s="59">
        <f>TEXT(SUMPRODUCT(G33:G59,H33:H59),"$#,##0")</f>
        <v/>
      </c>
      <c r="J30" s="58" t="inlineStr"/>
      <c r="K30" s="59" t="inlineStr">
        <is>
          <t>Total project cost estimate</t>
        </is>
      </c>
    </row>
  </sheetData>
  <autoFilter ref="A2:K30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AWS Partner Services Credit</t>
        </is>
      </c>
      <c r="B3" s="60" t="n">
        <v>-10000</v>
      </c>
      <c r="C3" s="38" t="inlineStr">
        <is>
          <t>AWS Partner Network (APN) credit for cloud migration solution architecture and implementation services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SUMPRODUCT($G$33:$G$59,$H$33:$H$59)-10000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2025-11-22T03:40:53Z</dcterms:modified>
  <cp:lastModifiedBy>Kishan Siram</cp:lastModifiedBy>
</cp:coreProperties>
</file>