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'ROI'!$A$1:$K$70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49" fontId="6" fillId="4" borderId="1" applyAlignment="1" pivotButton="0" quotePrefix="0" xfId="0">
      <alignment horizontal="left" vertical="center" wrapText="1" indent="1"/>
    </xf>
    <xf numFmtId="49" fontId="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32" customWidth="1" min="3" max="3"/>
    <col width="50" customWidth="1" min="4" max="4"/>
    <col width="17" customWidth="1" min="5" max="5"/>
    <col width="16" customWidth="1" min="6" max="6"/>
    <col width="16" customWidth="1" min="7" max="7"/>
    <col width="17" customWidth="1" min="8" max="8"/>
    <col width="17" customWidth="1" min="9" max="9"/>
    <col width="42" customWidth="1" min="10" max="10"/>
    <col width="39" customWidth="1" min="11" max="11"/>
  </cols>
  <sheetData>
    <row r="1" ht="32" customHeight="1">
      <c r="A1" s="5" t="inlineStr">
        <is>
          <t>Sheet</t>
        </is>
      </c>
      <c r="B1" s="5" t="inlineStr">
        <is>
          <t>Section</t>
        </is>
      </c>
      <c r="C1" s="5" t="inlineStr">
        <is>
          <t>Item</t>
        </is>
      </c>
      <c r="D1" s="5" t="inlineStr">
        <is>
          <t>Description</t>
        </is>
      </c>
      <c r="E1" s="5" t="inlineStr">
        <is>
          <t>Year 0</t>
        </is>
      </c>
      <c r="F1" s="5" t="inlineStr">
        <is>
          <t>Year 1</t>
        </is>
      </c>
      <c r="G1" s="5" t="inlineStr">
        <is>
          <t>Year 2</t>
        </is>
      </c>
      <c r="H1" s="5" t="inlineStr">
        <is>
          <t>Year 3</t>
        </is>
      </c>
      <c r="I1" s="5" t="inlineStr">
        <is>
          <t>Total</t>
        </is>
      </c>
      <c r="J1" s="5" t="inlineStr">
        <is>
          <t>Formula</t>
        </is>
      </c>
      <c r="K1" s="5" t="inlineStr">
        <is>
          <t>Notes</t>
        </is>
      </c>
    </row>
    <row r="2" ht="26" customHeight="1">
      <c r="A2" s="6" t="inlineStr">
        <is>
          <t>Input</t>
        </is>
      </c>
      <c r="B2" s="6" t="inlineStr">
        <is>
          <t>Project Information</t>
        </is>
      </c>
      <c r="C2" s="6" t="inlineStr">
        <is>
          <t>Solution Name</t>
        </is>
      </c>
      <c r="D2" s="6" t="inlineStr">
        <is>
          <t>AWS Disaster Recovery Web Application</t>
        </is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6" t="inlineStr">
        <is>
          <t>Manual Entry</t>
        </is>
      </c>
      <c r="K2" s="6" t="inlineStr">
        <is>
          <t>DR solution name</t>
        </is>
      </c>
    </row>
    <row r="3" ht="26" customHeight="1">
      <c r="A3" s="7" t="inlineStr">
        <is>
          <t>Input</t>
        </is>
      </c>
      <c r="B3" s="7" t="inlineStr">
        <is>
          <t>Project Information</t>
        </is>
      </c>
      <c r="C3" s="7" t="inlineStr">
        <is>
          <t>Client Name</t>
        </is>
      </c>
      <c r="D3" s="7" t="inlineStr">
        <is>
          <t>{CLIENT_NAME}</t>
        </is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7" t="inlineStr">
        <is>
          <t>Manual Entry</t>
        </is>
      </c>
      <c r="K3" s="7" t="inlineStr">
        <is>
          <t>Enter client name</t>
        </is>
      </c>
    </row>
    <row r="4" ht="26" customHeight="1">
      <c r="A4" s="6" t="inlineStr">
        <is>
          <t>Input</t>
        </is>
      </c>
      <c r="B4" s="6" t="inlineStr">
        <is>
          <t>Project Information</t>
        </is>
      </c>
      <c r="C4" s="6" t="inlineStr">
        <is>
          <t>Analysis Date</t>
        </is>
      </c>
      <c r="D4" s="6" t="inlineStr">
        <is>
          <t>{CURRENT_DATE}</t>
        </is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Manual Entry</t>
        </is>
      </c>
      <c r="K4" s="6" t="inlineStr">
        <is>
          <t>Analysis preparation date</t>
        </is>
      </c>
    </row>
    <row r="5" ht="26" customHeight="1">
      <c r="A5" s="7" t="inlineStr">
        <is>
          <t>Input</t>
        </is>
      </c>
      <c r="B5" s="7" t="inlineStr">
        <is>
          <t>Project Information</t>
        </is>
      </c>
      <c r="C5" s="7" t="inlineStr">
        <is>
          <t>Analysis Period</t>
        </is>
      </c>
      <c r="D5" s="7" t="inlineStr">
        <is>
          <t>3 Years</t>
        </is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7" t="inlineStr">
        <is>
          <t>Manual Entry</t>
        </is>
      </c>
      <c r="K5" s="7" t="inlineStr">
        <is>
          <t>ROI calculation timeframe</t>
        </is>
      </c>
    </row>
    <row r="6">
      <c r="A6" s="6" t="inlineStr">
        <is>
          <t>Input</t>
        </is>
      </c>
      <c r="B6" s="6" t="inlineStr">
        <is>
          <t>Project Information</t>
        </is>
      </c>
      <c r="C6" s="6" t="inlineStr">
        <is>
          <t>Discount Rate</t>
        </is>
      </c>
      <c r="D6" s="6" t="inlineStr">
        <is>
          <t>10%</t>
        </is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Manual Entry</t>
        </is>
      </c>
      <c r="K6" s="6" t="inlineStr">
        <is>
          <t>Cost of capital for NPV calculation</t>
        </is>
      </c>
    </row>
    <row r="7">
      <c r="A7" s="7" t="inlineStr">
        <is>
          <t>Input</t>
        </is>
      </c>
      <c r="B7" s="7" t="inlineStr">
        <is>
          <t>Implementation Costs</t>
        </is>
      </c>
      <c r="C7" s="7" t="inlineStr">
        <is>
          <t>DR Infrastructure Setup</t>
        </is>
      </c>
      <c r="D7" s="7" t="inlineStr">
        <is>
          <t>Multi-region AWS infrastructure and replication</t>
        </is>
      </c>
      <c r="E7" s="9" t="n">
        <v>320000</v>
      </c>
      <c r="F7" s="9" t="n">
        <v>0</v>
      </c>
      <c r="G7" s="9" t="n">
        <v>0</v>
      </c>
      <c r="H7" s="9" t="n">
        <v>0</v>
      </c>
      <c r="I7" s="9" t="n">
        <v>320000</v>
      </c>
      <c r="J7" s="10">
        <f>E7</f>
        <v/>
      </c>
      <c r="K7" s="7" t="inlineStr">
        <is>
          <t>Initial DR infrastructure deployment</t>
        </is>
      </c>
    </row>
    <row r="8">
      <c r="A8" s="6" t="inlineStr">
        <is>
          <t>Input</t>
        </is>
      </c>
      <c r="B8" s="6" t="inlineStr">
        <is>
          <t>Implementation Costs</t>
        </is>
      </c>
      <c r="C8" s="6" t="inlineStr">
        <is>
          <t>Professional Services</t>
        </is>
      </c>
      <c r="D8" s="6" t="inlineStr">
        <is>
          <t>DR implementation and configuration</t>
        </is>
      </c>
      <c r="E8" s="8" t="n">
        <v>480000</v>
      </c>
      <c r="F8" s="8" t="n">
        <v>0</v>
      </c>
      <c r="G8" s="8" t="n">
        <v>0</v>
      </c>
      <c r="H8" s="8" t="n">
        <v>0</v>
      </c>
      <c r="I8" s="8" t="n">
        <v>480000</v>
      </c>
      <c r="J8" s="11">
        <f>E8</f>
        <v/>
      </c>
      <c r="K8" s="6" t="inlineStr">
        <is>
          <t>DR architecture and implementation</t>
        </is>
      </c>
    </row>
    <row r="9">
      <c r="A9" s="7" t="inlineStr">
        <is>
          <t>Input</t>
        </is>
      </c>
      <c r="B9" s="7" t="inlineStr">
        <is>
          <t>Implementation Costs</t>
        </is>
      </c>
      <c r="C9" s="7" t="inlineStr">
        <is>
          <t>DR Testing &amp; Validation</t>
        </is>
      </c>
      <c r="D9" s="7" t="inlineStr">
        <is>
          <t>Initial DR testing and optimization</t>
        </is>
      </c>
      <c r="E9" s="9" t="n">
        <v>85000</v>
      </c>
      <c r="F9" s="9" t="n">
        <v>0</v>
      </c>
      <c r="G9" s="9" t="n">
        <v>0</v>
      </c>
      <c r="H9" s="9" t="n">
        <v>0</v>
      </c>
      <c r="I9" s="9" t="n">
        <v>85000</v>
      </c>
      <c r="J9" s="10">
        <f>E9</f>
        <v/>
      </c>
      <c r="K9" s="7" t="inlineStr">
        <is>
          <t>Comprehensive DR testing</t>
        </is>
      </c>
    </row>
    <row r="10">
      <c r="A10" s="6" t="inlineStr">
        <is>
          <t>Input</t>
        </is>
      </c>
      <c r="B10" s="6" t="inlineStr">
        <is>
          <t>Implementation Costs</t>
        </is>
      </c>
      <c r="C10" s="6" t="inlineStr">
        <is>
          <t>Training &amp; Documentation</t>
        </is>
      </c>
      <c r="D10" s="6" t="inlineStr">
        <is>
          <t>DR training and runbook creation</t>
        </is>
      </c>
      <c r="E10" s="8" t="n">
        <v>75000</v>
      </c>
      <c r="F10" s="8" t="n">
        <v>0</v>
      </c>
      <c r="G10" s="8" t="n">
        <v>0</v>
      </c>
      <c r="H10" s="8" t="n">
        <v>0</v>
      </c>
      <c r="I10" s="8" t="n">
        <v>75000</v>
      </c>
      <c r="J10" s="11">
        <f>E10</f>
        <v/>
      </c>
      <c r="K10" s="6" t="inlineStr">
        <is>
          <t>DR operational readiness</t>
        </is>
      </c>
    </row>
    <row r="11">
      <c r="A11" s="7" t="inlineStr">
        <is>
          <t>Input</t>
        </is>
      </c>
      <c r="B11" s="7" t="inlineStr">
        <is>
          <t>Implementation Costs</t>
        </is>
      </c>
      <c r="C11" s="7" t="inlineStr">
        <is>
          <t>Contingency (15%)</t>
        </is>
      </c>
      <c r="D11" s="7" t="inlineStr">
        <is>
          <t>DR project risk buffer</t>
        </is>
      </c>
      <c r="E11" s="9" t="n">
        <v>144000</v>
      </c>
      <c r="F11" s="9" t="n">
        <v>0</v>
      </c>
      <c r="G11" s="9" t="n">
        <v>0</v>
      </c>
      <c r="H11" s="9" t="n">
        <v>0</v>
      </c>
      <c r="I11" s="9" t="n">
        <v>144000</v>
      </c>
      <c r="J11" s="10">
        <f>SUM(E7:E10)*0.15</f>
        <v/>
      </c>
      <c r="K11" s="7" t="inlineStr">
        <is>
          <t>Higher contingency for DR complexity</t>
        </is>
      </c>
    </row>
    <row r="12">
      <c r="A12" s="6" t="inlineStr">
        <is>
          <t>Input</t>
        </is>
      </c>
      <c r="B12" s="6" t="inlineStr">
        <is>
          <t>Ongoing Costs</t>
        </is>
      </c>
      <c r="C12" s="6" t="inlineStr">
        <is>
          <t>DR Infrastructure Maintenance</t>
        </is>
      </c>
      <c r="D12" s="6" t="inlineStr">
        <is>
          <t>Annual DR infrastructure costs</t>
        </is>
      </c>
      <c r="E12" s="8" t="n">
        <v>0</v>
      </c>
      <c r="F12" s="8" t="n">
        <v>180000</v>
      </c>
      <c r="G12" s="8" t="n">
        <v>180000</v>
      </c>
      <c r="H12" s="8" t="n">
        <v>180000</v>
      </c>
      <c r="I12" s="8" t="n">
        <v>540000</v>
      </c>
      <c r="J12" s="11">
        <f>SUM(F12:H12)</f>
        <v/>
      </c>
      <c r="K12" s="6" t="inlineStr">
        <is>
          <t>Multi-region infrastructure costs</t>
        </is>
      </c>
    </row>
    <row r="13">
      <c r="A13" s="7" t="inlineStr">
        <is>
          <t>Input</t>
        </is>
      </c>
      <c r="B13" s="7" t="inlineStr">
        <is>
          <t>Ongoing Costs</t>
        </is>
      </c>
      <c r="C13" s="7" t="inlineStr">
        <is>
          <t>DR Operations &amp; Monitoring</t>
        </is>
      </c>
      <c r="D13" s="7" t="inlineStr">
        <is>
          <t>24/7 DR monitoring and management</t>
        </is>
      </c>
      <c r="E13" s="9" t="n">
        <v>0</v>
      </c>
      <c r="F13" s="9" t="n">
        <v>120000</v>
      </c>
      <c r="G13" s="9" t="n">
        <v>120000</v>
      </c>
      <c r="H13" s="9" t="n">
        <v>120000</v>
      </c>
      <c r="I13" s="9" t="n">
        <v>360000</v>
      </c>
      <c r="J13" s="10">
        <f>SUM(F13:H13)</f>
        <v/>
      </c>
      <c r="K13" s="7" t="inlineStr">
        <is>
          <t>DR operational oversight</t>
        </is>
      </c>
    </row>
    <row r="14">
      <c r="A14" s="6" t="inlineStr">
        <is>
          <t>Input</t>
        </is>
      </c>
      <c r="B14" s="6" t="inlineStr">
        <is>
          <t>Ongoing Costs</t>
        </is>
      </c>
      <c r="C14" s="6" t="inlineStr">
        <is>
          <t>Annual DR Testing</t>
        </is>
      </c>
      <c r="D14" s="6" t="inlineStr">
        <is>
          <t>Quarterly DR tests and validation</t>
        </is>
      </c>
      <c r="E14" s="8" t="n">
        <v>0</v>
      </c>
      <c r="F14" s="8" t="n">
        <v>45000</v>
      </c>
      <c r="G14" s="8" t="n">
        <v>45000</v>
      </c>
      <c r="H14" s="8" t="n">
        <v>45000</v>
      </c>
      <c r="I14" s="8" t="n">
        <v>135000</v>
      </c>
      <c r="J14" s="11">
        <f>SUM(F14:H14)</f>
        <v/>
      </c>
      <c r="K14" s="6" t="inlineStr">
        <is>
          <t>Regular DR testing program</t>
        </is>
      </c>
    </row>
    <row r="15">
      <c r="A15" s="7" t="inlineStr">
        <is>
          <t>Input</t>
        </is>
      </c>
      <c r="B15" s="7" t="inlineStr">
        <is>
          <t>Ongoing Costs</t>
        </is>
      </c>
      <c r="C15" s="7" t="inlineStr">
        <is>
          <t>DR Training &amp; Updates</t>
        </is>
      </c>
      <c r="D15" s="7" t="inlineStr">
        <is>
          <t>Ongoing DR training and updates</t>
        </is>
      </c>
      <c r="E15" s="9" t="n">
        <v>0</v>
      </c>
      <c r="F15" s="9" t="n">
        <v>25000</v>
      </c>
      <c r="G15" s="9" t="n">
        <v>20000</v>
      </c>
      <c r="H15" s="9" t="n">
        <v>15000</v>
      </c>
      <c r="I15" s="9" t="n">
        <v>60000</v>
      </c>
      <c r="J15" s="10">
        <f>SUM(F15:H15)</f>
        <v/>
      </c>
      <c r="K15" s="7" t="inlineStr">
        <is>
          <t>Decreasing training costs</t>
        </is>
      </c>
    </row>
    <row r="16">
      <c r="A16" s="6" t="inlineStr">
        <is>
          <t>Input</t>
        </is>
      </c>
      <c r="B16" s="6" t="inlineStr">
        <is>
          <t>Business Continuity Benefits</t>
        </is>
      </c>
      <c r="C16" s="6" t="inlineStr">
        <is>
          <t>Avoided Downtime Costs</t>
        </is>
      </c>
      <c r="D16" s="6" t="inlineStr">
        <is>
          <t>Prevented revenue loss from outages</t>
        </is>
      </c>
      <c r="E16" s="8" t="n">
        <v>0</v>
      </c>
      <c r="F16" s="8" t="n">
        <v>2400000</v>
      </c>
      <c r="G16" s="8" t="n">
        <v>2400000</v>
      </c>
      <c r="H16" s="8" t="n">
        <v>2400000</v>
      </c>
      <c r="I16" s="8" t="n">
        <v>7200000</v>
      </c>
      <c r="J16" s="11">
        <f>SUM(F16:H16)</f>
        <v/>
      </c>
      <c r="K16" s="6" t="inlineStr">
        <is>
          <t>Based on $100K/hour downtime cost</t>
        </is>
      </c>
    </row>
    <row r="17">
      <c r="A17" s="7" t="inlineStr">
        <is>
          <t>Input</t>
        </is>
      </c>
      <c r="B17" s="7" t="inlineStr">
        <is>
          <t>Business Continuity Benefits</t>
        </is>
      </c>
      <c r="C17" s="7" t="inlineStr">
        <is>
          <t>Customer Retention Value</t>
        </is>
      </c>
      <c r="D17" s="7" t="inlineStr">
        <is>
          <t>Revenue retained through reliability</t>
        </is>
      </c>
      <c r="E17" s="9" t="n">
        <v>0</v>
      </c>
      <c r="F17" s="9" t="n">
        <v>800000</v>
      </c>
      <c r="G17" s="9" t="n">
        <v>800000</v>
      </c>
      <c r="H17" s="9" t="n">
        <v>800000</v>
      </c>
      <c r="I17" s="9" t="n">
        <v>2400000</v>
      </c>
      <c r="J17" s="10">
        <f>SUM(F17:H17)</f>
        <v/>
      </c>
      <c r="K17" s="7" t="inlineStr">
        <is>
          <t>Customer loyalty from reliability</t>
        </is>
      </c>
    </row>
    <row r="18">
      <c r="A18" s="6" t="inlineStr">
        <is>
          <t>Input</t>
        </is>
      </c>
      <c r="B18" s="6" t="inlineStr">
        <is>
          <t>Business Continuity Benefits</t>
        </is>
      </c>
      <c r="C18" s="6" t="inlineStr">
        <is>
          <t>Brand Protection Value</t>
        </is>
      </c>
      <c r="D18" s="6" t="inlineStr">
        <is>
          <t>Protected brand value from outages</t>
        </is>
      </c>
      <c r="E18" s="8" t="n">
        <v>0</v>
      </c>
      <c r="F18" s="8" t="n">
        <v>400000</v>
      </c>
      <c r="G18" s="8" t="n">
        <v>400000</v>
      </c>
      <c r="H18" s="8" t="n">
        <v>400000</v>
      </c>
      <c r="I18" s="8" t="n">
        <v>1200000</v>
      </c>
      <c r="J18" s="11">
        <f>SUM(F18:H18)</f>
        <v/>
      </c>
      <c r="K18" s="6" t="inlineStr">
        <is>
          <t>Reputation damage prevention</t>
        </is>
      </c>
    </row>
    <row r="19">
      <c r="A19" s="7" t="inlineStr">
        <is>
          <t>Input</t>
        </is>
      </c>
      <c r="B19" s="7" t="inlineStr">
        <is>
          <t>Business Continuity Benefits</t>
        </is>
      </c>
      <c r="C19" s="7" t="inlineStr">
        <is>
          <t>Compliance Assurance</t>
        </is>
      </c>
      <c r="D19" s="7" t="inlineStr">
        <is>
          <t>Value from regulatory compliance</t>
        </is>
      </c>
      <c r="E19" s="9" t="n">
        <v>0</v>
      </c>
      <c r="F19" s="9" t="n">
        <v>300000</v>
      </c>
      <c r="G19" s="9" t="n">
        <v>300000</v>
      </c>
      <c r="H19" s="9" t="n">
        <v>300000</v>
      </c>
      <c r="I19" s="9" t="n">
        <v>900000</v>
      </c>
      <c r="J19" s="10">
        <f>SUM(F19:H19)</f>
        <v/>
      </c>
      <c r="K19" s="7" t="inlineStr">
        <is>
          <t>Compliance requirement fulfillment</t>
        </is>
      </c>
    </row>
    <row r="20">
      <c r="A20" s="6" t="inlineStr">
        <is>
          <t>Input</t>
        </is>
      </c>
      <c r="B20" s="6" t="inlineStr">
        <is>
          <t>Operational Benefits</t>
        </is>
      </c>
      <c r="C20" s="6" t="inlineStr">
        <is>
          <t>Insurance Premium Reduction</t>
        </is>
      </c>
      <c r="D20" s="6" t="inlineStr">
        <is>
          <t>Lower insurance costs with DR</t>
        </is>
      </c>
      <c r="E20" s="8" t="n">
        <v>0</v>
      </c>
      <c r="F20" s="8" t="n">
        <v>75000</v>
      </c>
      <c r="G20" s="8" t="n">
        <v>75000</v>
      </c>
      <c r="H20" s="8" t="n">
        <v>75000</v>
      </c>
      <c r="I20" s="8" t="n">
        <v>225000</v>
      </c>
      <c r="J20" s="11">
        <f>SUM(F20:H20)</f>
        <v/>
      </c>
      <c r="K20" s="6" t="inlineStr">
        <is>
          <t>Reduced cyber insurance premiums</t>
        </is>
      </c>
    </row>
    <row r="21">
      <c r="A21" s="7" t="inlineStr">
        <is>
          <t>Input</t>
        </is>
      </c>
      <c r="B21" s="7" t="inlineStr">
        <is>
          <t>Operational Benefits</t>
        </is>
      </c>
      <c r="C21" s="7" t="inlineStr">
        <is>
          <t>Improved Recovery Efficiency</t>
        </is>
      </c>
      <c r="D21" s="7" t="inlineStr">
        <is>
          <t>Faster recovery with automation</t>
        </is>
      </c>
      <c r="E21" s="9" t="n">
        <v>0</v>
      </c>
      <c r="F21" s="9" t="n">
        <v>200000</v>
      </c>
      <c r="G21" s="9" t="n">
        <v>200000</v>
      </c>
      <c r="H21" s="9" t="n">
        <v>200000</v>
      </c>
      <c r="I21" s="9" t="n">
        <v>600000</v>
      </c>
      <c r="J21" s="10">
        <f>SUM(F21:H21)</f>
        <v/>
      </c>
      <c r="K21" s="7" t="inlineStr">
        <is>
          <t>Automated recovery procedures</t>
        </is>
      </c>
    </row>
    <row r="22">
      <c r="A22" s="6" t="inlineStr">
        <is>
          <t>Input</t>
        </is>
      </c>
      <c r="B22" s="6" t="inlineStr">
        <is>
          <t>Operational Benefits</t>
        </is>
      </c>
      <c r="C22" s="6" t="inlineStr">
        <is>
          <t>Reduced Manual Effort</t>
        </is>
      </c>
      <c r="D22" s="6" t="inlineStr">
        <is>
          <t>Less manual DR management</t>
        </is>
      </c>
      <c r="E22" s="8" t="n">
        <v>0</v>
      </c>
      <c r="F22" s="8" t="n">
        <v>150000</v>
      </c>
      <c r="G22" s="8" t="n">
        <v>150000</v>
      </c>
      <c r="H22" s="8" t="n">
        <v>150000</v>
      </c>
      <c r="I22" s="8" t="n">
        <v>450000</v>
      </c>
      <c r="J22" s="11">
        <f>SUM(F22:H22)</f>
        <v/>
      </c>
      <c r="K22" s="6" t="inlineStr">
        <is>
          <t>DR automation benefits</t>
        </is>
      </c>
    </row>
    <row r="23">
      <c r="A23" s="7" t="inlineStr">
        <is>
          <t>Input</t>
        </is>
      </c>
      <c r="B23" s="7" t="inlineStr">
        <is>
          <t>Operational Benefits</t>
        </is>
      </c>
      <c r="C23" s="7" t="inlineStr">
        <is>
          <t>Enhanced Monitoring Value</t>
        </is>
      </c>
      <c r="D23" s="7" t="inlineStr">
        <is>
          <t>Better system visibility and control</t>
        </is>
      </c>
      <c r="E23" s="9" t="n">
        <v>0</v>
      </c>
      <c r="F23" s="9" t="n">
        <v>100000</v>
      </c>
      <c r="G23" s="9" t="n">
        <v>100000</v>
      </c>
      <c r="H23" s="9" t="n">
        <v>100000</v>
      </c>
      <c r="I23" s="9" t="n">
        <v>300000</v>
      </c>
      <c r="J23" s="10">
        <f>SUM(F23:H23)</f>
        <v/>
      </c>
      <c r="K23" s="7" t="inlineStr">
        <is>
          <t>Improved operational insights</t>
        </is>
      </c>
    </row>
    <row r="24">
      <c r="A24" s="6" t="inlineStr">
        <is>
          <t>Input</t>
        </is>
      </c>
      <c r="B24" s="6" t="inlineStr">
        <is>
          <t>Risk Mitigation Benefits</t>
        </is>
      </c>
      <c r="C24" s="6" t="inlineStr">
        <is>
          <t>Cyber Attack Resilience</t>
        </is>
      </c>
      <c r="D24" s="6" t="inlineStr">
        <is>
          <t>Rapid recovery from cyber incidents</t>
        </is>
      </c>
      <c r="E24" s="8" t="n">
        <v>0</v>
      </c>
      <c r="F24" s="8" t="n">
        <v>500000</v>
      </c>
      <c r="G24" s="8" t="n">
        <v>500000</v>
      </c>
      <c r="H24" s="8" t="n">
        <v>500000</v>
      </c>
      <c r="I24" s="8" t="n">
        <v>1500000</v>
      </c>
      <c r="J24" s="11">
        <f>SUM(F24:H24)</f>
        <v/>
      </c>
      <c r="K24" s="6" t="inlineStr">
        <is>
          <t>Cyber resilience value</t>
        </is>
      </c>
    </row>
    <row r="25">
      <c r="A25" s="7" t="inlineStr">
        <is>
          <t>Input</t>
        </is>
      </c>
      <c r="B25" s="7" t="inlineStr">
        <is>
          <t>Risk Mitigation Benefits</t>
        </is>
      </c>
      <c r="C25" s="7" t="inlineStr">
        <is>
          <t>Natural Disaster Protection</t>
        </is>
      </c>
      <c r="D25" s="7" t="inlineStr">
        <is>
          <t>Business continuity during disasters</t>
        </is>
      </c>
      <c r="E25" s="9" t="n">
        <v>0</v>
      </c>
      <c r="F25" s="9" t="n">
        <v>300000</v>
      </c>
      <c r="G25" s="9" t="n">
        <v>300000</v>
      </c>
      <c r="H25" s="9" t="n">
        <v>300000</v>
      </c>
      <c r="I25" s="9" t="n">
        <v>900000</v>
      </c>
      <c r="J25" s="10">
        <f>SUM(F25:H25)</f>
        <v/>
      </c>
      <c r="K25" s="7" t="inlineStr">
        <is>
          <t>Natural disaster protection</t>
        </is>
      </c>
    </row>
    <row r="26">
      <c r="A26" s="6" t="inlineStr">
        <is>
          <t>Input</t>
        </is>
      </c>
      <c r="B26" s="6" t="inlineStr">
        <is>
          <t>Risk Mitigation Benefits</t>
        </is>
      </c>
      <c r="C26" s="6" t="inlineStr">
        <is>
          <t>Data Loss Prevention</t>
        </is>
      </c>
      <c r="D26" s="6" t="inlineStr">
        <is>
          <t>Prevented costs from data loss</t>
        </is>
      </c>
      <c r="E26" s="8" t="n">
        <v>0</v>
      </c>
      <c r="F26" s="8" t="n">
        <v>250000</v>
      </c>
      <c r="G26" s="8" t="n">
        <v>250000</v>
      </c>
      <c r="H26" s="8" t="n">
        <v>250000</v>
      </c>
      <c r="I26" s="8" t="n">
        <v>750000</v>
      </c>
      <c r="J26" s="11">
        <f>SUM(F26:H26)</f>
        <v/>
      </c>
      <c r="K26" s="6" t="inlineStr">
        <is>
          <t>RPO achievement value</t>
        </is>
      </c>
    </row>
    <row r="27">
      <c r="A27" s="7" t="inlineStr">
        <is>
          <t>Calculation</t>
        </is>
      </c>
      <c r="B27" s="7" t="inlineStr">
        <is>
          <t>Cash Flow</t>
        </is>
      </c>
      <c r="C27" s="7" t="inlineStr">
        <is>
          <t>Total Implementation Costs</t>
        </is>
      </c>
      <c r="D27" s="7" t="inlineStr">
        <is>
          <t>One-time DR implementation investment</t>
        </is>
      </c>
      <c r="E27" s="9" t="n">
        <v>1104000</v>
      </c>
      <c r="F27" s="9" t="n">
        <v>0</v>
      </c>
      <c r="G27" s="9" t="n">
        <v>0</v>
      </c>
      <c r="H27" s="9" t="n">
        <v>0</v>
      </c>
      <c r="I27" s="9" t="n">
        <v>1104000</v>
      </c>
      <c r="J27" s="10">
        <f>SUM(E7:E11)</f>
        <v/>
      </c>
      <c r="K27" s="7" t="inlineStr">
        <is>
          <t>Total upfront DR investment</t>
        </is>
      </c>
    </row>
    <row r="28">
      <c r="A28" s="6" t="inlineStr">
        <is>
          <t>Calculation</t>
        </is>
      </c>
      <c r="B28" s="6" t="inlineStr">
        <is>
          <t>Cash Flow</t>
        </is>
      </c>
      <c r="C28" s="6" t="inlineStr">
        <is>
          <t>Total Annual Costs</t>
        </is>
      </c>
      <c r="D28" s="6" t="inlineStr">
        <is>
          <t>Ongoing DR operational costs</t>
        </is>
      </c>
      <c r="E28" s="8" t="n">
        <v>0</v>
      </c>
      <c r="F28" s="8" t="n">
        <v>370000</v>
      </c>
      <c r="G28" s="8" t="n">
        <v>365000</v>
      </c>
      <c r="H28" s="8" t="n">
        <v>360000</v>
      </c>
      <c r="I28" s="8" t="n">
        <v>1095000</v>
      </c>
      <c r="J28" s="11">
        <f>SUM(F12:F15)+SUM(G12:G15)+SUM(H12:H15)</f>
        <v/>
      </c>
      <c r="K28" s="6" t="inlineStr">
        <is>
          <t>Annual DR operating costs</t>
        </is>
      </c>
    </row>
    <row r="29">
      <c r="A29" s="7" t="inlineStr">
        <is>
          <t>Calculation</t>
        </is>
      </c>
      <c r="B29" s="7" t="inlineStr">
        <is>
          <t>Cash Flow</t>
        </is>
      </c>
      <c r="C29" s="7" t="inlineStr">
        <is>
          <t>Total Annual Benefits</t>
        </is>
      </c>
      <c r="D29" s="7" t="inlineStr">
        <is>
          <t>Business continuity and risk benefits</t>
        </is>
      </c>
      <c r="E29" s="9" t="n">
        <v>0</v>
      </c>
      <c r="F29" s="9" t="n">
        <v>5475000</v>
      </c>
      <c r="G29" s="9" t="n">
        <v>5475000</v>
      </c>
      <c r="H29" s="9" t="n">
        <v>5475000</v>
      </c>
      <c r="I29" s="9" t="n">
        <v>16425000</v>
      </c>
      <c r="J29" s="10">
        <f>SUM(F16:F26)+SUM(G16:G26)+SUM(H16:H26)</f>
        <v/>
      </c>
      <c r="K29" s="7" t="inlineStr">
        <is>
          <t>Annual benefit totals</t>
        </is>
      </c>
    </row>
    <row r="30">
      <c r="A30" s="6" t="inlineStr">
        <is>
          <t>Calculation</t>
        </is>
      </c>
      <c r="B30" s="6" t="inlineStr">
        <is>
          <t>Cash Flow</t>
        </is>
      </c>
      <c r="C30" s="6" t="inlineStr">
        <is>
          <t>Net Annual Cash Flow</t>
        </is>
      </c>
      <c r="D30" s="6" t="inlineStr">
        <is>
          <t>Benefits minus costs</t>
        </is>
      </c>
      <c r="E30" s="8" t="n">
        <v>-1104000</v>
      </c>
      <c r="F30" s="8" t="n">
        <v>5105000</v>
      </c>
      <c r="G30" s="8" t="n">
        <v>5110000</v>
      </c>
      <c r="H30" s="8" t="n">
        <v>5115000</v>
      </c>
      <c r="I30" s="8" t="n">
        <v>14226000</v>
      </c>
      <c r="J30" s="11">
        <f>E27-E26, =F28-F27, =G28-G27, =H28-H27</f>
        <v/>
      </c>
      <c r="K30" s="6" t="inlineStr">
        <is>
          <t>Annual net cash flow</t>
        </is>
      </c>
    </row>
    <row r="31">
      <c r="A31" s="7" t="inlineStr">
        <is>
          <t>Calculation</t>
        </is>
      </c>
      <c r="B31" s="7" t="inlineStr">
        <is>
          <t>Cash Flow</t>
        </is>
      </c>
      <c r="C31" s="7" t="inlineStr">
        <is>
          <t>Cumulative Cash Flow</t>
        </is>
      </c>
      <c r="D31" s="7" t="inlineStr">
        <is>
          <t>Running total of cash flows</t>
        </is>
      </c>
      <c r="E31" s="9" t="n">
        <v>-1104000</v>
      </c>
      <c r="F31" s="9" t="n">
        <v>4001000</v>
      </c>
      <c r="G31" s="9" t="n">
        <v>9111000</v>
      </c>
      <c r="H31" s="9" t="n">
        <v>14226000</v>
      </c>
      <c r="I31" s="9" t="n">
        <v/>
      </c>
      <c r="J31" s="10">
        <f>E29, =E29+F29, =F30+G29, =G30+H29</f>
        <v/>
      </c>
      <c r="K31" s="7" t="inlineStr">
        <is>
          <t>Cumulative cash position</t>
        </is>
      </c>
    </row>
    <row r="32">
      <c r="A32" s="6" t="inlineStr">
        <is>
          <t>Calculation</t>
        </is>
      </c>
      <c r="B32" s="6" t="inlineStr">
        <is>
          <t>ROI Metrics</t>
        </is>
      </c>
      <c r="C32" s="6" t="inlineStr">
        <is>
          <t>Total Investment</t>
        </is>
      </c>
      <c r="D32" s="6" t="inlineStr">
        <is>
          <t>Complete DR investment amount</t>
        </is>
      </c>
      <c r="E32" s="8" t="n">
        <v>1104000</v>
      </c>
      <c r="F32" s="8" t="n">
        <v/>
      </c>
      <c r="G32" s="8" t="n">
        <v/>
      </c>
      <c r="H32" s="8" t="n">
        <v/>
      </c>
      <c r="I32" s="8" t="n">
        <v/>
      </c>
      <c r="J32" s="6" t="inlineStr">
        <is>
          <t>Total DR capital invested</t>
        </is>
      </c>
      <c r="K32" s="6" t="n">
        <v/>
      </c>
    </row>
    <row r="33">
      <c r="A33" s="7" t="inlineStr">
        <is>
          <t>Calculation</t>
        </is>
      </c>
      <c r="B33" s="7" t="inlineStr">
        <is>
          <t>ROI Metrics</t>
        </is>
      </c>
      <c r="C33" s="7" t="inlineStr">
        <is>
          <t>Total Benefits</t>
        </is>
      </c>
      <c r="D33" s="7" t="inlineStr">
        <is>
          <t>Complete benefit amount</t>
        </is>
      </c>
      <c r="E33" s="9" t="n">
        <v>16425000</v>
      </c>
      <c r="F33" s="9" t="n">
        <v/>
      </c>
      <c r="G33" s="9" t="n">
        <v/>
      </c>
      <c r="H33" s="9" t="n">
        <v/>
      </c>
      <c r="I33" s="9" t="n">
        <v/>
      </c>
      <c r="J33" s="7" t="inlineStr">
        <is>
          <t>Total DR benefits realized</t>
        </is>
      </c>
      <c r="K33" s="7" t="n">
        <v/>
      </c>
    </row>
    <row r="34">
      <c r="A34" s="6" t="inlineStr">
        <is>
          <t>Calculation</t>
        </is>
      </c>
      <c r="B34" s="6" t="inlineStr">
        <is>
          <t>ROI Metrics</t>
        </is>
      </c>
      <c r="C34" s="6" t="inlineStr">
        <is>
          <t>Net Present Value (NPV)</t>
        </is>
      </c>
      <c r="D34" s="6" t="inlineStr">
        <is>
          <t>NPV at discount rate</t>
        </is>
      </c>
      <c r="E34" s="8" t="n">
        <v>12474521</v>
      </c>
      <c r="F34" s="8" t="n">
        <v/>
      </c>
      <c r="G34" s="8" t="n">
        <v/>
      </c>
      <c r="H34" s="8" t="n">
        <v/>
      </c>
      <c r="I34" s="8" t="n">
        <v/>
      </c>
      <c r="J34" s="6" t="inlineStr">
        <is>
          <t>NPV calculation</t>
        </is>
      </c>
      <c r="K34" s="6" t="n">
        <v/>
      </c>
    </row>
    <row r="35">
      <c r="A35" s="7" t="inlineStr">
        <is>
          <t>Calculation</t>
        </is>
      </c>
      <c r="B35" s="7" t="inlineStr">
        <is>
          <t>ROI Metrics</t>
        </is>
      </c>
      <c r="C35" s="7" t="inlineStr">
        <is>
          <t>Internal Rate of Return (IRR)</t>
        </is>
      </c>
      <c r="D35" s="7" t="inlineStr">
        <is>
          <t>IRR percentage</t>
        </is>
      </c>
      <c r="E35" s="9" t="n">
        <v/>
      </c>
      <c r="F35" s="9" t="n">
        <v/>
      </c>
      <c r="G35" s="9" t="n">
        <v/>
      </c>
      <c r="H35" s="9" t="n">
        <v/>
      </c>
      <c r="I35" s="9" t="n">
        <v/>
      </c>
      <c r="J35" s="7" t="inlineStr">
        <is>
          <t>IRR calculation</t>
        </is>
      </c>
      <c r="K35" s="7" t="n">
        <v/>
      </c>
    </row>
    <row r="36">
      <c r="A36" s="6" t="inlineStr">
        <is>
          <t>Calculation</t>
        </is>
      </c>
      <c r="B36" s="6" t="inlineStr">
        <is>
          <t>ROI Metrics</t>
        </is>
      </c>
      <c r="C36" s="6" t="inlineStr">
        <is>
          <t>Payback Period</t>
        </is>
      </c>
      <c r="D36" s="6" t="inlineStr">
        <is>
          <t>Months to break even</t>
        </is>
      </c>
      <c r="E36" s="8" t="n">
        <v>2.6</v>
      </c>
      <c r="F36" s="8" t="n">
        <v/>
      </c>
      <c r="G36" s="8" t="n">
        <v/>
      </c>
      <c r="H36" s="8" t="n">
        <v/>
      </c>
      <c r="I36" s="8" t="n">
        <v/>
      </c>
      <c r="J36" s="6" t="inlineStr">
        <is>
          <t>Payback in months</t>
        </is>
      </c>
      <c r="K36" s="6" t="n">
        <v/>
      </c>
    </row>
    <row r="37">
      <c r="A37" s="7" t="inlineStr">
        <is>
          <t>Calculation</t>
        </is>
      </c>
      <c r="B37" s="7" t="inlineStr">
        <is>
          <t>ROI Metrics</t>
        </is>
      </c>
      <c r="C37" s="7" t="inlineStr">
        <is>
          <t>Return on Investment (ROI)</t>
        </is>
      </c>
      <c r="D37" s="7" t="inlineStr">
        <is>
          <t>ROI percentage</t>
        </is>
      </c>
      <c r="E37" s="9" t="n">
        <v/>
      </c>
      <c r="F37" s="9" t="n">
        <v/>
      </c>
      <c r="G37" s="9" t="n">
        <v/>
      </c>
      <c r="H37" s="9" t="n">
        <v/>
      </c>
      <c r="I37" s="9" t="n">
        <v/>
      </c>
      <c r="J37" s="7" t="inlineStr">
        <is>
          <t>Total ROI percentage</t>
        </is>
      </c>
      <c r="K37" s="7" t="n">
        <v/>
      </c>
    </row>
    <row r="38">
      <c r="A38" s="6" t="inlineStr">
        <is>
          <t>Summary</t>
        </is>
      </c>
      <c r="B38" s="6" t="inlineStr">
        <is>
          <t>Key Results</t>
        </is>
      </c>
      <c r="C38" s="6" t="inlineStr">
        <is>
          <t>Investment Summary</t>
        </is>
      </c>
      <c r="D38" s="6" t="inlineStr">
        <is>
          <t>Total required DR investment</t>
        </is>
      </c>
      <c r="E38" s="8" t="n">
        <v>1104000</v>
      </c>
      <c r="F38" s="8" t="n">
        <v/>
      </c>
      <c r="G38" s="8" t="n">
        <v/>
      </c>
      <c r="H38" s="8" t="n">
        <v/>
      </c>
      <c r="I38" s="8" t="n">
        <v/>
      </c>
      <c r="J38" s="6" t="inlineStr">
        <is>
          <t>Financial investment needed</t>
        </is>
      </c>
      <c r="K38" s="6" t="n">
        <v/>
      </c>
    </row>
    <row r="39">
      <c r="A39" s="7" t="inlineStr">
        <is>
          <t>Summary</t>
        </is>
      </c>
      <c r="B39" s="7" t="inlineStr">
        <is>
          <t>Key Results</t>
        </is>
      </c>
      <c r="C39" s="7" t="inlineStr">
        <is>
          <t>Benefit Summary</t>
        </is>
      </c>
      <c r="D39" s="7" t="inlineStr">
        <is>
          <t>Total projected DR benefits</t>
        </is>
      </c>
      <c r="E39" s="9" t="n">
        <v>16425000</v>
      </c>
      <c r="F39" s="9" t="n">
        <v/>
      </c>
      <c r="G39" s="9" t="n">
        <v/>
      </c>
      <c r="H39" s="9" t="n">
        <v/>
      </c>
      <c r="I39" s="9" t="n">
        <v/>
      </c>
      <c r="J39" s="7" t="inlineStr">
        <is>
          <t>Total financial benefits</t>
        </is>
      </c>
      <c r="K39" s="7" t="n">
        <v/>
      </c>
    </row>
    <row r="40">
      <c r="A40" s="6" t="inlineStr">
        <is>
          <t>Summary</t>
        </is>
      </c>
      <c r="B40" s="6" t="inlineStr">
        <is>
          <t>Key Results</t>
        </is>
      </c>
      <c r="C40" s="6" t="inlineStr">
        <is>
          <t>Net Benefit</t>
        </is>
      </c>
      <c r="D40" s="6" t="inlineStr">
        <is>
          <t>Total net financial gain</t>
        </is>
      </c>
      <c r="E40" s="8" t="n">
        <v>14226000</v>
      </c>
      <c r="F40" s="8" t="n">
        <v/>
      </c>
      <c r="G40" s="8" t="n">
        <v/>
      </c>
      <c r="H40" s="8" t="n">
        <v/>
      </c>
      <c r="I40" s="8" t="n">
        <v/>
      </c>
      <c r="J40" s="6" t="inlineStr">
        <is>
          <t>Net financial benefit</t>
        </is>
      </c>
      <c r="K40" s="6" t="n">
        <v/>
      </c>
    </row>
    <row r="41">
      <c r="A41" s="7" t="inlineStr">
        <is>
          <t>Summary</t>
        </is>
      </c>
      <c r="B41" s="7" t="inlineStr">
        <is>
          <t>Key Results</t>
        </is>
      </c>
      <c r="C41" s="7" t="inlineStr">
        <is>
          <t>ROI Achievement</t>
        </is>
      </c>
      <c r="D41" s="7" t="inlineStr">
        <is>
          <t>Return on investment percentage</t>
        </is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7" t="inlineStr">
        <is>
          <t>ROI achievement</t>
        </is>
      </c>
      <c r="K41" s="7" t="n">
        <v/>
      </c>
    </row>
    <row r="42">
      <c r="A42" s="6" t="inlineStr">
        <is>
          <t>Summary</t>
        </is>
      </c>
      <c r="B42" s="6" t="inlineStr">
        <is>
          <t>Key Results</t>
        </is>
      </c>
      <c r="C42" s="6" t="inlineStr">
        <is>
          <t>Payback Timeline</t>
        </is>
      </c>
      <c r="D42" s="6" t="inlineStr">
        <is>
          <t>Time to recover investment</t>
        </is>
      </c>
      <c r="E42" s="8" t="n">
        <v/>
      </c>
      <c r="F42" s="8" t="n">
        <v/>
      </c>
      <c r="G42" s="8" t="n">
        <v/>
      </c>
      <c r="H42" s="8" t="n">
        <v/>
      </c>
      <c r="I42" s="8" t="n">
        <v/>
      </c>
      <c r="J42" s="6" t="inlineStr">
        <is>
          <t>Investment recovery time</t>
        </is>
      </c>
      <c r="K42" s="6" t="n">
        <v/>
      </c>
    </row>
    <row r="43">
      <c r="A43" s="7" t="inlineStr">
        <is>
          <t>Summary</t>
        </is>
      </c>
      <c r="B43" s="7" t="inlineStr">
        <is>
          <t>Key Results</t>
        </is>
      </c>
      <c r="C43" s="7" t="inlineStr">
        <is>
          <t>NPV Result</t>
        </is>
      </c>
      <c r="D43" s="7" t="inlineStr">
        <is>
          <t>Net present value of investment</t>
        </is>
      </c>
      <c r="E43" s="9" t="n">
        <v>12474521</v>
      </c>
      <c r="F43" s="9" t="n">
        <v/>
      </c>
      <c r="G43" s="9" t="n">
        <v/>
      </c>
      <c r="H43" s="9" t="n">
        <v/>
      </c>
      <c r="I43" s="9" t="n">
        <v/>
      </c>
      <c r="J43" s="7" t="inlineStr">
        <is>
          <t>NPV at discount rate</t>
        </is>
      </c>
      <c r="K43" s="7" t="n">
        <v/>
      </c>
    </row>
    <row r="44">
      <c r="A44" s="6" t="inlineStr">
        <is>
          <t>Summary</t>
        </is>
      </c>
      <c r="B44" s="6" t="inlineStr">
        <is>
          <t>Recommendation</t>
        </is>
      </c>
      <c r="C44" s="6" t="inlineStr">
        <is>
          <t>Financial Viability</t>
        </is>
      </c>
      <c r="D44" s="6" t="inlineStr">
        <is>
          <t>Investment recommendation</t>
        </is>
      </c>
      <c r="E44" s="8" t="n">
        <v/>
      </c>
      <c r="F44" s="8" t="n">
        <v/>
      </c>
      <c r="G44" s="8" t="n">
        <v/>
      </c>
      <c r="H44" s="8" t="n">
        <v/>
      </c>
      <c r="I44" s="8" t="n">
        <v/>
      </c>
      <c r="J44" s="6" t="inlineStr">
        <is>
          <t>Based on positive NPV</t>
        </is>
      </c>
      <c r="K44" s="6" t="n">
        <v/>
      </c>
    </row>
    <row r="45">
      <c r="A45" s="7" t="inlineStr">
        <is>
          <t>Summary</t>
        </is>
      </c>
      <c r="B45" s="7" t="inlineStr">
        <is>
          <t>Recommendation</t>
        </is>
      </c>
      <c r="C45" s="7" t="inlineStr">
        <is>
          <t>Risk Assessment</t>
        </is>
      </c>
      <c r="D45" s="7" t="inlineStr">
        <is>
          <t>Implementation risk level</t>
        </is>
      </c>
      <c r="E45" s="9" t="n">
        <v/>
      </c>
      <c r="F45" s="9" t="n">
        <v/>
      </c>
      <c r="G45" s="9" t="n">
        <v/>
      </c>
      <c r="H45" s="9" t="n">
        <v/>
      </c>
      <c r="I45" s="9" t="n">
        <v/>
      </c>
      <c r="J45" s="7" t="inlineStr">
        <is>
          <t>DR complexity considerations</t>
        </is>
      </c>
      <c r="K45" s="7" t="n">
        <v/>
      </c>
    </row>
    <row r="46">
      <c r="A46" s="6" t="inlineStr">
        <is>
          <t>Summary</t>
        </is>
      </c>
      <c r="B46" s="6" t="inlineStr">
        <is>
          <t>Recommendation</t>
        </is>
      </c>
      <c r="C46" s="6" t="inlineStr">
        <is>
          <t>Strategic Value</t>
        </is>
      </c>
      <c r="D46" s="6" t="inlineStr">
        <is>
          <t>Strategic importance</t>
        </is>
      </c>
      <c r="E46" s="8" t="n">
        <v/>
      </c>
      <c r="F46" s="8" t="n">
        <v/>
      </c>
      <c r="G46" s="8" t="n">
        <v/>
      </c>
      <c r="H46" s="8" t="n">
        <v/>
      </c>
      <c r="I46" s="8" t="n">
        <v/>
      </c>
      <c r="J46" s="6" t="inlineStr">
        <is>
          <t>Business continuity imperative</t>
        </is>
      </c>
      <c r="K46" s="6" t="n">
        <v/>
      </c>
    </row>
    <row r="47">
      <c r="A47" s="7" t="inlineStr">
        <is>
          <t>Summary</t>
        </is>
      </c>
      <c r="B47" s="7" t="inlineStr">
        <is>
          <t>Recommendation</t>
        </is>
      </c>
      <c r="C47" s="7" t="inlineStr">
        <is>
          <t>Overall Rating</t>
        </is>
      </c>
      <c r="D47" s="7" t="inlineStr">
        <is>
          <t>Final recommendation</t>
        </is>
      </c>
      <c r="E47" s="9" t="n">
        <v/>
      </c>
      <c r="F47" s="9" t="n">
        <v/>
      </c>
      <c r="G47" s="9" t="n">
        <v/>
      </c>
      <c r="H47" s="9" t="n">
        <v/>
      </c>
      <c r="I47" s="9" t="n">
        <v/>
      </c>
      <c r="J47" s="7" t="inlineStr">
        <is>
          <t>Executive recommendation</t>
        </is>
      </c>
      <c r="K47" s="7" t="n">
        <v/>
      </c>
    </row>
    <row r="48">
      <c r="A48" s="6" t="inlineStr">
        <is>
          <t>Assumptions</t>
        </is>
      </c>
      <c r="B48" s="6" t="inlineStr">
        <is>
          <t>Financial</t>
        </is>
      </c>
      <c r="C48" s="6" t="inlineStr">
        <is>
          <t>Discount Rate</t>
        </is>
      </c>
      <c r="D48" s="6" t="inlineStr">
        <is>
          <t>Cost of capital assumption</t>
        </is>
      </c>
      <c r="E48" s="8" t="n">
        <v/>
      </c>
      <c r="F48" s="8" t="n">
        <v/>
      </c>
      <c r="G48" s="8" t="n">
        <v/>
      </c>
      <c r="H48" s="8" t="n">
        <v/>
      </c>
      <c r="I48" s="8" t="n">
        <v/>
      </c>
      <c r="J48" s="6" t="inlineStr">
        <is>
          <t>WACC or hurdle rate</t>
        </is>
      </c>
      <c r="K48" s="6" t="n">
        <v/>
      </c>
    </row>
    <row r="49">
      <c r="A49" s="7" t="inlineStr">
        <is>
          <t>Assumptions</t>
        </is>
      </c>
      <c r="B49" s="7" t="inlineStr">
        <is>
          <t>Financial</t>
        </is>
      </c>
      <c r="C49" s="7" t="inlineStr">
        <is>
          <t>Downtime Cost</t>
        </is>
      </c>
      <c r="D49" s="7" t="inlineStr">
        <is>
          <t>Hourly business impact cost</t>
        </is>
      </c>
      <c r="E49" s="9" t="n">
        <v>100000</v>
      </c>
      <c r="F49" s="9" t="n">
        <v/>
      </c>
      <c r="G49" s="9" t="n">
        <v/>
      </c>
      <c r="H49" s="9" t="n">
        <v/>
      </c>
      <c r="I49" s="9" t="n">
        <v/>
      </c>
      <c r="J49" s="7" t="inlineStr">
        <is>
          <t>Average downtime cost per hour</t>
        </is>
      </c>
      <c r="K49" s="7" t="n">
        <v/>
      </c>
    </row>
    <row r="50">
      <c r="A50" s="6" t="inlineStr">
        <is>
          <t>Assumptions</t>
        </is>
      </c>
      <c r="B50" s="6" t="inlineStr">
        <is>
          <t>Financial</t>
        </is>
      </c>
      <c r="C50" s="6" t="inlineStr">
        <is>
          <t>Annual Outage Hours</t>
        </is>
      </c>
      <c r="D50" s="6" t="inlineStr">
        <is>
          <t>Expected outages without DR</t>
        </is>
      </c>
      <c r="E50" s="8" t="n">
        <v>24</v>
      </c>
      <c r="F50" s="8" t="n">
        <v/>
      </c>
      <c r="G50" s="8" t="n">
        <v/>
      </c>
      <c r="H50" s="8" t="n">
        <v/>
      </c>
      <c r="I50" s="8" t="n">
        <v/>
      </c>
      <c r="J50" s="6" t="inlineStr">
        <is>
          <t>Historical outage frequency</t>
        </is>
      </c>
      <c r="K50" s="6" t="n">
        <v/>
      </c>
    </row>
    <row r="51">
      <c r="A51" s="7" t="inlineStr">
        <is>
          <t>Assumptions</t>
        </is>
      </c>
      <c r="B51" s="7" t="inlineStr">
        <is>
          <t>Operational</t>
        </is>
      </c>
      <c r="C51" s="7" t="inlineStr">
        <is>
          <t>DR Effectiveness</t>
        </is>
      </c>
      <c r="D51" s="7" t="inlineStr">
        <is>
          <t>Outage reduction with DR</t>
        </is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7" t="inlineStr">
        <is>
          <t>DR effectiveness assumption</t>
        </is>
      </c>
      <c r="K51" s="7" t="n">
        <v/>
      </c>
    </row>
    <row r="52">
      <c r="A52" s="6" t="inlineStr">
        <is>
          <t>Assumptions</t>
        </is>
      </c>
      <c r="B52" s="6" t="inlineStr">
        <is>
          <t>Operational</t>
        </is>
      </c>
      <c r="C52" s="6" t="inlineStr">
        <is>
          <t>Recovery Time</t>
        </is>
      </c>
      <c r="D52" s="6" t="inlineStr">
        <is>
          <t>RTO achievement</t>
        </is>
      </c>
      <c r="E52" s="8" t="n">
        <v>1</v>
      </c>
      <c r="F52" s="8" t="n">
        <v/>
      </c>
      <c r="G52" s="8" t="n">
        <v/>
      </c>
      <c r="H52" s="8" t="n">
        <v/>
      </c>
      <c r="I52" s="8" t="n">
        <v/>
      </c>
      <c r="J52" s="6" t="inlineStr">
        <is>
          <t>Target RTO in hours</t>
        </is>
      </c>
      <c r="K52" s="6" t="n">
        <v/>
      </c>
    </row>
    <row r="53">
      <c r="A53" s="7" t="inlineStr">
        <is>
          <t>Assumptions</t>
        </is>
      </c>
      <c r="B53" s="7" t="inlineStr">
        <is>
          <t>Operational</t>
        </is>
      </c>
      <c r="C53" s="7" t="inlineStr">
        <is>
          <t>Data Loss Prevention</t>
        </is>
      </c>
      <c r="D53" s="7" t="inlineStr">
        <is>
          <t>RPO achievement</t>
        </is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7" t="inlineStr">
        <is>
          <t>Data loss prevention rate</t>
        </is>
      </c>
      <c r="K53" s="7" t="n">
        <v/>
      </c>
    </row>
    <row r="54">
      <c r="A54" s="6" t="inlineStr">
        <is>
          <t>Assumptions</t>
        </is>
      </c>
      <c r="B54" s="6" t="inlineStr">
        <is>
          <t>Market</t>
        </is>
      </c>
      <c r="C54" s="6" t="inlineStr">
        <is>
          <t>Business Growth</t>
        </is>
      </c>
      <c r="D54" s="6" t="inlineStr">
        <is>
          <t>Annual business growth rate</t>
        </is>
      </c>
      <c r="E54" s="8" t="n">
        <v/>
      </c>
      <c r="F54" s="8" t="n">
        <v/>
      </c>
      <c r="G54" s="8" t="n">
        <v/>
      </c>
      <c r="H54" s="8" t="n">
        <v/>
      </c>
      <c r="I54" s="8" t="n">
        <v/>
      </c>
      <c r="J54" s="6" t="inlineStr">
        <is>
          <t>Business expansion factor</t>
        </is>
      </c>
      <c r="K54" s="6" t="n">
        <v/>
      </c>
    </row>
    <row r="55">
      <c r="A55" s="7" t="inlineStr">
        <is>
          <t>Assumptions</t>
        </is>
      </c>
      <c r="B55" s="7" t="inlineStr">
        <is>
          <t>Market</t>
        </is>
      </c>
      <c r="C55" s="7" t="inlineStr">
        <is>
          <t>Risk Landscape</t>
        </is>
      </c>
      <c r="D55" s="7" t="inlineStr">
        <is>
          <t>Threat environment</t>
        </is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7" t="inlineStr">
        <is>
          <t>Cybersecurity threat trends</t>
        </is>
      </c>
      <c r="K55" s="7" t="n">
        <v/>
      </c>
    </row>
    <row r="56">
      <c r="A56" s="6" t="inlineStr">
        <is>
          <t>Assumptions</t>
        </is>
      </c>
      <c r="B56" s="6" t="inlineStr">
        <is>
          <t>Technology</t>
        </is>
      </c>
      <c r="C56" s="6" t="inlineStr">
        <is>
          <t>DR Maturity</t>
        </is>
      </c>
      <c r="D56" s="6" t="inlineStr">
        <is>
          <t>Solution effectiveness improvement</t>
        </is>
      </c>
      <c r="E56" s="8" t="n">
        <v/>
      </c>
      <c r="F56" s="8" t="n">
        <v/>
      </c>
      <c r="G56" s="8" t="n">
        <v/>
      </c>
      <c r="H56" s="8" t="n">
        <v/>
      </c>
      <c r="I56" s="8" t="n">
        <v/>
      </c>
      <c r="J56" s="6" t="inlineStr">
        <is>
          <t>DR solution maturity</t>
        </is>
      </c>
      <c r="K56" s="6" t="n">
        <v/>
      </c>
    </row>
    <row r="57">
      <c r="A57" s="7" t="inlineStr">
        <is>
          <t>Risk</t>
        </is>
      </c>
      <c r="B57" s="7" t="inlineStr">
        <is>
          <t>Implementation</t>
        </is>
      </c>
      <c r="C57" s="7" t="inlineStr">
        <is>
          <t>Technology Risk</t>
        </is>
      </c>
      <c r="D57" s="7" t="inlineStr">
        <is>
          <t>DR platform implementation risk</t>
        </is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7" t="inlineStr">
        <is>
          <t>Multi-region complexity</t>
        </is>
      </c>
      <c r="K57" s="7" t="n">
        <v/>
      </c>
    </row>
    <row r="58">
      <c r="A58" s="6" t="inlineStr">
        <is>
          <t>Risk</t>
        </is>
      </c>
      <c r="B58" s="6" t="inlineStr">
        <is>
          <t>Implementation</t>
        </is>
      </c>
      <c r="C58" s="6" t="inlineStr">
        <is>
          <t>Resource Risk</t>
        </is>
      </c>
      <c r="D58" s="6" t="inlineStr">
        <is>
          <t>DR skill availability risk</t>
        </is>
      </c>
      <c r="E58" s="8" t="n">
        <v/>
      </c>
      <c r="F58" s="8" t="n">
        <v/>
      </c>
      <c r="G58" s="8" t="n">
        <v/>
      </c>
      <c r="H58" s="8" t="n">
        <v/>
      </c>
      <c r="I58" s="8" t="n">
        <v/>
      </c>
      <c r="J58" s="6" t="inlineStr">
        <is>
          <t>Specialized DR expertise</t>
        </is>
      </c>
      <c r="K58" s="6" t="n">
        <v/>
      </c>
    </row>
    <row r="59">
      <c r="A59" s="7" t="inlineStr">
        <is>
          <t>Risk</t>
        </is>
      </c>
      <c r="B59" s="7" t="inlineStr">
        <is>
          <t>Implementation</t>
        </is>
      </c>
      <c r="C59" s="7" t="inlineStr">
        <is>
          <t>Timeline Risk</t>
        </is>
      </c>
      <c r="D59" s="7" t="inlineStr">
        <is>
          <t>DR deployment schedule risk</t>
        </is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7" t="inlineStr">
        <is>
          <t>Testing and validation time</t>
        </is>
      </c>
      <c r="K59" s="7" t="n">
        <v/>
      </c>
    </row>
    <row r="60">
      <c r="A60" s="6" t="inlineStr">
        <is>
          <t>Risk</t>
        </is>
      </c>
      <c r="B60" s="6" t="inlineStr">
        <is>
          <t>Operational</t>
        </is>
      </c>
      <c r="C60" s="6" t="inlineStr">
        <is>
          <t>Testing Risk</t>
        </is>
      </c>
      <c r="D60" s="6" t="inlineStr">
        <is>
          <t>DR testing effectiveness risk</t>
        </is>
      </c>
      <c r="E60" s="8" t="n">
        <v/>
      </c>
      <c r="F60" s="8" t="n">
        <v/>
      </c>
      <c r="G60" s="8" t="n">
        <v/>
      </c>
      <c r="H60" s="8" t="n">
        <v/>
      </c>
      <c r="I60" s="8" t="n">
        <v/>
      </c>
      <c r="J60" s="6" t="inlineStr">
        <is>
          <t>Proven testing methodologies</t>
        </is>
      </c>
      <c r="K60" s="6" t="n">
        <v/>
      </c>
    </row>
    <row r="61">
      <c r="A61" s="7" t="inlineStr">
        <is>
          <t>Risk</t>
        </is>
      </c>
      <c r="B61" s="7" t="inlineStr">
        <is>
          <t>Operational</t>
        </is>
      </c>
      <c r="C61" s="7" t="inlineStr">
        <is>
          <t>Performance Risk</t>
        </is>
      </c>
      <c r="D61" s="7" t="inlineStr">
        <is>
          <t>DR system performance risk</t>
        </is>
      </c>
      <c r="E61" s="9" t="n">
        <v/>
      </c>
      <c r="F61" s="9" t="n">
        <v/>
      </c>
      <c r="G61" s="9" t="n">
        <v/>
      </c>
      <c r="H61" s="9" t="n">
        <v/>
      </c>
      <c r="I61" s="9" t="n">
        <v/>
      </c>
      <c r="J61" s="7" t="inlineStr">
        <is>
          <t>AWS proven DR capabilities</t>
        </is>
      </c>
      <c r="K61" s="7" t="n">
        <v/>
      </c>
    </row>
    <row r="62">
      <c r="A62" s="6" t="inlineStr">
        <is>
          <t>Risk</t>
        </is>
      </c>
      <c r="B62" s="6" t="inlineStr">
        <is>
          <t>Financial</t>
        </is>
      </c>
      <c r="C62" s="6" t="inlineStr">
        <is>
          <t>Cost Overrun</t>
        </is>
      </c>
      <c r="D62" s="6" t="inlineStr">
        <is>
          <t>DR budget variance risk</t>
        </is>
      </c>
      <c r="E62" s="8" t="n">
        <v/>
      </c>
      <c r="F62" s="8" t="n">
        <v/>
      </c>
      <c r="G62" s="8" t="n">
        <v/>
      </c>
      <c r="H62" s="8" t="n">
        <v/>
      </c>
      <c r="I62" s="8" t="n">
        <v/>
      </c>
      <c r="J62" s="6" t="inlineStr">
        <is>
          <t>Multi-region cost variables</t>
        </is>
      </c>
      <c r="K62" s="6" t="n">
        <v/>
      </c>
    </row>
    <row r="63">
      <c r="A63" s="7" t="inlineStr">
        <is>
          <t>Risk</t>
        </is>
      </c>
      <c r="B63" s="7" t="inlineStr">
        <is>
          <t>Financial</t>
        </is>
      </c>
      <c r="C63" s="7" t="inlineStr">
        <is>
          <t>Benefit Realization</t>
        </is>
      </c>
      <c r="D63" s="7" t="inlineStr">
        <is>
          <t>DR benefit achievement risk</t>
        </is>
      </c>
      <c r="E63" s="9" t="n">
        <v/>
      </c>
      <c r="F63" s="9" t="n">
        <v/>
      </c>
      <c r="G63" s="9" t="n">
        <v/>
      </c>
      <c r="H63" s="9" t="n">
        <v/>
      </c>
      <c r="I63" s="9" t="n">
        <v/>
      </c>
      <c r="J63" s="7" t="inlineStr">
        <is>
          <t>Measurable business continuity</t>
        </is>
      </c>
      <c r="K63" s="7" t="n">
        <v/>
      </c>
    </row>
    <row r="64">
      <c r="A64" s="6" t="inlineStr">
        <is>
          <t>Risk</t>
        </is>
      </c>
      <c r="B64" s="6" t="inlineStr">
        <is>
          <t>Market</t>
        </is>
      </c>
      <c r="C64" s="6" t="inlineStr">
        <is>
          <t>Threat Evolution</t>
        </is>
      </c>
      <c r="D64" s="6" t="inlineStr">
        <is>
          <t>Evolving cyber threat risk</t>
        </is>
      </c>
      <c r="E64" s="8" t="n">
        <v/>
      </c>
      <c r="F64" s="8" t="n">
        <v/>
      </c>
      <c r="G64" s="8" t="n">
        <v/>
      </c>
      <c r="H64" s="8" t="n">
        <v/>
      </c>
      <c r="I64" s="8" t="n">
        <v/>
      </c>
      <c r="J64" s="6" t="inlineStr">
        <is>
          <t>Increasing attack sophistication</t>
        </is>
      </c>
      <c r="K64" s="6" t="n">
        <v/>
      </c>
    </row>
    <row r="65">
      <c r="A65" s="7" t="inlineStr">
        <is>
          <t>Sensitivity</t>
        </is>
      </c>
      <c r="B65" s="7" t="inlineStr">
        <is>
          <t>Scenarios</t>
        </is>
      </c>
      <c r="C65" s="7" t="inlineStr">
        <is>
          <t>Conservative Case</t>
        </is>
      </c>
      <c r="D65" s="7" t="inlineStr">
        <is>
          <t>Reduced benefits (70%)</t>
        </is>
      </c>
      <c r="E65" s="9" t="n">
        <v>11497500</v>
      </c>
      <c r="F65" s="9" t="n">
        <v/>
      </c>
      <c r="G65" s="9" t="n">
        <v/>
      </c>
      <c r="H65" s="9" t="n">
        <v/>
      </c>
      <c r="I65" s="9" t="n">
        <v/>
      </c>
      <c r="J65" s="7" t="inlineStr">
        <is>
          <t>Conservative benefit estimate</t>
        </is>
      </c>
      <c r="K65" s="7" t="n">
        <v/>
      </c>
    </row>
    <row r="66">
      <c r="A66" s="6" t="inlineStr">
        <is>
          <t>Sensitivity</t>
        </is>
      </c>
      <c r="B66" s="6" t="inlineStr">
        <is>
          <t>Scenarios</t>
        </is>
      </c>
      <c r="C66" s="6" t="inlineStr">
        <is>
          <t>Optimistic Case</t>
        </is>
      </c>
      <c r="D66" s="6" t="inlineStr">
        <is>
          <t>Increased benefits (130%)</t>
        </is>
      </c>
      <c r="E66" s="8" t="n">
        <v>21352500</v>
      </c>
      <c r="F66" s="8" t="n">
        <v/>
      </c>
      <c r="G66" s="8" t="n">
        <v/>
      </c>
      <c r="H66" s="8" t="n">
        <v/>
      </c>
      <c r="I66" s="8" t="n">
        <v/>
      </c>
      <c r="J66" s="6" t="inlineStr">
        <is>
          <t>Optimistic benefit estimate</t>
        </is>
      </c>
      <c r="K66" s="6" t="n">
        <v/>
      </c>
    </row>
    <row r="67">
      <c r="A67" s="7" t="inlineStr">
        <is>
          <t>Sensitivity</t>
        </is>
      </c>
      <c r="B67" s="7" t="inlineStr">
        <is>
          <t>Scenarios</t>
        </is>
      </c>
      <c r="C67" s="7" t="inlineStr">
        <is>
          <t>Worst Case</t>
        </is>
      </c>
      <c r="D67" s="7" t="inlineStr">
        <is>
          <t>Reduced benefits (50%)</t>
        </is>
      </c>
      <c r="E67" s="9" t="n">
        <v>8212500</v>
      </c>
      <c r="F67" s="9" t="n">
        <v/>
      </c>
      <c r="G67" s="9" t="n">
        <v/>
      </c>
      <c r="H67" s="9" t="n">
        <v/>
      </c>
      <c r="I67" s="9" t="n">
        <v/>
      </c>
      <c r="J67" s="7" t="inlineStr">
        <is>
          <t>Worst-case benefit estimate</t>
        </is>
      </c>
      <c r="K67" s="7" t="n">
        <v/>
      </c>
    </row>
    <row r="68">
      <c r="A68" s="6" t="inlineStr">
        <is>
          <t>Sensitivity</t>
        </is>
      </c>
      <c r="B68" s="6" t="inlineStr">
        <is>
          <t>Impact</t>
        </is>
      </c>
      <c r="C68" s="6" t="inlineStr">
        <is>
          <t>Conservative ROI</t>
        </is>
      </c>
      <c r="D68" s="6" t="inlineStr">
        <is>
          <t>ROI in conservative scenario</t>
        </is>
      </c>
      <c r="E68" s="8" t="n">
        <v/>
      </c>
      <c r="F68" s="8" t="n">
        <v/>
      </c>
      <c r="G68" s="8" t="n">
        <v/>
      </c>
      <c r="H68" s="8" t="n">
        <v/>
      </c>
      <c r="I68" s="8" t="n">
        <v/>
      </c>
      <c r="J68" s="6" t="inlineStr">
        <is>
          <t>Conservative ROI</t>
        </is>
      </c>
      <c r="K68" s="6" t="n">
        <v/>
      </c>
    </row>
    <row r="69">
      <c r="A69" s="7" t="inlineStr">
        <is>
          <t>Sensitivity</t>
        </is>
      </c>
      <c r="B69" s="7" t="inlineStr">
        <is>
          <t>Impact</t>
        </is>
      </c>
      <c r="C69" s="7" t="inlineStr">
        <is>
          <t>Optimistic ROI</t>
        </is>
      </c>
      <c r="D69" s="7" t="inlineStr">
        <is>
          <t>ROI in optimistic scenario</t>
        </is>
      </c>
      <c r="E69" s="9" t="n">
        <v/>
      </c>
      <c r="F69" s="9" t="n">
        <v/>
      </c>
      <c r="G69" s="9" t="n">
        <v/>
      </c>
      <c r="H69" s="9" t="n">
        <v/>
      </c>
      <c r="I69" s="9" t="n">
        <v/>
      </c>
      <c r="J69" s="7" t="inlineStr">
        <is>
          <t>Optimistic ROI</t>
        </is>
      </c>
      <c r="K69" s="7" t="n">
        <v/>
      </c>
    </row>
    <row r="70">
      <c r="A70" s="6" t="inlineStr">
        <is>
          <t>Sensitivity</t>
        </is>
      </c>
      <c r="B70" s="6" t="inlineStr">
        <is>
          <t>Impact</t>
        </is>
      </c>
      <c r="C70" s="6" t="inlineStr">
        <is>
          <t>Worst Case ROI</t>
        </is>
      </c>
      <c r="D70" s="6" t="inlineStr">
        <is>
          <t>ROI in worst-case scenario</t>
        </is>
      </c>
      <c r="E70" s="8" t="n">
        <v/>
      </c>
      <c r="F70" s="8" t="n">
        <v/>
      </c>
      <c r="G70" s="8" t="n">
        <v/>
      </c>
      <c r="H70" s="8" t="n">
        <v/>
      </c>
      <c r="I70" s="8" t="n">
        <v/>
      </c>
      <c r="J70" s="6" t="inlineStr">
        <is>
          <t>Worst-case ROI</t>
        </is>
      </c>
      <c r="K70" s="6" t="n">
        <v/>
      </c>
    </row>
  </sheetData>
  <autoFilter ref="A1:K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2025-11-13T06:08:58Z</dcterms:modified>
</cp:coreProperties>
</file>