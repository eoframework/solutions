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'LOE'!$A$2:$K$30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right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right" vertical="center" wrapTex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Cloud - Disaster Recovery Web Application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25" customWidth="1" min="4" max="4"/>
    <col width="25" customWidth="1" min="5" max="5"/>
    <col width="30" customWidth="1" min="6" max="6"/>
    <col width="40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Application Tiers</t>
        </is>
      </c>
      <c r="C3" s="39" t="inlineStr">
        <is>
          <t>3-tier web application</t>
        </is>
      </c>
      <c r="D3" s="40" t="inlineStr">
        <is>
          <t>3-tier web application</t>
        </is>
      </c>
      <c r="E3" s="40" t="inlineStr">
        <is>
          <t>5-7 tier microservices</t>
        </is>
      </c>
      <c r="F3" s="40" t="inlineStr">
        <is>
          <t>10+ tier distributed system</t>
        </is>
      </c>
      <c r="G3" s="40" t="inlineStr">
        <is>
          <t>Application architecture for DR</t>
        </is>
      </c>
      <c r="H3" s="40" t="inlineStr"/>
    </row>
    <row r="4" ht="26" customHeight="1">
      <c r="A4" s="41" t="inlineStr">
        <is>
          <t>Solution Scope</t>
        </is>
      </c>
      <c r="B4" s="42" t="inlineStr">
        <is>
          <t>RTO/RPO Requirements</t>
        </is>
      </c>
      <c r="C4" s="39" t="inlineStr">
        <is>
          <t>RTO 4 hours RPO 1 hour</t>
        </is>
      </c>
      <c r="D4" s="43" t="inlineStr">
        <is>
          <t>RTO 4-8 hours RPO 1-4 hours</t>
        </is>
      </c>
      <c r="E4" s="43" t="inlineStr">
        <is>
          <t>RTO 1-4 hours RPO 15-60 min</t>
        </is>
      </c>
      <c r="F4" s="43" t="inlineStr">
        <is>
          <t>RTO &lt;1 hour RPO &lt;15 min</t>
        </is>
      </c>
      <c r="G4" s="43" t="inlineStr">
        <is>
          <t>Recovery time and point objectives</t>
        </is>
      </c>
      <c r="H4" s="43" t="inlineStr"/>
    </row>
    <row r="5" ht="26" customHeight="1">
      <c r="A5" s="37" t="inlineStr">
        <is>
          <t>Integration</t>
        </is>
      </c>
      <c r="B5" s="38" t="inlineStr">
        <is>
          <t>Database Replication</t>
        </is>
      </c>
      <c r="C5" s="39" t="inlineStr">
        <is>
          <t>Aurora Global Database</t>
        </is>
      </c>
      <c r="D5" s="40" t="inlineStr">
        <is>
          <t>Single database replication</t>
        </is>
      </c>
      <c r="E5" s="40" t="inlineStr">
        <is>
          <t>Multi-database sync</t>
        </is>
      </c>
      <c r="F5" s="40" t="inlineStr">
        <is>
          <t>Cross-region active-active</t>
        </is>
      </c>
      <c r="G5" s="40" t="inlineStr">
        <is>
          <t>Database DR strategy</t>
        </is>
      </c>
      <c r="H5" s="40" t="inlineStr"/>
    </row>
    <row r="6" ht="26" customHeight="1">
      <c r="A6" s="41" t="inlineStr">
        <is>
          <t>Integration</t>
        </is>
      </c>
      <c r="B6" s="42" t="inlineStr">
        <is>
          <t>Data Sources</t>
        </is>
      </c>
      <c r="C6" s="39" t="inlineStr">
        <is>
          <t>Primary app database + S3</t>
        </is>
      </c>
      <c r="D6" s="43" t="inlineStr">
        <is>
          <t>2-3 data sources</t>
        </is>
      </c>
      <c r="E6" s="43" t="inlineStr">
        <is>
          <t>4-6 data sources</t>
        </is>
      </c>
      <c r="F6" s="43" t="inlineStr">
        <is>
          <t>8+ data sources</t>
        </is>
      </c>
      <c r="G6" s="43" t="inlineStr">
        <is>
          <t>Data sources to protect</t>
        </is>
      </c>
      <c r="H6" s="43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200 concurrent users</t>
        </is>
      </c>
      <c r="D7" s="40" t="inlineStr">
        <is>
          <t>50-200 users</t>
        </is>
      </c>
      <c r="E7" s="40" t="inlineStr">
        <is>
          <t>200-1000 users</t>
        </is>
      </c>
      <c r="F7" s="40" t="inlineStr">
        <is>
          <t>1000+ concurrent users</t>
        </is>
      </c>
      <c r="G7" s="40" t="inlineStr">
        <is>
          <t>Application user capacity</t>
        </is>
      </c>
      <c r="H7" s="40" t="inlineStr"/>
    </row>
    <row r="8" ht="26" customHeight="1">
      <c r="A8" s="41" t="inlineStr">
        <is>
          <t>User Base</t>
        </is>
      </c>
      <c r="B8" s="42" t="inlineStr">
        <is>
          <t>User Roles</t>
        </is>
      </c>
      <c r="C8" s="39" t="inlineStr">
        <is>
          <t>3 roles (end-user admin ops)</t>
        </is>
      </c>
      <c r="D8" s="43" t="inlineStr">
        <is>
          <t>2-3 standard roles</t>
        </is>
      </c>
      <c r="E8" s="43" t="inlineStr">
        <is>
          <t>4-6 roles</t>
        </is>
      </c>
      <c r="F8" s="43" t="inlineStr">
        <is>
          <t>8+ roles with failover access</t>
        </is>
      </c>
      <c r="G8" s="43" t="inlineStr">
        <is>
          <t>Application roles and DR permissions</t>
        </is>
      </c>
      <c r="H8" s="43" t="inlineStr"/>
    </row>
    <row r="9" ht="26" customHeight="1">
      <c r="A9" s="37" t="inlineStr">
        <is>
          <t>Data Volume</t>
        </is>
      </c>
      <c r="B9" s="38" t="inlineStr">
        <is>
          <t>Database Size</t>
        </is>
      </c>
      <c r="C9" s="39" t="inlineStr">
        <is>
          <t>50 GB</t>
        </is>
      </c>
      <c r="D9" s="40" t="inlineStr">
        <is>
          <t>50-100 GB</t>
        </is>
      </c>
      <c r="E9" s="40" t="inlineStr">
        <is>
          <t>100 GB - 500 GB</t>
        </is>
      </c>
      <c r="F9" s="40" t="inlineStr">
        <is>
          <t>500 GB+</t>
        </is>
      </c>
      <c r="G9" s="40" t="inlineStr">
        <is>
          <t>Database replication volume</t>
        </is>
      </c>
      <c r="H9" s="40" t="inlineStr"/>
    </row>
    <row r="10" ht="26" customHeight="1">
      <c r="A10" s="41" t="inlineStr">
        <is>
          <t>Data Volume</t>
        </is>
      </c>
      <c r="B10" s="42" t="inlineStr">
        <is>
          <t>Backup Retention</t>
        </is>
      </c>
      <c r="C10" s="39" t="inlineStr">
        <is>
          <t>30 days retention</t>
        </is>
      </c>
      <c r="D10" s="43" t="inlineStr">
        <is>
          <t>7-30 days</t>
        </is>
      </c>
      <c r="E10" s="43" t="inlineStr">
        <is>
          <t>30-90 days</t>
        </is>
      </c>
      <c r="F10" s="43" t="inlineStr">
        <is>
          <t>90+ days with compliance</t>
        </is>
      </c>
      <c r="G10" s="43" t="inlineStr">
        <is>
          <t>Backup retention policy</t>
        </is>
      </c>
      <c r="H10" s="43" t="inlineStr"/>
    </row>
    <row r="11" ht="26" customHeight="1">
      <c r="A11" s="37" t="inlineStr">
        <is>
          <t>Technical Environment</t>
        </is>
      </c>
      <c r="B11" s="38" t="inlineStr">
        <is>
          <t>Primary AWS Region</t>
        </is>
      </c>
      <c r="C11" s="39" t="inlineStr">
        <is>
          <t>us-east-1</t>
        </is>
      </c>
      <c r="D11" s="40" t="inlineStr">
        <is>
          <t>Single region primary</t>
        </is>
      </c>
      <c r="E11" s="40" t="inlineStr">
        <is>
          <t>Multi-AZ primary</t>
        </is>
      </c>
      <c r="F11" s="40" t="inlineStr">
        <is>
          <t>Multi-region active</t>
        </is>
      </c>
      <c r="G11" s="40" t="inlineStr">
        <is>
          <t>Production region</t>
        </is>
      </c>
      <c r="H11" s="40" t="inlineStr"/>
    </row>
    <row r="12" ht="26" customHeight="1">
      <c r="A12" s="41" t="inlineStr">
        <is>
          <t>Technical Environment</t>
        </is>
      </c>
      <c r="B12" s="42" t="inlineStr">
        <is>
          <t>DR AWS Region</t>
        </is>
      </c>
      <c r="C12" s="39" t="inlineStr">
        <is>
          <t>us-west-2</t>
        </is>
      </c>
      <c r="D12" s="43" t="inlineStr">
        <is>
          <t>Single DR region</t>
        </is>
      </c>
      <c r="E12" s="43" t="inlineStr">
        <is>
          <t>Warm standby region</t>
        </is>
      </c>
      <c r="F12" s="43" t="inlineStr">
        <is>
          <t>Hot standby multi-region</t>
        </is>
      </c>
      <c r="G12" s="43" t="inlineStr">
        <is>
          <t>Disaster recovery region</t>
        </is>
      </c>
      <c r="H12" s="43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Pilot Light DR</t>
        </is>
      </c>
      <c r="D13" s="40" t="inlineStr">
        <is>
          <t>Basic pilot light</t>
        </is>
      </c>
      <c r="E13" s="40" t="inlineStr">
        <is>
          <t>Warm standby</t>
        </is>
      </c>
      <c r="F13" s="40" t="inlineStr">
        <is>
          <t>Hot standby/Active-Active</t>
        </is>
      </c>
      <c r="G13" s="40" t="inlineStr">
        <is>
          <t>DR architecture pattern</t>
        </is>
      </c>
      <c r="H13" s="40" t="inlineStr"/>
    </row>
    <row r="14" ht="26" customHeight="1">
      <c r="A14" s="41" t="inlineStr">
        <is>
          <t>Security &amp; Compliance</t>
        </is>
      </c>
      <c r="B14" s="42" t="inlineStr">
        <is>
          <t>Security Requirements</t>
        </is>
      </c>
      <c r="C14" s="39" t="inlineStr">
        <is>
          <t>Encryption at rest/transit IAM</t>
        </is>
      </c>
      <c r="D14" s="43" t="inlineStr">
        <is>
          <t>Basic encryption</t>
        </is>
      </c>
      <c r="E14" s="43" t="inlineStr">
        <is>
          <t>Industry standard (SOC2)</t>
        </is>
      </c>
      <c r="F14" s="43" t="inlineStr">
        <is>
          <t>Advanced multi-region security</t>
        </is>
      </c>
      <c r="G14" s="43" t="inlineStr">
        <is>
          <t>DR security controls</t>
        </is>
      </c>
      <c r="H14" s="43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 Type II</t>
        </is>
      </c>
      <c r="D15" s="40" t="inlineStr">
        <is>
          <t>1-2 basic standards</t>
        </is>
      </c>
      <c r="E15" s="40" t="inlineStr">
        <is>
          <t>2-3 industry standards</t>
        </is>
      </c>
      <c r="F15" s="40" t="inlineStr">
        <is>
          <t>Multiple complex frameworks</t>
        </is>
      </c>
      <c r="G15" s="40" t="inlineStr">
        <is>
          <t>DR compliance requirements</t>
        </is>
      </c>
      <c r="H15" s="40" t="inlineStr"/>
    </row>
    <row r="16" ht="26" customHeight="1">
      <c r="A16" s="41" t="inlineStr">
        <is>
          <t>Performance</t>
        </is>
      </c>
      <c r="B16" s="42" t="inlineStr">
        <is>
          <t>Failover Requirements</t>
        </is>
      </c>
      <c r="C16" s="39" t="inlineStr">
        <is>
          <t>Automated failover &lt;15 min</t>
        </is>
      </c>
      <c r="D16" s="43" t="inlineStr">
        <is>
          <t>Manual failover</t>
        </is>
      </c>
      <c r="E16" s="43" t="inlineStr">
        <is>
          <t>Automated failover</t>
        </is>
      </c>
      <c r="F16" s="43" t="inlineStr">
        <is>
          <t>Zero-downtime failover</t>
        </is>
      </c>
      <c r="G16" s="43" t="inlineStr">
        <is>
          <t>Failover automation level</t>
        </is>
      </c>
      <c r="H16" s="43" t="inlineStr"/>
    </row>
    <row r="17" ht="26" customHeight="1">
      <c r="A17" s="37" t="inlineStr">
        <is>
          <t>Performance</t>
        </is>
      </c>
      <c r="B17" s="38" t="inlineStr">
        <is>
          <t>Recovery Testing</t>
        </is>
      </c>
      <c r="C17" s="39" t="inlineStr">
        <is>
          <t>Quarterly DR drills</t>
        </is>
      </c>
      <c r="D17" s="40" t="inlineStr">
        <is>
          <t>Annual DR testing</t>
        </is>
      </c>
      <c r="E17" s="40" t="inlineStr">
        <is>
          <t>Quarterly DR testing</t>
        </is>
      </c>
      <c r="F17" s="40" t="inlineStr">
        <is>
          <t>Monthly DR drills</t>
        </is>
      </c>
      <c r="G17" s="40" t="inlineStr">
        <is>
          <t>DR testing frequency</t>
        </is>
      </c>
      <c r="H17" s="40" t="inlineStr"/>
    </row>
    <row r="18" ht="26" customHeight="1">
      <c r="A18" s="41" t="inlineStr">
        <is>
          <t>Environment</t>
        </is>
      </c>
      <c r="B18" s="42" t="inlineStr">
        <is>
          <t>Deployment Environments</t>
        </is>
      </c>
      <c r="C18" s="39" t="inlineStr">
        <is>
          <t>3 environments (dev staging prod)</t>
        </is>
      </c>
      <c r="D18" s="43" t="inlineStr">
        <is>
          <t>2 environments</t>
        </is>
      </c>
      <c r="E18" s="43" t="inlineStr">
        <is>
          <t>3 environments</t>
        </is>
      </c>
      <c r="F18" s="43" t="inlineStr">
        <is>
          <t>4+ environments with DR</t>
        </is>
      </c>
      <c r="G18" s="43" t="inlineStr">
        <is>
          <t>Environment DR coverage</t>
        </is>
      </c>
      <c r="H18" s="43" t="inlineStr"/>
    </row>
    <row r="19" ht="26" customHeight="1">
      <c r="A19" s="37" t="inlineStr"/>
      <c r="B19" s="38" t="inlineStr"/>
      <c r="C19" s="39" t="inlineStr"/>
      <c r="D19" s="40" t="inlineStr"/>
      <c r="E19" s="40" t="inlineStr"/>
      <c r="F19" s="40" t="inlineStr"/>
      <c r="G19" s="40" t="inlineStr"/>
      <c r="H19" s="40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150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40" t="inlineStr">
        <is>
          <t>DISCOVERY_MX</t>
        </is>
      </c>
      <c r="C3" s="44" t="n">
        <v>1</v>
      </c>
      <c r="D3" s="40" t="inlineStr">
        <is>
          <t>All Discovery phase tasks</t>
        </is>
      </c>
      <c r="E3" s="40" t="inlineStr"/>
    </row>
    <row r="4" ht="26" customHeight="1">
      <c r="A4" s="41" t="inlineStr">
        <is>
          <t>Planning</t>
        </is>
      </c>
      <c r="B4" s="43" t="inlineStr">
        <is>
          <t>PLANNING_MX</t>
        </is>
      </c>
      <c r="C4" s="45" t="n">
        <v>1</v>
      </c>
      <c r="D4" s="43" t="inlineStr">
        <is>
          <t>All Planning phase tasks</t>
        </is>
      </c>
      <c r="E4" s="43" t="inlineStr"/>
    </row>
    <row r="5" ht="26" customHeight="1">
      <c r="A5" s="37" t="inlineStr">
        <is>
          <t>Development</t>
        </is>
      </c>
      <c r="B5" s="40" t="inlineStr">
        <is>
          <t>DEVELOPMENT_MX</t>
        </is>
      </c>
      <c r="C5" s="44" t="n">
        <v>1</v>
      </c>
      <c r="D5" s="40" t="inlineStr">
        <is>
          <t>All Development phase tasks</t>
        </is>
      </c>
      <c r="E5" s="40" t="inlineStr"/>
    </row>
    <row r="6" ht="26" customHeight="1">
      <c r="A6" s="41" t="inlineStr">
        <is>
          <t>Testing</t>
        </is>
      </c>
      <c r="B6" s="43" t="inlineStr">
        <is>
          <t>TESTING_MX</t>
        </is>
      </c>
      <c r="C6" s="45" t="n">
        <v>1</v>
      </c>
      <c r="D6" s="43" t="inlineStr">
        <is>
          <t>All Testing phase tasks</t>
        </is>
      </c>
      <c r="E6" s="43" t="inlineStr"/>
    </row>
    <row r="7" ht="26" customHeight="1">
      <c r="A7" s="37" t="inlineStr">
        <is>
          <t>Deployment</t>
        </is>
      </c>
      <c r="B7" s="40" t="inlineStr">
        <is>
          <t>DEPLOYMENT_MX</t>
        </is>
      </c>
      <c r="C7" s="44" t="n">
        <v>1</v>
      </c>
      <c r="D7" s="40" t="inlineStr">
        <is>
          <t>All Deployment phase tasks</t>
        </is>
      </c>
      <c r="E7" s="40" t="inlineStr"/>
    </row>
    <row r="8" ht="26" customHeight="1">
      <c r="A8" s="41" t="inlineStr">
        <is>
          <t>Training</t>
        </is>
      </c>
      <c r="B8" s="43" t="inlineStr">
        <is>
          <t>TRAINING_MX</t>
        </is>
      </c>
      <c r="C8" s="45" t="n">
        <v>1</v>
      </c>
      <c r="D8" s="43" t="inlineStr">
        <is>
          <t>All Training phase tasks</t>
        </is>
      </c>
      <c r="E8" s="43" t="inlineStr"/>
    </row>
    <row r="9" ht="26" customHeight="1">
      <c r="A9" s="37" t="inlineStr">
        <is>
          <t>Closeout</t>
        </is>
      </c>
      <c r="B9" s="40" t="inlineStr">
        <is>
          <t>CLOSEOUT_MX</t>
        </is>
      </c>
      <c r="C9" s="44" t="n">
        <v>1</v>
      </c>
      <c r="D9" s="40" t="inlineStr">
        <is>
          <t>All Closeout phase tasks</t>
        </is>
      </c>
      <c r="E9" s="40" t="inlineStr"/>
    </row>
    <row r="10" ht="26" customHeight="1">
      <c r="A10" s="41" t="inlineStr">
        <is>
          <t>Management</t>
        </is>
      </c>
      <c r="B10" s="43" t="inlineStr">
        <is>
          <t>MANAGEMENT_MX</t>
        </is>
      </c>
      <c r="C10" s="45" t="n">
        <v>1.5</v>
      </c>
      <c r="D10" s="43" t="inlineStr">
        <is>
          <t>Project Management overhead</t>
        </is>
      </c>
      <c r="E10" s="43" t="inlineStr"/>
    </row>
    <row r="11" ht="26" customHeight="1">
      <c r="A11" s="37" t="inlineStr">
        <is>
          <t>Leadership</t>
        </is>
      </c>
      <c r="B11" s="40" t="inlineStr">
        <is>
          <t>LEADERSHIP_MX</t>
        </is>
      </c>
      <c r="C11" s="44" t="n">
        <v>1.5</v>
      </c>
      <c r="D11" s="40" t="inlineStr">
        <is>
          <t>Quarterback/Technical Leadership overhead</t>
        </is>
      </c>
      <c r="E11" s="40" t="inlineStr"/>
    </row>
    <row r="12" ht="26" customHeight="1">
      <c r="A12" s="41" t="inlineStr"/>
      <c r="B12" s="43" t="inlineStr"/>
      <c r="C12" s="46" t="inlineStr"/>
      <c r="D12" s="43" t="inlineStr"/>
      <c r="E12" s="43" t="inlineStr"/>
    </row>
    <row r="14" ht="20" customHeight="1">
      <c r="A14" s="47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  <col width="12" customWidth="1" min="5" max="5"/>
    <col width="12" customWidth="1" min="6" max="6"/>
    <col width="12" customWidth="1" min="7" max="7"/>
    <col width="10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8" t="inlineStr">
        <is>
          <t>Discovery</t>
        </is>
      </c>
      <c r="B3" s="49" t="inlineStr">
        <is>
          <t>Cloud Requirements Gathering</t>
        </is>
      </c>
      <c r="C3" s="49" t="inlineStr">
        <is>
          <t>Conduct stakeholder interviews for cloud migration/infrastructure</t>
        </is>
      </c>
      <c r="D3" s="49" t="inlineStr">
        <is>
          <t>EO Engineer</t>
        </is>
      </c>
      <c r="E3" s="50" t="n">
        <v>40</v>
      </c>
      <c r="F3" s="51">
        <f>'Estimate Settings'!$C$21</f>
        <v/>
      </c>
      <c r="G3" s="51">
        <f>$E3*$F3</f>
        <v/>
      </c>
      <c r="H3" s="52" t="n">
        <v>150</v>
      </c>
      <c r="I3" s="51">
        <f>TEXT($G3*$H3,"$#,##0")</f>
        <v/>
      </c>
      <c r="J3" s="49" t="inlineStr"/>
      <c r="K3" s="49" t="inlineStr">
        <is>
          <t>Focus on scalability performance and business objectives</t>
        </is>
      </c>
    </row>
    <row r="4" ht="26" customHeight="1">
      <c r="A4" s="53" t="inlineStr">
        <is>
          <t>Discovery</t>
        </is>
      </c>
      <c r="B4" s="54" t="inlineStr">
        <is>
          <t>Infrastructure Assessment</t>
        </is>
      </c>
      <c r="C4" s="54" t="inlineStr">
        <is>
          <t>Analyze current infrastructure workloads and dependencies</t>
        </is>
      </c>
      <c r="D4" s="54" t="inlineStr">
        <is>
          <t>EO Engineer</t>
        </is>
      </c>
      <c r="E4" s="55" t="n">
        <v>32</v>
      </c>
      <c r="F4" s="56">
        <f>'Estimate Settings'!$C$21</f>
        <v/>
      </c>
      <c r="G4" s="56">
        <f>$E4*$F4</f>
        <v/>
      </c>
      <c r="H4" s="57" t="n">
        <v>200</v>
      </c>
      <c r="I4" s="56">
        <f>TEXT($G4*$H4,"$#,##0")</f>
        <v/>
      </c>
      <c r="J4" s="54" t="inlineStr"/>
      <c r="K4" s="54" t="inlineStr">
        <is>
          <t>Include application dependencies and performance baselines</t>
        </is>
      </c>
    </row>
    <row r="5" ht="26" customHeight="1">
      <c r="A5" s="48" t="inlineStr">
        <is>
          <t>Discovery</t>
        </is>
      </c>
      <c r="B5" s="49" t="inlineStr">
        <is>
          <t>AWS Services Assessment</t>
        </is>
      </c>
      <c r="C5" s="49" t="inlineStr">
        <is>
          <t>Evaluate target AWS services and architecture patterns</t>
        </is>
      </c>
      <c r="D5" s="49" t="inlineStr">
        <is>
          <t>EO Engineer</t>
        </is>
      </c>
      <c r="E5" s="50" t="n">
        <v>24</v>
      </c>
      <c r="F5" s="51">
        <f>'Estimate Settings'!$C$21</f>
        <v/>
      </c>
      <c r="G5" s="51">
        <f>$E5*$F5</f>
        <v/>
      </c>
      <c r="H5" s="52" t="n">
        <v>200</v>
      </c>
      <c r="I5" s="51">
        <f>TEXT($G5*$H5,"$#,##0")</f>
        <v/>
      </c>
      <c r="J5" s="49" t="inlineStr"/>
      <c r="K5" s="49" t="inlineStr">
        <is>
          <t>Focus on cost optimization and best practices</t>
        </is>
      </c>
    </row>
    <row r="6" ht="26" customHeight="1">
      <c r="A6" s="53" t="inlineStr">
        <is>
          <t>Discovery</t>
        </is>
      </c>
      <c r="B6" s="54" t="inlineStr">
        <is>
          <t>Compliance Review</t>
        </is>
      </c>
      <c r="C6" s="54" t="inlineStr">
        <is>
          <t>Assess security governance and compliance requirements</t>
        </is>
      </c>
      <c r="D6" s="54" t="inlineStr">
        <is>
          <t>EO Engineer</t>
        </is>
      </c>
      <c r="E6" s="55" t="n">
        <v>16</v>
      </c>
      <c r="F6" s="56">
        <f>'Estimate Settings'!$C$21</f>
        <v/>
      </c>
      <c r="G6" s="56">
        <f>$E6*$F6</f>
        <v/>
      </c>
      <c r="H6" s="57" t="n">
        <v>175</v>
      </c>
      <c r="I6" s="56">
        <f>TEXT($G6*$H6,"$#,##0")</f>
        <v/>
      </c>
      <c r="J6" s="54" t="inlineStr"/>
      <c r="K6" s="54" t="inlineStr">
        <is>
          <t>Include industry regulations and data residency</t>
        </is>
      </c>
    </row>
    <row r="7" ht="26" customHeight="1">
      <c r="A7" s="48" t="inlineStr">
        <is>
          <t>Planning</t>
        </is>
      </c>
      <c r="B7" s="49" t="inlineStr">
        <is>
          <t>AWS Architecture Design</t>
        </is>
      </c>
      <c r="C7" s="49" t="inlineStr">
        <is>
          <t>Design AWS cloud architecture and migration strategy</t>
        </is>
      </c>
      <c r="D7" s="49" t="inlineStr">
        <is>
          <t>EO Engineer</t>
        </is>
      </c>
      <c r="E7" s="50" t="n">
        <v>48</v>
      </c>
      <c r="F7" s="51">
        <f>'Estimate Settings'!$C$22</f>
        <v/>
      </c>
      <c r="G7" s="51">
        <f>$E7*$F7</f>
        <v/>
      </c>
      <c r="H7" s="52" t="n">
        <v>200</v>
      </c>
      <c r="I7" s="51">
        <f>TEXT($G7*$H7,"$#,##0")</f>
        <v/>
      </c>
      <c r="J7" s="49" t="inlineStr"/>
      <c r="K7" s="49" t="inlineStr">
        <is>
          <t>Include multi-AZ design and disaster recovery</t>
        </is>
      </c>
    </row>
    <row r="8" ht="26" customHeight="1">
      <c r="A8" s="53" t="inlineStr">
        <is>
          <t>Planning</t>
        </is>
      </c>
      <c r="B8" s="54" t="inlineStr">
        <is>
          <t>Migration Strategy</t>
        </is>
      </c>
      <c r="C8" s="54" t="inlineStr">
        <is>
          <t>Develop detailed migration approach and timeline</t>
        </is>
      </c>
      <c r="D8" s="54" t="inlineStr">
        <is>
          <t>EO Engineer</t>
        </is>
      </c>
      <c r="E8" s="55" t="n">
        <v>32</v>
      </c>
      <c r="F8" s="56">
        <f>'Estimate Settings'!$C$22</f>
        <v/>
      </c>
      <c r="G8" s="56">
        <f>$E8*$F8</f>
        <v/>
      </c>
      <c r="H8" s="57" t="n">
        <v>180</v>
      </c>
      <c r="I8" s="56">
        <f>TEXT($G8*$H8,"$#,##0")</f>
        <v/>
      </c>
      <c r="J8" s="54" t="inlineStr"/>
      <c r="K8" s="54" t="inlineStr">
        <is>
          <t>Include risk assessment and rollback procedures</t>
        </is>
      </c>
    </row>
    <row r="9" ht="26" customHeight="1">
      <c r="A9" s="48" t="inlineStr">
        <is>
          <t>Planning</t>
        </is>
      </c>
      <c r="B9" s="49" t="inlineStr">
        <is>
          <t>Security Architecture</t>
        </is>
      </c>
      <c r="C9" s="49" t="inlineStr">
        <is>
          <t>Design AWS security controls and governance framework</t>
        </is>
      </c>
      <c r="D9" s="49" t="inlineStr">
        <is>
          <t>EO Engineer</t>
        </is>
      </c>
      <c r="E9" s="50" t="n">
        <v>24</v>
      </c>
      <c r="F9" s="51">
        <f>'Estimate Settings'!$C$22</f>
        <v/>
      </c>
      <c r="G9" s="51">
        <f>$E9*$F9</f>
        <v/>
      </c>
      <c r="H9" s="52" t="n">
        <v>175</v>
      </c>
      <c r="I9" s="51">
        <f>TEXT($G9*$H9,"$#,##0")</f>
        <v/>
      </c>
      <c r="J9" s="49" t="inlineStr"/>
      <c r="K9" s="49" t="inlineStr">
        <is>
          <t>Include IAM networking and data protection</t>
        </is>
      </c>
    </row>
    <row r="10" ht="26" customHeight="1">
      <c r="A10" s="53" t="inlineStr">
        <is>
          <t>Planning</t>
        </is>
      </c>
      <c r="B10" s="54" t="inlineStr">
        <is>
          <t>Project Planning</t>
        </is>
      </c>
      <c r="C10" s="54" t="inlineStr">
        <is>
          <t>Develop cloud implementation timeline and resource allocation</t>
        </is>
      </c>
      <c r="D10" s="54" t="inlineStr">
        <is>
          <t>EO Engineer</t>
        </is>
      </c>
      <c r="E10" s="55" t="n">
        <v>24</v>
      </c>
      <c r="F10" s="56">
        <f>'Estimate Settings'!$C$22</f>
        <v/>
      </c>
      <c r="G10" s="56">
        <f>$E10*$F10</f>
        <v/>
      </c>
      <c r="H10" s="57" t="n">
        <v>140</v>
      </c>
      <c r="I10" s="56">
        <f>TEXT($G10*$H10,"$#,##0")</f>
        <v/>
      </c>
      <c r="J10" s="54" t="inlineStr"/>
      <c r="K10" s="54" t="inlineStr">
        <is>
          <t>Coordinate with infrastructure and security teams</t>
        </is>
      </c>
    </row>
    <row r="11" ht="26" customHeight="1">
      <c r="A11" s="48" t="inlineStr">
        <is>
          <t>Development</t>
        </is>
      </c>
      <c r="B11" s="49" t="inlineStr">
        <is>
          <t>AWS Infrastructure Provisioning</t>
        </is>
      </c>
      <c r="C11" s="49" t="inlineStr">
        <is>
          <t>Provision AWS services networking and foundational infrastructure</t>
        </is>
      </c>
      <c r="D11" s="49" t="inlineStr">
        <is>
          <t>EO Engineer</t>
        </is>
      </c>
      <c r="E11" s="50" t="n">
        <v>60</v>
      </c>
      <c r="F11" s="51">
        <f>'Estimate Settings'!$C$23</f>
        <v/>
      </c>
      <c r="G11" s="51">
        <f>$E11*$F11</f>
        <v/>
      </c>
      <c r="H11" s="52" t="n">
        <v>160</v>
      </c>
      <c r="I11" s="51">
        <f>TEXT($G11*$H11,"$#,##0")</f>
        <v/>
      </c>
      <c r="J11" s="49" t="inlineStr"/>
      <c r="K11" s="49" t="inlineStr">
        <is>
          <t>Include VPC subnets security groups and routing</t>
        </is>
      </c>
    </row>
    <row r="12" ht="26" customHeight="1">
      <c r="A12" s="53" t="inlineStr">
        <is>
          <t>Development</t>
        </is>
      </c>
      <c r="B12" s="54" t="inlineStr">
        <is>
          <t>Application Migration</t>
        </is>
      </c>
      <c r="C12" s="54" t="inlineStr">
        <is>
          <t>Migrate applications and workloads to AWS</t>
        </is>
      </c>
      <c r="D12" s="54" t="inlineStr">
        <is>
          <t>EO Engineer</t>
        </is>
      </c>
      <c r="E12" s="55" t="n">
        <v>80</v>
      </c>
      <c r="F12" s="56">
        <f>'Estimate Settings'!$C$23</f>
        <v/>
      </c>
      <c r="G12" s="56">
        <f>$E12*$F12</f>
        <v/>
      </c>
      <c r="H12" s="57" t="n">
        <v>130</v>
      </c>
      <c r="I12" s="56">
        <f>TEXT($G12*$H12,"$#,##0")</f>
        <v/>
      </c>
      <c r="J12" s="54" t="inlineStr"/>
      <c r="K12" s="54" t="inlineStr">
        <is>
          <t>Include application optimization and testing</t>
        </is>
      </c>
    </row>
    <row r="13" ht="26" customHeight="1">
      <c r="A13" s="48" t="inlineStr">
        <is>
          <t>Development</t>
        </is>
      </c>
      <c r="B13" s="49" t="inlineStr">
        <is>
          <t>Data Migration</t>
        </is>
      </c>
      <c r="C13" s="49" t="inlineStr">
        <is>
          <t>Migrate databases and data stores to AWS</t>
        </is>
      </c>
      <c r="D13" s="49" t="inlineStr">
        <is>
          <t>EO Engineer</t>
        </is>
      </c>
      <c r="E13" s="50" t="n">
        <v>48</v>
      </c>
      <c r="F13" s="51">
        <f>'Estimate Settings'!$C$23</f>
        <v/>
      </c>
      <c r="G13" s="51">
        <f>$E13*$F13</f>
        <v/>
      </c>
      <c r="H13" s="52" t="n">
        <v>145</v>
      </c>
      <c r="I13" s="51">
        <f>TEXT($G13*$H13,"$#,##0")</f>
        <v/>
      </c>
      <c r="J13" s="49" t="inlineStr"/>
      <c r="K13" s="49" t="inlineStr">
        <is>
          <t>Include data validation backup and recovery testing</t>
        </is>
      </c>
    </row>
    <row r="14" ht="26" customHeight="1">
      <c r="A14" s="53" t="inlineStr">
        <is>
          <t>Development</t>
        </is>
      </c>
      <c r="B14" s="54" t="inlineStr">
        <is>
          <t>Monitoring and Operations</t>
        </is>
      </c>
      <c r="C14" s="54" t="inlineStr">
        <is>
          <t>Implement AWS monitoring logging and operational tools</t>
        </is>
      </c>
      <c r="D14" s="54" t="inlineStr">
        <is>
          <t>EO Engineer</t>
        </is>
      </c>
      <c r="E14" s="55" t="n">
        <v>40</v>
      </c>
      <c r="F14" s="56">
        <f>'Estimate Settings'!$C$23</f>
        <v/>
      </c>
      <c r="G14" s="56">
        <f>$E14*$F14</f>
        <v/>
      </c>
      <c r="H14" s="57" t="n">
        <v>140</v>
      </c>
      <c r="I14" s="56">
        <f>TEXT($G14*$H14,"$#,##0")</f>
        <v/>
      </c>
      <c r="J14" s="54" t="inlineStr"/>
      <c r="K14" s="54" t="inlineStr">
        <is>
          <t>Include CloudWatch X-Ray and operational dashboards</t>
        </is>
      </c>
    </row>
    <row r="15" ht="26" customHeight="1">
      <c r="A15" s="48" t="inlineStr">
        <is>
          <t>Development</t>
        </is>
      </c>
      <c r="B15" s="49" t="inlineStr">
        <is>
          <t>Automation and IaC</t>
        </is>
      </c>
      <c r="C15" s="49" t="inlineStr">
        <is>
          <t>Develop infrastructure automation using CloudFormation/CDK</t>
        </is>
      </c>
      <c r="D15" s="49" t="inlineStr">
        <is>
          <t>EO Engineer</t>
        </is>
      </c>
      <c r="E15" s="50" t="n">
        <v>32</v>
      </c>
      <c r="F15" s="51">
        <f>'Estimate Settings'!$C$23</f>
        <v/>
      </c>
      <c r="G15" s="51">
        <f>$E15*$F15</f>
        <v/>
      </c>
      <c r="H15" s="52" t="n">
        <v>125</v>
      </c>
      <c r="I15" s="51">
        <f>TEXT($G15*$H15,"$#,##0")</f>
        <v/>
      </c>
      <c r="J15" s="49" t="inlineStr"/>
      <c r="K15" s="49" t="inlineStr">
        <is>
          <t>Include CI/CD pipeline integration</t>
        </is>
      </c>
    </row>
    <row r="16" ht="26" customHeight="1">
      <c r="A16" s="53" t="inlineStr">
        <is>
          <t>Testing</t>
        </is>
      </c>
      <c r="B16" s="54" t="inlineStr">
        <is>
          <t>Unit Testing</t>
        </is>
      </c>
      <c r="C16" s="54" t="inlineStr">
        <is>
          <t>Develop automated tests for all solution components</t>
        </is>
      </c>
      <c r="D16" s="54" t="inlineStr">
        <is>
          <t>EO Engineer</t>
        </is>
      </c>
      <c r="E16" s="55" t="n">
        <v>32</v>
      </c>
      <c r="F16" s="56">
        <f>'Estimate Settings'!$C$24</f>
        <v/>
      </c>
      <c r="G16" s="56">
        <f>$E16*$F16</f>
        <v/>
      </c>
      <c r="H16" s="57" t="n">
        <v>120</v>
      </c>
      <c r="I16" s="56">
        <f>TEXT($G16*$H16,"$#,##0")</f>
        <v/>
      </c>
      <c r="J16" s="54" t="inlineStr"/>
      <c r="K16" s="54" t="inlineStr">
        <is>
          <t>Include technology-specific testing frameworks</t>
        </is>
      </c>
    </row>
    <row r="17" ht="26" customHeight="1">
      <c r="A17" s="48" t="inlineStr">
        <is>
          <t>Testing</t>
        </is>
      </c>
      <c r="B17" s="49" t="inlineStr">
        <is>
          <t>Integration Testing</t>
        </is>
      </c>
      <c r="C17" s="49" t="inlineStr">
        <is>
          <t>Test system integrations data flows and external dependencies</t>
        </is>
      </c>
      <c r="D17" s="49" t="inlineStr">
        <is>
          <t>EO Engineer</t>
        </is>
      </c>
      <c r="E17" s="50" t="n">
        <v>40</v>
      </c>
      <c r="F17" s="51">
        <f>'Estimate Settings'!$C$24</f>
        <v/>
      </c>
      <c r="G17" s="51">
        <f>$E17*$F17</f>
        <v/>
      </c>
      <c r="H17" s="52" t="n">
        <v>120</v>
      </c>
      <c r="I17" s="51">
        <f>TEXT($G17*$H17,"$#,##0")</f>
        <v/>
      </c>
      <c r="J17" s="49" t="inlineStr"/>
      <c r="K17" s="49" t="inlineStr">
        <is>
          <t>Include end-to-end workflow validation</t>
        </is>
      </c>
    </row>
    <row r="18" ht="26" customHeight="1">
      <c r="A18" s="53" t="inlineStr">
        <is>
          <t>Testing</t>
        </is>
      </c>
      <c r="B18" s="54" t="inlineStr">
        <is>
          <t>Performance Testing</t>
        </is>
      </c>
      <c r="C18" s="54" t="inlineStr">
        <is>
          <t>Conduct load performance and scalability testing</t>
        </is>
      </c>
      <c r="D18" s="54" t="inlineStr">
        <is>
          <t>EO Engineer</t>
        </is>
      </c>
      <c r="E18" s="55" t="n">
        <v>24</v>
      </c>
      <c r="F18" s="56">
        <f>'Estimate Settings'!$C$24</f>
        <v/>
      </c>
      <c r="G18" s="56">
        <f>$E18*$F18</f>
        <v/>
      </c>
      <c r="H18" s="57" t="n">
        <v>140</v>
      </c>
      <c r="I18" s="56">
        <f>TEXT($G18*$H18,"$#,##0")</f>
        <v/>
      </c>
      <c r="J18" s="54" t="inlineStr"/>
      <c r="K18" s="54" t="inlineStr">
        <is>
          <t>Include production-like environment and stress testing</t>
        </is>
      </c>
    </row>
    <row r="19" ht="26" customHeight="1">
      <c r="A19" s="48" t="inlineStr">
        <is>
          <t>Testing</t>
        </is>
      </c>
      <c r="B19" s="49" t="inlineStr">
        <is>
          <t>Security Testing</t>
        </is>
      </c>
      <c r="C19" s="49" t="inlineStr">
        <is>
          <t>Perform security assessments penetration testing and compliance validation</t>
        </is>
      </c>
      <c r="D19" s="49" t="inlineStr">
        <is>
          <t>EO Engineer</t>
        </is>
      </c>
      <c r="E19" s="50" t="n">
        <v>16</v>
      </c>
      <c r="F19" s="51">
        <f>'Estimate Settings'!$C$24</f>
        <v/>
      </c>
      <c r="G19" s="51">
        <f>$E19*$F19</f>
        <v/>
      </c>
      <c r="H19" s="52" t="n">
        <v>175</v>
      </c>
      <c r="I19" s="51">
        <f>TEXT($G19*$H19,"$#,##0")</f>
        <v/>
      </c>
      <c r="J19" s="49" t="inlineStr"/>
      <c r="K19" s="49" t="inlineStr">
        <is>
          <t>Include vulnerability scanning and compliance checks</t>
        </is>
      </c>
    </row>
    <row r="20" ht="26" customHeight="1">
      <c r="A20" s="53" t="inlineStr">
        <is>
          <t>Testing</t>
        </is>
      </c>
      <c r="B20" s="54" t="inlineStr">
        <is>
          <t>User Acceptance Testing</t>
        </is>
      </c>
      <c r="C20" s="54" t="inlineStr">
        <is>
          <t>Coordinate UAT with business users and stakeholders</t>
        </is>
      </c>
      <c r="D20" s="54" t="inlineStr">
        <is>
          <t>EO Engineer</t>
        </is>
      </c>
      <c r="E20" s="55" t="n">
        <v>32</v>
      </c>
      <c r="F20" s="56">
        <f>'Estimate Settings'!$C$24</f>
        <v/>
      </c>
      <c r="G20" s="56">
        <f>$E20*$F20</f>
        <v/>
      </c>
      <c r="H20" s="57" t="n">
        <v>150</v>
      </c>
      <c r="I20" s="56">
        <f>TEXT($G20*$H20,"$#,##0")</f>
        <v/>
      </c>
      <c r="J20" s="54" t="inlineStr"/>
      <c r="K20" s="54" t="inlineStr">
        <is>
          <t>Include training feedback collection and sign-off</t>
        </is>
      </c>
    </row>
    <row r="21" ht="26" customHeight="1">
      <c r="A21" s="48" t="inlineStr">
        <is>
          <t>Deployment</t>
        </is>
      </c>
      <c r="B21" s="49" t="inlineStr">
        <is>
          <t>Production Deployment</t>
        </is>
      </c>
      <c r="C21" s="49" t="inlineStr">
        <is>
          <t>Deploy solution to production environment with monitoring</t>
        </is>
      </c>
      <c r="D21" s="49" t="inlineStr">
        <is>
          <t>EO Engineer</t>
        </is>
      </c>
      <c r="E21" s="50" t="n">
        <v>24</v>
      </c>
      <c r="F21" s="51">
        <f>'Estimate Settings'!$C$25</f>
        <v/>
      </c>
      <c r="G21" s="51">
        <f>$E21*$F21</f>
        <v/>
      </c>
      <c r="H21" s="52" t="n">
        <v>160</v>
      </c>
      <c r="I21" s="51">
        <f>TEXT($G21*$H21,"$#,##0")</f>
        <v/>
      </c>
      <c r="J21" s="49" t="inlineStr"/>
      <c r="K21" s="49" t="inlineStr">
        <is>
          <t>Include blue-green deployment rollback and validation</t>
        </is>
      </c>
    </row>
    <row r="22" ht="26" customHeight="1">
      <c r="A22" s="53" t="inlineStr">
        <is>
          <t>Deployment</t>
        </is>
      </c>
      <c r="B22" s="54" t="inlineStr">
        <is>
          <t>Go-Live Support</t>
        </is>
      </c>
      <c r="C22" s="54" t="inlineStr">
        <is>
          <t>Provide comprehensive support during initial production rollout</t>
        </is>
      </c>
      <c r="D22" s="54" t="inlineStr">
        <is>
          <t>EO Engineer</t>
        </is>
      </c>
      <c r="E22" s="55" t="n">
        <v>48</v>
      </c>
      <c r="F22" s="56">
        <f>'Estimate Settings'!$C$25</f>
        <v/>
      </c>
      <c r="G22" s="56">
        <f>$E22*$F22</f>
        <v/>
      </c>
      <c r="H22" s="57" t="n">
        <v>110</v>
      </c>
      <c r="I22" s="56">
        <f>TEXT($G22*$H22,"$#,##0")</f>
        <v/>
      </c>
      <c r="J22" s="54" t="inlineStr"/>
      <c r="K22" s="54" t="inlineStr">
        <is>
          <t>Include 24/7 support monitoring and issue resolution</t>
        </is>
      </c>
    </row>
    <row r="23" ht="26" customHeight="1">
      <c r="A23" s="48" t="inlineStr">
        <is>
          <t>Training</t>
        </is>
      </c>
      <c r="B23" s="49" t="inlineStr">
        <is>
          <t>Administrator Training</t>
        </is>
      </c>
      <c r="C23" s="49" t="inlineStr">
        <is>
          <t>Train system administrators and technical support teams</t>
        </is>
      </c>
      <c r="D23" s="49" t="inlineStr">
        <is>
          <t>EO Engineer</t>
        </is>
      </c>
      <c r="E23" s="50" t="n">
        <v>16</v>
      </c>
      <c r="F23" s="51">
        <f>'Estimate Settings'!$C$26</f>
        <v/>
      </c>
      <c r="G23" s="51">
        <f>$E23*$F23</f>
        <v/>
      </c>
      <c r="H23" s="52" t="n">
        <v>130</v>
      </c>
      <c r="I23" s="51">
        <f>TEXT($G23*$H23,"$#,##0")</f>
        <v/>
      </c>
      <c r="J23" s="49" t="inlineStr"/>
      <c r="K23" s="49" t="inlineStr">
        <is>
          <t>Include hands-on technical training and certification</t>
        </is>
      </c>
    </row>
    <row r="24" ht="26" customHeight="1">
      <c r="A24" s="53" t="inlineStr">
        <is>
          <t>Training</t>
        </is>
      </c>
      <c r="B24" s="54" t="inlineStr">
        <is>
          <t>End User Training</t>
        </is>
      </c>
      <c r="C24" s="54" t="inlineStr">
        <is>
          <t>Train business users on solution functionality and workflows</t>
        </is>
      </c>
      <c r="D24" s="54" t="inlineStr">
        <is>
          <t>EO Engineer</t>
        </is>
      </c>
      <c r="E24" s="55" t="n">
        <v>24</v>
      </c>
      <c r="F24" s="56">
        <f>'Estimate Settings'!$C$26</f>
        <v/>
      </c>
      <c r="G24" s="56">
        <f>$E24*$F24</f>
        <v/>
      </c>
      <c r="H24" s="57" t="n">
        <v>120</v>
      </c>
      <c r="I24" s="56">
        <f>TEXT($G24*$H24,"$#,##0")</f>
        <v/>
      </c>
      <c r="J24" s="54" t="inlineStr"/>
      <c r="K24" s="54" t="inlineStr">
        <is>
          <t>Include role-based training documentation and support</t>
        </is>
      </c>
    </row>
    <row r="25" ht="26" customHeight="1">
      <c r="A25" s="48" t="inlineStr">
        <is>
          <t>Training</t>
        </is>
      </c>
      <c r="B25" s="49" t="inlineStr">
        <is>
          <t>Documentation</t>
        </is>
      </c>
      <c r="C25" s="49" t="inlineStr">
        <is>
          <t>Create comprehensive technical and user documentation</t>
        </is>
      </c>
      <c r="D25" s="49" t="inlineStr">
        <is>
          <t>EO Engineer</t>
        </is>
      </c>
      <c r="E25" s="50" t="n">
        <v>32</v>
      </c>
      <c r="F25" s="51">
        <f>'Estimate Settings'!$C$26</f>
        <v/>
      </c>
      <c r="G25" s="51">
        <f>$E25*$F25</f>
        <v/>
      </c>
      <c r="H25" s="52" t="n">
        <v>110</v>
      </c>
      <c r="I25" s="51">
        <f>TEXT($G25*$H25,"$#,##0")</f>
        <v/>
      </c>
      <c r="J25" s="49" t="inlineStr"/>
      <c r="K25" s="49" t="inlineStr">
        <is>
          <t>Include runbooks troubleshooting guides and best practices</t>
        </is>
      </c>
    </row>
    <row r="26" ht="26" customHeight="1">
      <c r="A26" s="53" t="inlineStr">
        <is>
          <t>Closeout</t>
        </is>
      </c>
      <c r="B26" s="54" t="inlineStr">
        <is>
          <t>Knowledge Transfer</t>
        </is>
      </c>
      <c r="C26" s="54" t="inlineStr">
        <is>
          <t>Transfer solution ownership to operations and support teams</t>
        </is>
      </c>
      <c r="D26" s="54" t="inlineStr">
        <is>
          <t>EO Engineer</t>
        </is>
      </c>
      <c r="E26" s="55" t="n">
        <v>16</v>
      </c>
      <c r="F26" s="56">
        <f>'Estimate Settings'!$C$27</f>
        <v/>
      </c>
      <c r="G26" s="56">
        <f>$E26*$F26</f>
        <v/>
      </c>
      <c r="H26" s="57" t="n">
        <v>140</v>
      </c>
      <c r="I26" s="56">
        <f>TEXT($G26*$H26,"$#,##0")</f>
        <v/>
      </c>
      <c r="J26" s="54" t="inlineStr"/>
      <c r="K26" s="54" t="inlineStr">
        <is>
          <t>Include operational procedures escalation and maintenance</t>
        </is>
      </c>
    </row>
    <row r="27" ht="26" customHeight="1">
      <c r="A27" s="48" t="inlineStr">
        <is>
          <t>Closeout</t>
        </is>
      </c>
      <c r="B27" s="49" t="inlineStr">
        <is>
          <t>Performance Baseline</t>
        </is>
      </c>
      <c r="C27" s="49" t="inlineStr">
        <is>
          <t>Establish performance metrics monitoring baselines and SLAs</t>
        </is>
      </c>
      <c r="D27" s="49" t="inlineStr">
        <is>
          <t>EO Engineer</t>
        </is>
      </c>
      <c r="E27" s="50" t="n">
        <v>8</v>
      </c>
      <c r="F27" s="51">
        <f>'Estimate Settings'!$C$27</f>
        <v/>
      </c>
      <c r="G27" s="51">
        <f>$E27*$F27</f>
        <v/>
      </c>
      <c r="H27" s="52" t="n">
        <v>130</v>
      </c>
      <c r="I27" s="51">
        <f>TEXT($G27*$H27,"$#,##0")</f>
        <v/>
      </c>
      <c r="J27" s="49" t="inlineStr"/>
      <c r="K27" s="49" t="inlineStr">
        <is>
          <t>Include KPI definition monitoring setup and reporting</t>
        </is>
      </c>
    </row>
    <row r="28" ht="26" customHeight="1">
      <c r="A28" s="53" t="inlineStr">
        <is>
          <t>Management</t>
        </is>
      </c>
      <c r="B28" s="54" t="inlineStr">
        <is>
          <t>Technical Leadership</t>
        </is>
      </c>
      <c r="C28" s="54" t="inlineStr">
        <is>
          <t>Quarterback technical oversight and architecture review</t>
        </is>
      </c>
      <c r="D28" s="54" t="inlineStr">
        <is>
          <t>EO Quarterback</t>
        </is>
      </c>
      <c r="E28" s="55" t="n">
        <v>40</v>
      </c>
      <c r="F28" s="56">
        <f>'Estimate Settings'!$C$28</f>
        <v/>
      </c>
      <c r="G28" s="56">
        <f>$E28*$F28</f>
        <v/>
      </c>
      <c r="H28" s="57" t="n">
        <v>180</v>
      </c>
      <c r="I28" s="56">
        <f>TEXT($G28*$H28,"$#,##0")</f>
        <v/>
      </c>
      <c r="J28" s="54" t="inlineStr"/>
      <c r="K28" s="54" t="inlineStr">
        <is>
          <t>25% of engineering effort</t>
        </is>
      </c>
    </row>
    <row r="29" ht="26" customHeight="1">
      <c r="A29" s="48" t="inlineStr">
        <is>
          <t>Management</t>
        </is>
      </c>
      <c r="B29" s="49" t="inlineStr">
        <is>
          <t>Project Management</t>
        </is>
      </c>
      <c r="C29" s="49" t="inlineStr">
        <is>
          <t>Project coordination and management activities</t>
        </is>
      </c>
      <c r="D29" s="49" t="inlineStr">
        <is>
          <t>EO Project Manager</t>
        </is>
      </c>
      <c r="E29" s="50" t="n">
        <v>40</v>
      </c>
      <c r="F29" s="51">
        <f>'Estimate Settings'!$C$28</f>
        <v/>
      </c>
      <c r="G29" s="51">
        <f>$E29*$F29</f>
        <v/>
      </c>
      <c r="H29" s="52" t="n">
        <v>150</v>
      </c>
      <c r="I29" s="51">
        <f>TEXT($G29*$H29,"$#,##0")</f>
        <v/>
      </c>
      <c r="J29" s="49" t="inlineStr"/>
      <c r="K29" s="49" t="inlineStr">
        <is>
          <t>20% of engineering effort</t>
        </is>
      </c>
    </row>
    <row r="30" ht="26" customHeight="1">
      <c r="A30" s="58" t="inlineStr"/>
      <c r="B30" s="58" t="inlineStr"/>
      <c r="C30" s="58" t="inlineStr"/>
      <c r="D30" s="58" t="inlineStr"/>
      <c r="E30" s="58" t="inlineStr"/>
      <c r="F30" s="59" t="inlineStr">
        <is>
          <t>TOTAL HOURS</t>
        </is>
      </c>
      <c r="G30" s="59">
        <f>SUM(G33:G59)</f>
        <v/>
      </c>
      <c r="H30" s="59" t="inlineStr">
        <is>
          <t>TOTAL COST</t>
        </is>
      </c>
      <c r="I30" s="59">
        <f>TEXT(SUMPRODUCT(G33:G59,H33:H59),"$#,##0")</f>
        <v/>
      </c>
      <c r="J30" s="58" t="inlineStr"/>
      <c r="K30" s="59" t="inlineStr">
        <is>
          <t>Total project cost estimate</t>
        </is>
      </c>
    </row>
  </sheetData>
  <autoFilter ref="A2:K30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60" t="n">
        <v>-10000</v>
      </c>
      <c r="C3" s="40" t="inlineStr">
        <is>
          <t>AWS Partner Network (APN) credit for DR solution architecture and implementation services</t>
        </is>
      </c>
    </row>
    <row r="4" ht="26" customHeight="1">
      <c r="A4" s="41" t="inlineStr">
        <is>
          <t>Implementation Discount</t>
        </is>
      </c>
      <c r="B4" s="61" t="n">
        <v>0</v>
      </c>
      <c r="C4" s="43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SUMPRODUCT($G$33:$G$59,$H$33:$H$59)-10000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2025-11-22T02:03:11Z</dcterms:modified>
  <cp:lastModifiedBy>Kishan Siram</cp:lastModifiedBy>
</cp:coreProperties>
</file>