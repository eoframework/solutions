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1">
    <font>
      <name val="Calibri"/>
      <family val="2"/>
      <color theme="1"/>
      <sz val="11"/>
      <scheme val="minor"/>
    </font>
    <font>
      <name val="Segoe UI"/>
      <color rgb="0095A5A6"/>
      <sz val="12"/>
    </font>
    <font>
      <name val="Segoe UI Light"/>
      <color rgb="002C3E50"/>
      <sz val="28"/>
    </font>
    <font>
      <name val="Segoe UI"/>
      <color rgb="005D6D7E"/>
      <sz val="14"/>
    </font>
    <font>
      <name val="Segoe UI"/>
      <b val="1"/>
      <color rgb="005D6D7E"/>
      <sz val="12"/>
    </font>
    <font>
      <name val="Calibri"/>
      <color rgb="002C3E50"/>
      <sz val="12"/>
    </font>
    <font>
      <name val="Segoe UI"/>
      <color rgb="00CC0000"/>
      <sz val="12"/>
    </font>
    <font>
      <name val="Calibri"/>
      <color rgb="005D6D7E"/>
      <sz val="11"/>
      <u val="single"/>
    </font>
    <font>
      <name val="Segoe UI Semibold"/>
      <b val="1"/>
      <color rgb="00FFFFFF"/>
      <sz val="12"/>
    </font>
    <font>
      <name val="Calibri"/>
      <b val="1"/>
      <color rgb="00CC0000"/>
      <sz val="12"/>
    </font>
    <font>
      <name val="Calibri"/>
      <b val="1"/>
      <sz val="14"/>
    </font>
  </fonts>
  <fills count="7">
    <fill>
      <patternFill/>
    </fill>
    <fill>
      <patternFill patternType="gray125"/>
    </fill>
    <fill>
      <patternFill patternType="solid">
        <fgColor rgb="00CC0000"/>
        <bgColor rgb="00CC0000"/>
      </patternFill>
    </fill>
    <fill>
      <patternFill patternType="solid">
        <fgColor rgb="002C3E50"/>
        <bgColor rgb="002C3E50"/>
      </patternFill>
    </fill>
    <fill>
      <patternFill patternType="solid">
        <fgColor rgb="00F8FAFB"/>
        <bgColor rgb="00F8FAFB"/>
      </patternFill>
    </fill>
    <fill>
      <patternFill patternType="solid">
        <fgColor rgb="00E8F4F8"/>
        <bgColor rgb="00E8F4F8"/>
      </patternFill>
    </fill>
    <fill>
      <patternFill patternType="solid">
        <fgColor rgb="00FFFFFF"/>
        <bgColor rgb="00FFFFFF"/>
      </patternFill>
    </fill>
  </fills>
  <borders count="3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medium">
        <color rgb="002C3E50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top"/>
    </xf>
    <xf numFmtId="0" fontId="8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 indent="1"/>
    </xf>
    <xf numFmtId="0" fontId="5" fillId="4" borderId="2" applyAlignment="1" pivotButton="0" quotePrefix="0" xfId="0">
      <alignment horizontal="right" vertical="center" wrapText="1" indent="1"/>
    </xf>
    <xf numFmtId="164" fontId="5" fillId="4" borderId="2" applyAlignment="1" pivotButton="0" quotePrefix="0" xfId="0">
      <alignment horizontal="right" vertical="center" wrapText="1" indent="1"/>
    </xf>
    <xf numFmtId="0" fontId="5" fillId="0" borderId="2" applyAlignment="1" pivotButton="0" quotePrefix="0" xfId="0">
      <alignment horizontal="left" vertical="center" wrapText="1" indent="1"/>
    </xf>
    <xf numFmtId="0" fontId="5" fillId="0" borderId="2" applyAlignment="1" pivotButton="0" quotePrefix="0" xfId="0">
      <alignment horizontal="right" vertical="center" wrapText="1" indent="1"/>
    </xf>
    <xf numFmtId="164" fontId="5" fillId="0" borderId="2" applyAlignment="1" pivotButton="0" quotePrefix="0" xfId="0">
      <alignment horizontal="right" vertical="center" wrapText="1" indent="1"/>
    </xf>
    <xf numFmtId="0" fontId="9" fillId="5" borderId="2" applyAlignment="1" pivotButton="0" quotePrefix="0" xfId="0">
      <alignment horizontal="left" vertical="center" wrapText="1" indent="1"/>
    </xf>
    <xf numFmtId="0" fontId="0" fillId="5" borderId="2" pivotButton="0" quotePrefix="0" xfId="0"/>
    <xf numFmtId="164" fontId="9" fillId="5" borderId="2" applyAlignment="1" pivotButton="0" quotePrefix="0" xfId="0">
      <alignment horizontal="right" vertical="center" wrapText="1" indent="1"/>
    </xf>
    <xf numFmtId="0" fontId="10" fillId="0" borderId="0" pivotButton="0" quotePrefix="0" xfId="0"/>
    <xf numFmtId="0" fontId="8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left" vertical="center" wrapText="1" indent="1"/>
    </xf>
    <xf numFmtId="164" fontId="5" fillId="4" borderId="2" applyAlignment="1" pivotButton="0" quotePrefix="0" xfId="0">
      <alignment horizontal="left" vertical="center" wrapText="1" indent="1"/>
    </xf>
    <xf numFmtId="164" fontId="5" fillId="6" borderId="2" applyAlignment="1" pivotButton="0" quotePrefix="0" xfId="0">
      <alignment horizontal="left" vertical="center" wrapText="1" indent="1"/>
    </xf>
    <xf numFmtId="0" fontId="9" fillId="0" borderId="2" applyAlignment="1" pivotButton="0" quotePrefix="0" xfId="0">
      <alignment horizontal="left" vertical="center" wrapText="1" indent="1"/>
    </xf>
    <xf numFmtId="164" fontId="9" fillId="0" borderId="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12</row>
      <rowOff>0</rowOff>
    </from>
    <ext cx="1238250" cy="314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3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60" customHeight="1">
      <c r="B2" s="2" t="inlineStr">
        <is>
          <t>[VENDOR LOGO]</t>
        </is>
      </c>
    </row>
    <row r="3" ht="15" customHeight="1"/>
    <row r="4" ht="40" customHeight="1">
      <c r="B4" s="3" t="inlineStr">
        <is>
          <t>Infrastructure Costs</t>
        </is>
      </c>
    </row>
    <row r="5" ht="25" customHeight="1">
      <c r="B5" s="4" t="inlineStr">
        <is>
          <t>Presales Document</t>
        </is>
      </c>
    </row>
    <row r="6" ht="30" customHeight="1"/>
    <row r="7" ht="18" customHeight="1">
      <c r="B7" s="5" t="inlineStr">
        <is>
          <t>Generated:</t>
        </is>
      </c>
      <c r="C7" s="6" t="inlineStr">
        <is>
          <t>November 18, 2025</t>
        </is>
      </c>
    </row>
    <row r="8" ht="18" customHeight="1">
      <c r="B8" s="5" t="inlineStr">
        <is>
          <t>Solution:</t>
        </is>
      </c>
      <c r="C8" s="6" t="inlineStr">
        <is>
          <t>Disaster Recovery Web Application</t>
        </is>
      </c>
    </row>
    <row r="9" ht="18" customHeight="1">
      <c r="B9" s="5" t="inlineStr">
        <is>
          <t>Customer:</t>
        </is>
      </c>
      <c r="C9" s="6" t="inlineStr">
        <is>
          <t>[Customer Name]</t>
        </is>
      </c>
    </row>
    <row r="10" ht="18" customHeight="1">
      <c r="B10" s="5" t="inlineStr">
        <is>
          <t>Version:</t>
        </is>
      </c>
      <c r="C10" s="6" t="inlineStr">
        <is>
          <t>1.0</t>
        </is>
      </c>
    </row>
    <row r="11" ht="18" customHeight="1">
      <c r="B11" s="5" t="inlineStr">
        <is>
          <t>Status:</t>
        </is>
      </c>
      <c r="C11" s="7" t="inlineStr">
        <is>
          <t>Draft</t>
        </is>
      </c>
    </row>
    <row r="12" ht="40" customHeight="1"/>
    <row r="13" ht="30" customHeight="1">
      <c r="C13" s="8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20" customWidth="1" min="3" max="3"/>
    <col width="20" customWidth="1" min="4" max="4"/>
    <col width="25" customWidth="1" min="5" max="5"/>
    <col width="40" customWidth="1" min="6" max="6"/>
  </cols>
  <sheetData>
    <row r="1">
      <c r="A1" s="19" t="inlineStr">
        <is>
          <t>SIZING GUIDELINES - Based on Solution Scope</t>
        </is>
      </c>
    </row>
    <row r="3" ht="32" customHeight="1">
      <c r="A3" s="20" t="inlineStr">
        <is>
          <t>Category</t>
        </is>
      </c>
      <c r="B3" s="20" t="inlineStr">
        <is>
          <t>Component</t>
        </is>
      </c>
      <c r="C3" s="20" t="inlineStr">
        <is>
          <t>Small</t>
        </is>
      </c>
      <c r="D3" s="20" t="inlineStr">
        <is>
          <t>Medium</t>
        </is>
      </c>
      <c r="E3" s="20" t="inlineStr">
        <is>
          <t>Large</t>
        </is>
      </c>
      <c r="F3" s="20" t="inlineStr">
        <is>
          <t>Notes</t>
        </is>
      </c>
    </row>
    <row r="4" ht="26" customHeight="1">
      <c r="A4" s="10" t="inlineStr">
        <is>
          <t>Cloud Infrastructure</t>
        </is>
      </c>
      <c r="B4" s="10" t="inlineStr">
        <is>
          <t>Application Tier</t>
        </is>
      </c>
      <c r="C4" s="10" t="inlineStr">
        <is>
          <t>2 web servers</t>
        </is>
      </c>
      <c r="D4" s="10" t="inlineStr">
        <is>
          <t>4-6 web servers</t>
        </is>
      </c>
      <c r="E4" s="10" t="inlineStr">
        <is>
          <t>10+ web servers</t>
        </is>
      </c>
      <c r="F4" s="10" t="inlineStr">
        <is>
          <t>Primary region compute capacity</t>
        </is>
      </c>
    </row>
    <row r="5" ht="26" customHeight="1">
      <c r="A5" s="21" t="inlineStr">
        <is>
          <t>Cloud Infrastructure</t>
        </is>
      </c>
      <c r="B5" s="21" t="inlineStr">
        <is>
          <t>Database Size</t>
        </is>
      </c>
      <c r="C5" s="21" t="inlineStr">
        <is>
          <t>db.t3.large Multi-AZ</t>
        </is>
      </c>
      <c r="D5" s="21" t="inlineStr">
        <is>
          <t>db.r5.xlarge Multi-AZ</t>
        </is>
      </c>
      <c r="E5" s="21" t="inlineStr">
        <is>
          <t>db.r5.4xlarge Multi-AZ</t>
        </is>
      </c>
      <c r="F5" s="21" t="inlineStr">
        <is>
          <t>RDS instance sizing</t>
        </is>
      </c>
    </row>
    <row r="6" ht="26" customHeight="1">
      <c r="A6" s="10" t="inlineStr">
        <is>
          <t>Cloud Infrastructure</t>
        </is>
      </c>
      <c r="B6" s="10" t="inlineStr">
        <is>
          <t>DR Strategy</t>
        </is>
      </c>
      <c r="C6" s="10" t="inlineStr">
        <is>
          <t>Pilot Light</t>
        </is>
      </c>
      <c r="D6" s="10" t="inlineStr">
        <is>
          <t>Warm Standby</t>
        </is>
      </c>
      <c r="E6" s="10" t="inlineStr">
        <is>
          <t>Hot Standby</t>
        </is>
      </c>
      <c r="F6" s="10" t="inlineStr">
        <is>
          <t>Disaster recovery approach</t>
        </is>
      </c>
    </row>
    <row r="7" ht="26" customHeight="1">
      <c r="A7" s="21" t="inlineStr">
        <is>
          <t>Cloud Infrastructure</t>
        </is>
      </c>
      <c r="B7" s="21" t="inlineStr">
        <is>
          <t>Storage Volume</t>
        </is>
      </c>
      <c r="C7" s="21" t="inlineStr">
        <is>
          <t>500 GB</t>
        </is>
      </c>
      <c r="D7" s="21" t="inlineStr">
        <is>
          <t>2 TB</t>
        </is>
      </c>
      <c r="E7" s="21" t="inlineStr">
        <is>
          <t>10+ TB</t>
        </is>
      </c>
      <c r="F7" s="21" t="inlineStr">
        <is>
          <t>Application data and backups</t>
        </is>
      </c>
    </row>
    <row r="8" ht="26" customHeight="1">
      <c r="A8" s="10" t="inlineStr">
        <is>
          <t>Cloud Infrastructure</t>
        </is>
      </c>
      <c r="B8" s="10" t="inlineStr">
        <is>
          <t>Monthly Traffic</t>
        </is>
      </c>
      <c r="C8" s="10" t="inlineStr">
        <is>
          <t>100 GB cross-region</t>
        </is>
      </c>
      <c r="D8" s="10" t="inlineStr">
        <is>
          <t>500 GB cross-region</t>
        </is>
      </c>
      <c r="E8" s="10" t="inlineStr">
        <is>
          <t>2 TB+ cross-region</t>
        </is>
      </c>
      <c r="F8" s="10" t="inlineStr">
        <is>
          <t>Data replication volume</t>
        </is>
      </c>
    </row>
    <row r="9" ht="26" customHeight="1">
      <c r="A9" s="21" t="inlineStr">
        <is>
          <t>Software Licenses</t>
        </is>
      </c>
      <c r="B9" s="21" t="inlineStr">
        <is>
          <t>Monitoring Tools</t>
        </is>
      </c>
      <c r="C9" s="21" t="inlineStr">
        <is>
          <t>Basic (6 hosts)</t>
        </is>
      </c>
      <c r="D9" s="21" t="inlineStr">
        <is>
          <t>Standard (15 hosts)</t>
        </is>
      </c>
      <c r="E9" s="21" t="inlineStr">
        <is>
          <t>Enterprise (50+ hosts)</t>
        </is>
      </c>
      <c r="F9" s="21" t="inlineStr">
        <is>
          <t>Application performance monitoring</t>
        </is>
      </c>
    </row>
    <row r="10" ht="26" customHeight="1">
      <c r="A10" s="10" t="inlineStr">
        <is>
          <t>Support &amp; Maintenance</t>
        </is>
      </c>
      <c r="B10" s="10" t="inlineStr">
        <is>
          <t>Support Level</t>
        </is>
      </c>
      <c r="C10" s="10" t="inlineStr">
        <is>
          <t>Business hours</t>
        </is>
      </c>
      <c r="D10" s="10" t="inlineStr">
        <is>
          <t>24x5 support</t>
        </is>
      </c>
      <c r="E10" s="10" t="inlineStr">
        <is>
          <t>24x7 premium</t>
        </is>
      </c>
      <c r="F10" s="10" t="inlineStr">
        <is>
          <t>SLA requirements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30" customWidth="1" min="11" max="11"/>
  </cols>
  <sheetData>
    <row r="1">
      <c r="A1" s="19" t="inlineStr">
        <is>
          <t>INFRASTRUCTURE COSTS - Quantities Default to Small Scope</t>
        </is>
      </c>
    </row>
    <row r="3" ht="32" customHeight="1">
      <c r="A3" s="20" t="inlineStr">
        <is>
          <t>Category</t>
        </is>
      </c>
      <c r="B3" s="20" t="inlineStr">
        <is>
          <t>Component</t>
        </is>
      </c>
      <c r="C3" s="20" t="inlineStr">
        <is>
          <t>Description</t>
        </is>
      </c>
      <c r="D3" s="20" t="inlineStr">
        <is>
          <t>Quantity</t>
        </is>
      </c>
      <c r="E3" s="20" t="inlineStr">
        <is>
          <t>Unit</t>
        </is>
      </c>
      <c r="F3" s="20" t="inlineStr">
        <is>
          <t>Unit Price</t>
        </is>
      </c>
      <c r="G3" s="20" t="inlineStr">
        <is>
          <t>Annual Cost</t>
        </is>
      </c>
      <c r="H3" s="20" t="inlineStr">
        <is>
          <t>Year 2</t>
        </is>
      </c>
      <c r="I3" s="20" t="inlineStr">
        <is>
          <t>Year 3</t>
        </is>
      </c>
      <c r="J3" s="20" t="inlineStr">
        <is>
          <t>3-Year Total</t>
        </is>
      </c>
      <c r="K3" s="20" t="inlineStr">
        <is>
          <t>Notes</t>
        </is>
      </c>
    </row>
    <row r="4" ht="26" customHeight="1">
      <c r="A4" s="10" t="inlineStr">
        <is>
          <t>Cloud Infrastructure</t>
        </is>
      </c>
      <c r="B4" s="10" t="inlineStr">
        <is>
          <t>EC2 Primary Web Tier</t>
        </is>
      </c>
      <c r="C4" s="10" t="inlineStr">
        <is>
          <t>t3.large instances for web tier (primary)</t>
        </is>
      </c>
      <c r="D4" s="10" t="inlineStr">
        <is>
          <t>2</t>
        </is>
      </c>
      <c r="E4" s="10" t="inlineStr">
        <is>
          <t>Instance/Month</t>
        </is>
      </c>
      <c r="F4" s="22" t="inlineStr">
        <is>
          <t>$75</t>
        </is>
      </c>
      <c r="G4" s="22">
        <f>D4*F4*12</f>
        <v/>
      </c>
      <c r="H4" s="22">
        <f>G4</f>
        <v/>
      </c>
      <c r="I4" s="22">
        <f>G4</f>
        <v/>
      </c>
      <c r="J4" s="22">
        <f>G4+H4+I4</f>
        <v/>
      </c>
      <c r="K4" s="10" t="inlineStr">
        <is>
          <t>Primary region compute</t>
        </is>
      </c>
    </row>
    <row r="5" ht="26" customHeight="1">
      <c r="A5" s="21" t="inlineStr">
        <is>
          <t>Cloud Infrastructure</t>
        </is>
      </c>
      <c r="B5" s="21" t="inlineStr">
        <is>
          <t>EC2 DR Pilot Light</t>
        </is>
      </c>
      <c r="C5" s="21" t="inlineStr">
        <is>
          <t>t3.medium on-demand for DR testing</t>
        </is>
      </c>
      <c r="D5" s="21" t="inlineStr">
        <is>
          <t>1</t>
        </is>
      </c>
      <c r="E5" s="21" t="inlineStr">
        <is>
          <t>Instance/Month</t>
        </is>
      </c>
      <c r="F5" s="23" t="inlineStr">
        <is>
          <t>$21</t>
        </is>
      </c>
      <c r="G5" s="23">
        <f>D5*F5*12</f>
        <v/>
      </c>
      <c r="H5" s="23">
        <f>G5</f>
        <v/>
      </c>
      <c r="I5" s="23">
        <f>G5</f>
        <v/>
      </c>
      <c r="J5" s="23">
        <f>G5+H5+I5</f>
        <v/>
      </c>
      <c r="K5" s="21" t="inlineStr">
        <is>
          <t>DR region pilot light</t>
        </is>
      </c>
    </row>
    <row r="6" ht="26" customHeight="1">
      <c r="A6" s="10" t="inlineStr">
        <is>
          <t>Cloud Infrastructure</t>
        </is>
      </c>
      <c r="B6" s="10" t="inlineStr">
        <is>
          <t>RDS Primary Database</t>
        </is>
      </c>
      <c r="C6" s="10" t="inlineStr">
        <is>
          <t>db.t3.large Multi-AZ PostgreSQL</t>
        </is>
      </c>
      <c r="D6" s="10" t="inlineStr">
        <is>
          <t>1</t>
        </is>
      </c>
      <c r="E6" s="10" t="inlineStr">
        <is>
          <t>Instance/Month</t>
        </is>
      </c>
      <c r="F6" s="22" t="inlineStr">
        <is>
          <t>$240</t>
        </is>
      </c>
      <c r="G6" s="22">
        <f>D6*F6*12</f>
        <v/>
      </c>
      <c r="H6" s="22">
        <f>G6</f>
        <v/>
      </c>
      <c r="I6" s="22">
        <f>G6</f>
        <v/>
      </c>
      <c r="J6" s="22">
        <f>G6+H6+I6</f>
        <v/>
      </c>
      <c r="K6" s="10" t="inlineStr">
        <is>
          <t>Primary database</t>
        </is>
      </c>
    </row>
    <row r="7" ht="26" customHeight="1">
      <c r="A7" s="21" t="inlineStr">
        <is>
          <t>Cloud Infrastructure</t>
        </is>
      </c>
      <c r="B7" s="21" t="inlineStr">
        <is>
          <t>RDS DR Backups</t>
        </is>
      </c>
      <c r="C7" s="21" t="inlineStr">
        <is>
          <t>Cross-region automated backups</t>
        </is>
      </c>
      <c r="D7" s="21" t="inlineStr">
        <is>
          <t>1</t>
        </is>
      </c>
      <c r="E7" s="21" t="inlineStr">
        <is>
          <t>Service/Month</t>
        </is>
      </c>
      <c r="F7" s="23" t="inlineStr">
        <is>
          <t>$60</t>
        </is>
      </c>
      <c r="G7" s="23">
        <f>D7*F7*12</f>
        <v/>
      </c>
      <c r="H7" s="23">
        <f>G7</f>
        <v/>
      </c>
      <c r="I7" s="23">
        <f>G7</f>
        <v/>
      </c>
      <c r="J7" s="23">
        <f>G7+H7+I7</f>
        <v/>
      </c>
      <c r="K7" s="21" t="inlineStr">
        <is>
          <t>DR backup strategy</t>
        </is>
      </c>
    </row>
    <row r="8" ht="26" customHeight="1">
      <c r="A8" s="10" t="inlineStr">
        <is>
          <t>Cloud Infrastructure</t>
        </is>
      </c>
      <c r="B8" s="10" t="inlineStr">
        <is>
          <t>S3 Standard Storage</t>
        </is>
      </c>
      <c r="C8" s="10" t="inlineStr">
        <is>
          <t>App data and backups (500GB)</t>
        </is>
      </c>
      <c r="D8" s="10" t="inlineStr">
        <is>
          <t>500</t>
        </is>
      </c>
      <c r="E8" s="10" t="inlineStr">
        <is>
          <t>GB/Month</t>
        </is>
      </c>
      <c r="F8" s="22" t="inlineStr">
        <is>
          <t>$0.023</t>
        </is>
      </c>
      <c r="G8" s="22">
        <f>D8*F8*12</f>
        <v/>
      </c>
      <c r="H8" s="22">
        <f>G8</f>
        <v/>
      </c>
      <c r="I8" s="22">
        <f>G8</f>
        <v/>
      </c>
      <c r="J8" s="22">
        <f>G8+H8+I8</f>
        <v/>
      </c>
      <c r="K8" s="10" t="inlineStr">
        <is>
          <t>Object storage</t>
        </is>
      </c>
    </row>
    <row r="9" ht="26" customHeight="1">
      <c r="A9" s="21" t="inlineStr">
        <is>
          <t>Cloud Infrastructure</t>
        </is>
      </c>
      <c r="B9" s="21" t="inlineStr">
        <is>
          <t>S3 Cross-Region Replication</t>
        </is>
      </c>
      <c r="C9" s="21" t="inlineStr">
        <is>
          <t>Replication to DR region (500GB)</t>
        </is>
      </c>
      <c r="D9" s="21" t="inlineStr">
        <is>
          <t>500</t>
        </is>
      </c>
      <c r="E9" s="21" t="inlineStr">
        <is>
          <t>GB/Month</t>
        </is>
      </c>
      <c r="F9" s="23" t="inlineStr">
        <is>
          <t>$0.0005</t>
        </is>
      </c>
      <c r="G9" s="23">
        <f>D9*F9*12</f>
        <v/>
      </c>
      <c r="H9" s="23">
        <f>G9</f>
        <v/>
      </c>
      <c r="I9" s="23">
        <f>G9</f>
        <v/>
      </c>
      <c r="J9" s="23">
        <f>G9+H9+I9</f>
        <v/>
      </c>
      <c r="K9" s="21" t="inlineStr">
        <is>
          <t>DR replication</t>
        </is>
      </c>
    </row>
    <row r="10" ht="26" customHeight="1">
      <c r="A10" s="10" t="inlineStr">
        <is>
          <t>Cloud Infrastructure</t>
        </is>
      </c>
      <c r="B10" s="10" t="inlineStr">
        <is>
          <t>Route 53 Health Checks</t>
        </is>
      </c>
      <c r="C10" s="10" t="inlineStr">
        <is>
          <t>DNS failover health checks</t>
        </is>
      </c>
      <c r="D10" s="10" t="inlineStr">
        <is>
          <t>5</t>
        </is>
      </c>
      <c r="E10" s="10" t="inlineStr">
        <is>
          <t>Checks/Month</t>
        </is>
      </c>
      <c r="F10" s="22" t="inlineStr">
        <is>
          <t>$0.5</t>
        </is>
      </c>
      <c r="G10" s="22">
        <f>D10*F10*12</f>
        <v/>
      </c>
      <c r="H10" s="22">
        <f>G10</f>
        <v/>
      </c>
      <c r="I10" s="22">
        <f>G10</f>
        <v/>
      </c>
      <c r="J10" s="22">
        <f>G10+H10+I10</f>
        <v/>
      </c>
      <c r="K10" s="10" t="inlineStr">
        <is>
          <t>Automated failover</t>
        </is>
      </c>
    </row>
    <row r="11" ht="26" customHeight="1">
      <c r="A11" s="21" t="inlineStr">
        <is>
          <t>Cloud Infrastructure</t>
        </is>
      </c>
      <c r="B11" s="21" t="inlineStr">
        <is>
          <t>Route 53 Hosted Zones</t>
        </is>
      </c>
      <c r="C11" s="21" t="inlineStr">
        <is>
          <t>Production and DR domains</t>
        </is>
      </c>
      <c r="D11" s="21" t="inlineStr">
        <is>
          <t>2</t>
        </is>
      </c>
      <c r="E11" s="21" t="inlineStr">
        <is>
          <t>Zones/Month</t>
        </is>
      </c>
      <c r="F11" s="23" t="inlineStr">
        <is>
          <t>$0.5</t>
        </is>
      </c>
      <c r="G11" s="23">
        <f>D11*F11*12</f>
        <v/>
      </c>
      <c r="H11" s="23">
        <f>G11</f>
        <v/>
      </c>
      <c r="I11" s="23">
        <f>G11</f>
        <v/>
      </c>
      <c r="J11" s="23">
        <f>G11+H11+I11</f>
        <v/>
      </c>
      <c r="K11" s="21" t="inlineStr">
        <is>
          <t>DNS management</t>
        </is>
      </c>
    </row>
    <row r="12" ht="26" customHeight="1">
      <c r="A12" s="10" t="inlineStr">
        <is>
          <t>Cloud Infrastructure</t>
        </is>
      </c>
      <c r="B12" s="10" t="inlineStr">
        <is>
          <t>ALB Primary</t>
        </is>
      </c>
      <c r="C12" s="10" t="inlineStr">
        <is>
          <t>Application Load Balancer primary</t>
        </is>
      </c>
      <c r="D12" s="10" t="inlineStr">
        <is>
          <t>1</t>
        </is>
      </c>
      <c r="E12" s="10" t="inlineStr">
        <is>
          <t>ALB/Month</t>
        </is>
      </c>
      <c r="F12" s="22" t="inlineStr">
        <is>
          <t>$22.5</t>
        </is>
      </c>
      <c r="G12" s="22">
        <f>D12*F12*12</f>
        <v/>
      </c>
      <c r="H12" s="22">
        <f>G12</f>
        <v/>
      </c>
      <c r="I12" s="22">
        <f>G12</f>
        <v/>
      </c>
      <c r="J12" s="22">
        <f>G12+H12+I12</f>
        <v/>
      </c>
      <c r="K12" s="10" t="inlineStr">
        <is>
          <t>Load balancing</t>
        </is>
      </c>
    </row>
    <row r="13" ht="26" customHeight="1">
      <c r="A13" s="21" t="inlineStr">
        <is>
          <t>Cloud Infrastructure</t>
        </is>
      </c>
      <c r="B13" s="21" t="inlineStr">
        <is>
          <t>ALB DR</t>
        </is>
      </c>
      <c r="C13" s="21" t="inlineStr">
        <is>
          <t>ALB for DR testing</t>
        </is>
      </c>
      <c r="D13" s="21" t="inlineStr">
        <is>
          <t>1</t>
        </is>
      </c>
      <c r="E13" s="21" t="inlineStr">
        <is>
          <t>ALB/Month</t>
        </is>
      </c>
      <c r="F13" s="23" t="inlineStr">
        <is>
          <t>$11.25</t>
        </is>
      </c>
      <c r="G13" s="23">
        <f>D13*F13*12</f>
        <v/>
      </c>
      <c r="H13" s="23">
        <f>G13</f>
        <v/>
      </c>
      <c r="I13" s="23">
        <f>G13</f>
        <v/>
      </c>
      <c r="J13" s="23">
        <f>G13+H13+I13</f>
        <v/>
      </c>
      <c r="K13" s="21" t="inlineStr">
        <is>
          <t>DR load balancer</t>
        </is>
      </c>
    </row>
    <row r="14" ht="26" customHeight="1">
      <c r="A14" s="10" t="inlineStr">
        <is>
          <t>Cloud Infrastructure</t>
        </is>
      </c>
      <c r="B14" s="10" t="inlineStr">
        <is>
          <t>EBS Volumes Primary</t>
        </is>
      </c>
      <c r="C14" s="10" t="inlineStr">
        <is>
          <t>gp3 storage volumes (500GB)</t>
        </is>
      </c>
      <c r="D14" s="10" t="inlineStr">
        <is>
          <t>500</t>
        </is>
      </c>
      <c r="E14" s="10" t="inlineStr">
        <is>
          <t>GB/Month</t>
        </is>
      </c>
      <c r="F14" s="22" t="inlineStr">
        <is>
          <t>$0.1</t>
        </is>
      </c>
      <c r="G14" s="22">
        <f>D14*F14*12</f>
        <v/>
      </c>
      <c r="H14" s="22">
        <f>G14</f>
        <v/>
      </c>
      <c r="I14" s="22">
        <f>G14</f>
        <v/>
      </c>
      <c r="J14" s="22">
        <f>G14+H14+I14</f>
        <v/>
      </c>
      <c r="K14" s="10" t="inlineStr">
        <is>
          <t>Block storage</t>
        </is>
      </c>
    </row>
    <row r="15" ht="26" customHeight="1">
      <c r="A15" s="21" t="inlineStr">
        <is>
          <t>Cloud Infrastructure</t>
        </is>
      </c>
      <c r="B15" s="21" t="inlineStr">
        <is>
          <t>EBS Snapshots</t>
        </is>
      </c>
      <c r="C15" s="21" t="inlineStr">
        <is>
          <t>Automated incremental backups</t>
        </is>
      </c>
      <c r="D15" s="21" t="inlineStr">
        <is>
          <t>500</t>
        </is>
      </c>
      <c r="E15" s="21" t="inlineStr">
        <is>
          <t>GB/Month</t>
        </is>
      </c>
      <c r="F15" s="23" t="inlineStr">
        <is>
          <t>$0.05</t>
        </is>
      </c>
      <c r="G15" s="23">
        <f>D15*F15*12</f>
        <v/>
      </c>
      <c r="H15" s="23">
        <f>G15</f>
        <v/>
      </c>
      <c r="I15" s="23">
        <f>G15</f>
        <v/>
      </c>
      <c r="J15" s="23">
        <f>G15+H15+I15</f>
        <v/>
      </c>
      <c r="K15" s="21" t="inlineStr">
        <is>
          <t>Backup snapshots</t>
        </is>
      </c>
    </row>
    <row r="16" ht="26" customHeight="1">
      <c r="A16" s="10" t="inlineStr">
        <is>
          <t>Cloud Infrastructure</t>
        </is>
      </c>
      <c r="B16" s="10" t="inlineStr">
        <is>
          <t>AWS Backup</t>
        </is>
      </c>
      <c r="C16" s="10" t="inlineStr">
        <is>
          <t>Centralized backup policies (500GB)</t>
        </is>
      </c>
      <c r="D16" s="10" t="inlineStr">
        <is>
          <t>500</t>
        </is>
      </c>
      <c r="E16" s="10" t="inlineStr">
        <is>
          <t>GB/Month</t>
        </is>
      </c>
      <c r="F16" s="22" t="inlineStr">
        <is>
          <t>$0.05</t>
        </is>
      </c>
      <c r="G16" s="22">
        <f>D16*F16*12</f>
        <v/>
      </c>
      <c r="H16" s="22">
        <f>G16</f>
        <v/>
      </c>
      <c r="I16" s="22">
        <f>G16</f>
        <v/>
      </c>
      <c r="J16" s="22">
        <f>G16+H16+I16</f>
        <v/>
      </c>
      <c r="K16" s="10" t="inlineStr">
        <is>
          <t>Backup management</t>
        </is>
      </c>
    </row>
    <row r="17" ht="26" customHeight="1">
      <c r="A17" s="21" t="inlineStr">
        <is>
          <t>Cloud Infrastructure</t>
        </is>
      </c>
      <c r="B17" s="21" t="inlineStr">
        <is>
          <t>CloudWatch Logs</t>
        </is>
      </c>
      <c r="C17" s="21" t="inlineStr">
        <is>
          <t>Primary and DR regions (50GB)</t>
        </is>
      </c>
      <c r="D17" s="21" t="inlineStr">
        <is>
          <t>50</t>
        </is>
      </c>
      <c r="E17" s="21" t="inlineStr">
        <is>
          <t>GB/Month</t>
        </is>
      </c>
      <c r="F17" s="23" t="inlineStr">
        <is>
          <t>$0.5</t>
        </is>
      </c>
      <c r="G17" s="23">
        <f>D17*F17*12</f>
        <v/>
      </c>
      <c r="H17" s="23">
        <f>G17</f>
        <v/>
      </c>
      <c r="I17" s="23">
        <f>G17</f>
        <v/>
      </c>
      <c r="J17" s="23">
        <f>G17+H17+I17</f>
        <v/>
      </c>
      <c r="K17" s="21" t="inlineStr">
        <is>
          <t>Monitoring logs</t>
        </is>
      </c>
    </row>
    <row r="18" ht="26" customHeight="1">
      <c r="A18" s="10" t="inlineStr">
        <is>
          <t>Cloud Infrastructure</t>
        </is>
      </c>
      <c r="B18" s="10" t="inlineStr">
        <is>
          <t>CloudWatch Metrics</t>
        </is>
      </c>
      <c r="C18" s="10" t="inlineStr">
        <is>
          <t>Monitoring dashboards (100 metrics)</t>
        </is>
      </c>
      <c r="D18" s="10" t="inlineStr">
        <is>
          <t>100</t>
        </is>
      </c>
      <c r="E18" s="10" t="inlineStr">
        <is>
          <t>Metrics/Month</t>
        </is>
      </c>
      <c r="F18" s="22" t="inlineStr">
        <is>
          <t>$0.3</t>
        </is>
      </c>
      <c r="G18" s="22">
        <f>D18*F18*12</f>
        <v/>
      </c>
      <c r="H18" s="22">
        <f>G18</f>
        <v/>
      </c>
      <c r="I18" s="22">
        <f>G18</f>
        <v/>
      </c>
      <c r="J18" s="22">
        <f>G18+H18+I18</f>
        <v/>
      </c>
      <c r="K18" s="10" t="inlineStr">
        <is>
          <t>Custom metrics</t>
        </is>
      </c>
    </row>
    <row r="19" ht="26" customHeight="1">
      <c r="A19" s="21" t="inlineStr">
        <is>
          <t>Cloud Infrastructure</t>
        </is>
      </c>
      <c r="B19" s="21" t="inlineStr">
        <is>
          <t>CloudTrail</t>
        </is>
      </c>
      <c r="C19" s="21" t="inlineStr">
        <is>
          <t>Audit logging both regions</t>
        </is>
      </c>
      <c r="D19" s="21" t="inlineStr">
        <is>
          <t>2</t>
        </is>
      </c>
      <c r="E19" s="21" t="inlineStr">
        <is>
          <t>Trails/Month</t>
        </is>
      </c>
      <c r="F19" s="23" t="inlineStr">
        <is>
          <t>$2</t>
        </is>
      </c>
      <c r="G19" s="23">
        <f>D19*F19*12</f>
        <v/>
      </c>
      <c r="H19" s="23">
        <f>G19</f>
        <v/>
      </c>
      <c r="I19" s="23">
        <f>G19</f>
        <v/>
      </c>
      <c r="J19" s="23">
        <f>G19+H19+I19</f>
        <v/>
      </c>
      <c r="K19" s="21" t="inlineStr">
        <is>
          <t>Compliance audit</t>
        </is>
      </c>
    </row>
    <row r="20" ht="26" customHeight="1">
      <c r="A20" s="10" t="inlineStr">
        <is>
          <t>Cloud Infrastructure</t>
        </is>
      </c>
      <c r="B20" s="10" t="inlineStr">
        <is>
          <t>NAT Gateway Primary</t>
        </is>
      </c>
      <c r="C20" s="10" t="inlineStr">
        <is>
          <t>Single AZ NAT Gateway</t>
        </is>
      </c>
      <c r="D20" s="10" t="inlineStr">
        <is>
          <t>1</t>
        </is>
      </c>
      <c r="E20" s="10" t="inlineStr">
        <is>
          <t>Gateway/Month</t>
        </is>
      </c>
      <c r="F20" s="22" t="inlineStr">
        <is>
          <t>$32.85</t>
        </is>
      </c>
      <c r="G20" s="22">
        <f>D20*F20*12</f>
        <v/>
      </c>
      <c r="H20" s="22">
        <f>G20</f>
        <v/>
      </c>
      <c r="I20" s="22">
        <f>G20</f>
        <v/>
      </c>
      <c r="J20" s="22">
        <f>G20+H20+I20</f>
        <v/>
      </c>
      <c r="K20" s="10" t="inlineStr">
        <is>
          <t>Outbound connectivity</t>
        </is>
      </c>
    </row>
    <row r="21" ht="26" customHeight="1">
      <c r="A21" s="21" t="inlineStr">
        <is>
          <t>Cloud Infrastructure</t>
        </is>
      </c>
      <c r="B21" s="21" t="inlineStr">
        <is>
          <t>Secrets Manager</t>
        </is>
      </c>
      <c r="C21" s="21" t="inlineStr">
        <is>
          <t>Secure credential storage</t>
        </is>
      </c>
      <c r="D21" s="21" t="inlineStr">
        <is>
          <t>10</t>
        </is>
      </c>
      <c r="E21" s="21" t="inlineStr">
        <is>
          <t>Secrets/Month</t>
        </is>
      </c>
      <c r="F21" s="23" t="inlineStr">
        <is>
          <t>$0.4</t>
        </is>
      </c>
      <c r="G21" s="23">
        <f>D21*F21*12</f>
        <v/>
      </c>
      <c r="H21" s="23">
        <f>G21</f>
        <v/>
      </c>
      <c r="I21" s="23">
        <f>G21</f>
        <v/>
      </c>
      <c r="J21" s="23">
        <f>G21+H21+I21</f>
        <v/>
      </c>
      <c r="K21" s="21" t="inlineStr">
        <is>
          <t>Secrets management</t>
        </is>
      </c>
    </row>
    <row r="22" ht="26" customHeight="1">
      <c r="A22" s="10" t="inlineStr">
        <is>
          <t>Cloud Infrastructure</t>
        </is>
      </c>
      <c r="B22" s="10" t="inlineStr">
        <is>
          <t>SNS Notifications</t>
        </is>
      </c>
      <c r="C22" s="10" t="inlineStr">
        <is>
          <t>DR event notifications</t>
        </is>
      </c>
      <c r="D22" s="10" t="inlineStr">
        <is>
          <t>5</t>
        </is>
      </c>
      <c r="E22" s="10" t="inlineStr">
        <is>
          <t>Topics/Month</t>
        </is>
      </c>
      <c r="F22" s="22" t="inlineStr">
        <is>
          <t>$0.5</t>
        </is>
      </c>
      <c r="G22" s="22">
        <f>D22*F22*12</f>
        <v/>
      </c>
      <c r="H22" s="22">
        <f>G22</f>
        <v/>
      </c>
      <c r="I22" s="22">
        <f>G22</f>
        <v/>
      </c>
      <c r="J22" s="22">
        <f>G22+H22+I22</f>
        <v/>
      </c>
      <c r="K22" s="10" t="inlineStr">
        <is>
          <t>Alert notifications</t>
        </is>
      </c>
    </row>
    <row r="23" ht="26" customHeight="1">
      <c r="A23" s="21" t="inlineStr">
        <is>
          <t>Cloud Infrastructure</t>
        </is>
      </c>
      <c r="B23" s="21" t="inlineStr">
        <is>
          <t>Data Transfer Cross-Region</t>
        </is>
      </c>
      <c r="C23" s="21" t="inlineStr">
        <is>
          <t>Replication traffic (100GB/month)</t>
        </is>
      </c>
      <c r="D23" s="21" t="inlineStr">
        <is>
          <t>100</t>
        </is>
      </c>
      <c r="E23" s="21" t="inlineStr">
        <is>
          <t>GB/Month</t>
        </is>
      </c>
      <c r="F23" s="23" t="inlineStr">
        <is>
          <t>$0.02</t>
        </is>
      </c>
      <c r="G23" s="23">
        <f>D23*F23*12</f>
        <v/>
      </c>
      <c r="H23" s="23">
        <f>G23</f>
        <v/>
      </c>
      <c r="I23" s="23">
        <f>G23</f>
        <v/>
      </c>
      <c r="J23" s="23">
        <f>G23+H23+I23</f>
        <v/>
      </c>
      <c r="K23" s="21" t="inlineStr">
        <is>
          <t>Cross-region transfer</t>
        </is>
      </c>
    </row>
    <row r="24" ht="26" customHeight="1">
      <c r="A24" s="10" t="inlineStr">
        <is>
          <t>Software Licenses</t>
        </is>
      </c>
      <c r="B24" s="10" t="inlineStr">
        <is>
          <t>Datadog Monitoring</t>
        </is>
      </c>
      <c r="C24" s="10" t="inlineStr">
        <is>
          <t>Pro monitoring (6 hosts)</t>
        </is>
      </c>
      <c r="D24" s="10" t="inlineStr">
        <is>
          <t>6</t>
        </is>
      </c>
      <c r="E24" s="10" t="inlineStr">
        <is>
          <t>Hosts/Month</t>
        </is>
      </c>
      <c r="F24" s="22" t="inlineStr">
        <is>
          <t>$23</t>
        </is>
      </c>
      <c r="G24" s="22">
        <f>D24*F24*12</f>
        <v/>
      </c>
      <c r="H24" s="22">
        <f>G24</f>
        <v/>
      </c>
      <c r="I24" s="22">
        <f>G24</f>
        <v/>
      </c>
      <c r="J24" s="22">
        <f>G24+H24+I24</f>
        <v/>
      </c>
      <c r="K24" s="10" t="inlineStr">
        <is>
          <t>Application monitoring</t>
        </is>
      </c>
    </row>
    <row r="25" ht="26" customHeight="1">
      <c r="A25" s="21" t="inlineStr">
        <is>
          <t>Software Licenses</t>
        </is>
      </c>
      <c r="B25" s="21" t="inlineStr">
        <is>
          <t>PagerDuty</t>
        </is>
      </c>
      <c r="C25" s="21" t="inlineStr">
        <is>
          <t>Professional incident management (3 users)</t>
        </is>
      </c>
      <c r="D25" s="21" t="inlineStr">
        <is>
          <t>3</t>
        </is>
      </c>
      <c r="E25" s="21" t="inlineStr">
        <is>
          <t>Users/Month</t>
        </is>
      </c>
      <c r="F25" s="23" t="inlineStr">
        <is>
          <t>$41</t>
        </is>
      </c>
      <c r="G25" s="23">
        <f>D25*F25*12</f>
        <v/>
      </c>
      <c r="H25" s="23">
        <f>G25</f>
        <v/>
      </c>
      <c r="I25" s="23">
        <f>G25</f>
        <v/>
      </c>
      <c r="J25" s="23">
        <f>G25+H25+I25</f>
        <v/>
      </c>
      <c r="K25" s="21" t="inlineStr">
        <is>
          <t>Incident management</t>
        </is>
      </c>
    </row>
    <row r="26" ht="26" customHeight="1">
      <c r="A26" s="10" t="inlineStr">
        <is>
          <t>Support &amp; Maintenance</t>
        </is>
      </c>
      <c r="B26" s="10" t="inlineStr">
        <is>
          <t>AWS Managed DR Services</t>
        </is>
      </c>
      <c r="C26" s="10" t="inlineStr">
        <is>
          <t>Managed services and quarterly testing (15% of infrastructure)</t>
        </is>
      </c>
      <c r="D26" s="10" t="inlineStr">
        <is>
          <t>1</t>
        </is>
      </c>
      <c r="E26" s="10" t="inlineStr">
        <is>
          <t>Service/Month</t>
        </is>
      </c>
      <c r="F26" s="22" t="inlineStr">
        <is>
          <t>$122.25</t>
        </is>
      </c>
      <c r="G26" s="22">
        <f>D26*F26*12</f>
        <v/>
      </c>
      <c r="H26" s="22">
        <f>G26</f>
        <v/>
      </c>
      <c r="I26" s="22">
        <f>G26</f>
        <v/>
      </c>
      <c r="J26" s="22">
        <f>G26+H26+I26</f>
        <v/>
      </c>
      <c r="K26" s="10" t="inlineStr">
        <is>
          <t>Ongoing support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8" customWidth="1" min="3" max="3"/>
    <col width="50" customWidth="1" min="4" max="4"/>
  </cols>
  <sheetData>
    <row r="1">
      <c r="A1" s="19" t="inlineStr">
        <is>
          <t>CREDITS - Applied per Category (Year 1 Only)</t>
        </is>
      </c>
    </row>
    <row r="3" ht="32" customHeight="1">
      <c r="A3" s="20" t="inlineStr">
        <is>
          <t>Category</t>
        </is>
      </c>
      <c r="B3" s="20" t="inlineStr">
        <is>
          <t>Credit Type</t>
        </is>
      </c>
      <c r="C3" s="20" t="inlineStr">
        <is>
          <t>Credit Amount</t>
        </is>
      </c>
      <c r="D3" s="20" t="inlineStr">
        <is>
          <t>Credit Comments</t>
        </is>
      </c>
    </row>
    <row r="4" ht="26" customHeight="1">
      <c r="A4" s="10" t="inlineStr">
        <is>
          <t>Cloud Infrastructure</t>
        </is>
      </c>
      <c r="B4" s="10" t="inlineStr">
        <is>
          <t>AWS DR Program Credit</t>
        </is>
      </c>
      <c r="C4" s="22" t="n">
        <v>-369</v>
      </c>
      <c r="D4" s="10" t="inlineStr">
        <is>
          <t>Pilot light infrastructure and DR testing credits</t>
        </is>
      </c>
    </row>
    <row r="5" ht="26" customHeight="1">
      <c r="A5" s="21" t="inlineStr">
        <is>
          <t>Software Licenses</t>
        </is>
      </c>
      <c r="B5" s="21" t="inlineStr">
        <is>
          <t>Partner Credit</t>
        </is>
      </c>
      <c r="C5" s="23" t="n">
        <v>0</v>
      </c>
      <c r="D5" s="21" t="inlineStr">
        <is>
          <t>No software credits available</t>
        </is>
      </c>
    </row>
    <row r="6" ht="26" customHeight="1">
      <c r="A6" s="10" t="inlineStr">
        <is>
          <t>Support &amp; Maintenance</t>
        </is>
      </c>
      <c r="B6" s="10" t="inlineStr">
        <is>
          <t>Program Credit</t>
        </is>
      </c>
      <c r="C6" s="22" t="n">
        <v>0</v>
      </c>
      <c r="D6" s="10" t="inlineStr">
        <is>
          <t>No support credits available</t>
        </is>
      </c>
    </row>
    <row r="7" ht="26" customHeight="1">
      <c r="A7" s="21" t="inlineStr">
        <is>
          <t>Hardware/Equipment</t>
        </is>
      </c>
      <c r="B7" s="21" t="inlineStr">
        <is>
          <t>Equipment Credit</t>
        </is>
      </c>
      <c r="C7" s="23" t="n">
        <v>0</v>
      </c>
      <c r="D7" s="21" t="inlineStr">
        <is>
          <t>No hardware credits available</t>
        </is>
      </c>
    </row>
    <row r="8" ht="26" customHeight="1">
      <c r="A8" s="10" t="inlineStr">
        <is>
          <t>Professional Services</t>
        </is>
      </c>
      <c r="B8" s="10" t="inlineStr">
        <is>
          <t>AWS Partner Services Credit</t>
        </is>
      </c>
      <c r="C8" s="22" t="n">
        <v>-8000</v>
      </c>
      <c r="D8" s="10" t="inlineStr">
        <is>
          <t>DR design and testing services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  <col width="12" customWidth="1" min="5" max="5"/>
    <col width="12" customWidth="1" min="6" max="6"/>
    <col width="16" customWidth="1" min="7" max="7"/>
  </cols>
  <sheetData>
    <row r="1">
      <c r="A1" s="19" t="inlineStr">
        <is>
          <t>INFRASTRUCTURE COSTS SUMMARY</t>
        </is>
      </c>
    </row>
    <row r="3" ht="32" customHeight="1">
      <c r="A3" s="20" t="inlineStr">
        <is>
          <t>Category</t>
        </is>
      </c>
      <c r="B3" s="20" t="inlineStr">
        <is>
          <t>Year 1 List</t>
        </is>
      </c>
      <c r="C3" s="20" t="inlineStr">
        <is>
          <t>Year 1 Credits</t>
        </is>
      </c>
      <c r="D3" s="20" t="inlineStr">
        <is>
          <t>Year 1 Net</t>
        </is>
      </c>
      <c r="E3" s="20" t="inlineStr">
        <is>
          <t>Year 2</t>
        </is>
      </c>
      <c r="F3" s="20" t="inlineStr">
        <is>
          <t>Year 3</t>
        </is>
      </c>
      <c r="G3" s="20" t="inlineStr">
        <is>
          <t>3-Year Total</t>
        </is>
      </c>
    </row>
    <row r="4" ht="26" customHeight="1">
      <c r="A4" s="10" t="inlineStr">
        <is>
          <t>Cloud Infrastructure</t>
        </is>
      </c>
      <c r="B4" s="22">
        <f>SUMIF('Infrastructure Costs'!A:A,"Cloud Infrastructure",'Infrastructure Costs'!G:G)</f>
        <v/>
      </c>
      <c r="C4" s="22">
        <f>Credits!C4</f>
        <v/>
      </c>
      <c r="D4" s="22">
        <f>B4+C4</f>
        <v/>
      </c>
      <c r="E4" s="22">
        <f>SUMIF('Infrastructure Costs'!A:A,"Cloud Infrastructure",'Infrastructure Costs'!H:H)</f>
        <v/>
      </c>
      <c r="F4" s="22">
        <f>SUMIF('Infrastructure Costs'!A:A,"Cloud Infrastructure",'Infrastructure Costs'!I:I)</f>
        <v/>
      </c>
      <c r="G4" s="22">
        <f>D4+E4+F4</f>
        <v/>
      </c>
    </row>
    <row r="5" ht="26" customHeight="1">
      <c r="A5" s="21" t="inlineStr">
        <is>
          <t>Software Licenses</t>
        </is>
      </c>
      <c r="B5" s="23">
        <f>SUMIF('Infrastructure Costs'!A:A,"Software Licenses",'Infrastructure Costs'!G:G)</f>
        <v/>
      </c>
      <c r="C5" s="23">
        <f>Credits!C5</f>
        <v/>
      </c>
      <c r="D5" s="23">
        <f>B5+C5</f>
        <v/>
      </c>
      <c r="E5" s="23">
        <f>SUMIF('Infrastructure Costs'!A:A,"Software Licenses",'Infrastructure Costs'!H:H)</f>
        <v/>
      </c>
      <c r="F5" s="23">
        <f>SUMIF('Infrastructure Costs'!A:A,"Software Licenses",'Infrastructure Costs'!I:I)</f>
        <v/>
      </c>
      <c r="G5" s="23">
        <f>D5+E5+F5</f>
        <v/>
      </c>
    </row>
    <row r="6" ht="26" customHeight="1">
      <c r="A6" s="10" t="inlineStr">
        <is>
          <t>Support &amp; Maintenance</t>
        </is>
      </c>
      <c r="B6" s="22">
        <f>SUMIF('Infrastructure Costs'!A:A,"Support &amp; Maintenance",'Infrastructure Costs'!G:G)</f>
        <v/>
      </c>
      <c r="C6" s="22">
        <f>Credits!C6</f>
        <v/>
      </c>
      <c r="D6" s="22">
        <f>B6+C6</f>
        <v/>
      </c>
      <c r="E6" s="22">
        <f>SUMIF('Infrastructure Costs'!A:A,"Support &amp; Maintenance",'Infrastructure Costs'!H:H)</f>
        <v/>
      </c>
      <c r="F6" s="22">
        <f>SUMIF('Infrastructure Costs'!A:A,"Support &amp; Maintenance",'Infrastructure Costs'!I:I)</f>
        <v/>
      </c>
      <c r="G6" s="22">
        <f>D6+E6+F6</f>
        <v/>
      </c>
    </row>
    <row r="7" ht="26" customHeight="1">
      <c r="A7" s="21" t="inlineStr">
        <is>
          <t>Hardware/Equipment</t>
        </is>
      </c>
      <c r="B7" s="23">
        <f>SUMIF('Infrastructure Costs'!A:A,"Hardware/Equipment",'Infrastructure Costs'!G:G)</f>
        <v/>
      </c>
      <c r="C7" s="23">
        <f>Credits!C7</f>
        <v/>
      </c>
      <c r="D7" s="23">
        <f>B7+C7</f>
        <v/>
      </c>
      <c r="E7" s="23">
        <f>SUMIF('Infrastructure Costs'!A:A,"Hardware/Equipment",'Infrastructure Costs'!H:H)</f>
        <v/>
      </c>
      <c r="F7" s="23">
        <f>SUMIF('Infrastructure Costs'!A:A,"Hardware/Equipment",'Infrastructure Costs'!I:I)</f>
        <v/>
      </c>
      <c r="G7" s="23">
        <f>D7+E7+F7</f>
        <v/>
      </c>
    </row>
    <row r="8" ht="26" customHeight="1">
      <c r="A8" s="24" t="inlineStr">
        <is>
          <t>TOTAL</t>
        </is>
      </c>
      <c r="B8" s="25">
        <f>SUM(B4:B7)</f>
        <v/>
      </c>
      <c r="C8" s="25">
        <f>SUM(C4:C7)</f>
        <v/>
      </c>
      <c r="D8" s="25">
        <f>SUM(D4:D7)</f>
        <v/>
      </c>
      <c r="E8" s="25">
        <f>SUM(E4:E7)</f>
        <v/>
      </c>
      <c r="F8" s="25">
        <f>SUM(F4:F7)</f>
        <v/>
      </c>
      <c r="G8" s="25">
        <f>SUM(G4:G7)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2025-11-18T10:07:13Z</dcterms:modified>
</cp:coreProperties>
</file>