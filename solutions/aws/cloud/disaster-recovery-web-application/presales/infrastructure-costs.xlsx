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G GUIDELINES" sheetId="1" state="visible" r:id="rId1"/>
    <sheet xmlns:r="http://schemas.openxmlformats.org/officeDocument/2006/relationships" name="INFRASTRUCTURE COSTS" sheetId="2" state="visible" r:id="rId2"/>
    <sheet xmlns:r="http://schemas.openxmlformats.org/officeDocument/2006/relationships" name="CREDIT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'SIZING GUIDELINES'!$A$2:$F$9</definedName>
    <definedName name="_xlnm._FilterDatabase" localSheetId="1" hidden="1">'INFRASTRUCTURE COSTS'!$A$2:$K$25</definedName>
    <definedName name="_xlnm._FilterDatabase" localSheetId="2" hidden="1">'CREDITS'!$A$2:$D$7</definedName>
    <definedName name="_xlnm._FilterDatabase" localSheetId="3" hidden="1">'SUMMARY'!$A$2:$G$7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40" customWidth="1" min="6" max="6"/>
  </cols>
  <sheetData>
    <row r="1" ht="25" customHeight="1">
      <c r="A1" s="1" t="inlineStr">
        <is>
          <t># SIZING GUIDELINES - Based on Solution Scope (Default: Small)</t>
        </is>
      </c>
    </row>
    <row r="2" ht="30" customHeight="1">
      <c r="A2" s="2" t="inlineStr">
        <is>
          <t>Category</t>
        </is>
      </c>
      <c r="B2" s="2" t="inlineStr">
        <is>
          <t>Component</t>
        </is>
      </c>
      <c r="C2" s="2" t="inlineStr">
        <is>
          <t>Small</t>
        </is>
      </c>
      <c r="D2" s="2" t="inlineStr">
        <is>
          <t>Medium</t>
        </is>
      </c>
      <c r="E2" s="2" t="inlineStr">
        <is>
          <t>Large</t>
        </is>
      </c>
      <c r="F2" s="2" t="inlineStr">
        <is>
          <t>Notes</t>
        </is>
      </c>
    </row>
    <row r="3">
      <c r="A3" s="3" t="inlineStr">
        <is>
          <t>Cloud Infrastructure</t>
        </is>
      </c>
      <c r="B3" s="4" t="inlineStr">
        <is>
          <t>Application Tier</t>
        </is>
      </c>
      <c r="C3" s="4" t="inlineStr">
        <is>
          <t>2 web servers</t>
        </is>
      </c>
      <c r="D3" s="4" t="inlineStr">
        <is>
          <t>4-6 web servers</t>
        </is>
      </c>
      <c r="E3" s="4" t="inlineStr">
        <is>
          <t>10+ web servers</t>
        </is>
      </c>
      <c r="F3" s="4" t="inlineStr">
        <is>
          <t>Primary region compute capacity</t>
        </is>
      </c>
    </row>
    <row r="4">
      <c r="A4" s="3" t="inlineStr">
        <is>
          <t>Cloud Infrastructure</t>
        </is>
      </c>
      <c r="B4" s="4" t="inlineStr">
        <is>
          <t>Database Size</t>
        </is>
      </c>
      <c r="C4" s="4" t="inlineStr">
        <is>
          <t>db.t3.large Multi-AZ</t>
        </is>
      </c>
      <c r="D4" s="4" t="inlineStr">
        <is>
          <t>db.r5.xlarge Multi-AZ</t>
        </is>
      </c>
      <c r="E4" s="4" t="inlineStr">
        <is>
          <t>db.r5.4xlarge Multi-AZ</t>
        </is>
      </c>
      <c r="F4" s="4" t="inlineStr">
        <is>
          <t>RDS instance sizing</t>
        </is>
      </c>
    </row>
    <row r="5">
      <c r="A5" s="3" t="inlineStr">
        <is>
          <t>Cloud Infrastructure</t>
        </is>
      </c>
      <c r="B5" s="4" t="inlineStr">
        <is>
          <t>DR Strategy</t>
        </is>
      </c>
      <c r="C5" s="4" t="inlineStr">
        <is>
          <t>Pilot Light</t>
        </is>
      </c>
      <c r="D5" s="4" t="inlineStr">
        <is>
          <t>Warm Standby</t>
        </is>
      </c>
      <c r="E5" s="4" t="inlineStr">
        <is>
          <t>Hot Standby</t>
        </is>
      </c>
      <c r="F5" s="4" t="inlineStr">
        <is>
          <t>Disaster recovery approach</t>
        </is>
      </c>
    </row>
    <row r="6">
      <c r="A6" s="3" t="inlineStr">
        <is>
          <t>Cloud Infrastructure</t>
        </is>
      </c>
      <c r="B6" s="4" t="inlineStr">
        <is>
          <t>Storage Volume</t>
        </is>
      </c>
      <c r="C6" s="4" t="inlineStr">
        <is>
          <t>500 GB</t>
        </is>
      </c>
      <c r="D6" s="4" t="inlineStr">
        <is>
          <t>2 TB</t>
        </is>
      </c>
      <c r="E6" s="4" t="inlineStr">
        <is>
          <t>10+ TB</t>
        </is>
      </c>
      <c r="F6" s="4" t="inlineStr">
        <is>
          <t>Application data and backups</t>
        </is>
      </c>
    </row>
    <row r="7">
      <c r="A7" s="3" t="inlineStr">
        <is>
          <t>Cloud Infrastructure</t>
        </is>
      </c>
      <c r="B7" s="4" t="inlineStr">
        <is>
          <t>Monthly Traffic</t>
        </is>
      </c>
      <c r="C7" s="4" t="inlineStr">
        <is>
          <t>100 GB cross-region</t>
        </is>
      </c>
      <c r="D7" s="4" t="inlineStr">
        <is>
          <t>500 GB cross-region</t>
        </is>
      </c>
      <c r="E7" s="4" t="inlineStr">
        <is>
          <t>2 TB+ cross-region</t>
        </is>
      </c>
      <c r="F7" s="4" t="inlineStr">
        <is>
          <t>Data replication volume</t>
        </is>
      </c>
    </row>
    <row r="8">
      <c r="A8" s="3" t="inlineStr">
        <is>
          <t>Software Licenses</t>
        </is>
      </c>
      <c r="B8" s="4" t="inlineStr">
        <is>
          <t>Monitoring Tools</t>
        </is>
      </c>
      <c r="C8" s="4" t="inlineStr">
        <is>
          <t>Basic (6 hosts)</t>
        </is>
      </c>
      <c r="D8" s="4" t="inlineStr">
        <is>
          <t>Standard (15 hosts)</t>
        </is>
      </c>
      <c r="E8" s="4" t="inlineStr">
        <is>
          <t>Enterprise (50+ hosts)</t>
        </is>
      </c>
      <c r="F8" s="4" t="inlineStr">
        <is>
          <t>Application performance monitoring</t>
        </is>
      </c>
    </row>
    <row r="9">
      <c r="A9" s="3" t="inlineStr">
        <is>
          <t>Support &amp; Maintenance</t>
        </is>
      </c>
      <c r="B9" s="4" t="inlineStr">
        <is>
          <t>Support Level</t>
        </is>
      </c>
      <c r="C9" s="4" t="inlineStr">
        <is>
          <t>Business hours</t>
        </is>
      </c>
      <c r="D9" s="4" t="inlineStr">
        <is>
          <t>24x5 support</t>
        </is>
      </c>
      <c r="E9" s="4" t="inlineStr">
        <is>
          <t>24x7 premium</t>
        </is>
      </c>
      <c r="F9" s="4" t="inlineStr">
        <is>
          <t>SLA requirements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25" customHeight="1">
      <c r="A1" s="1" t="inlineStr">
        <is>
          <t># INFRASTRUCTURE COSTS - Quantities Default to Small Scope</t>
        </is>
      </c>
    </row>
    <row r="2" ht="30" customHeight="1">
      <c r="A2" s="2" t="inlineStr">
        <is>
          <t>Category</t>
        </is>
      </c>
      <c r="B2" s="2" t="inlineStr">
        <is>
          <t>Component</t>
        </is>
      </c>
      <c r="C2" s="2" t="inlineStr">
        <is>
          <t>Description</t>
        </is>
      </c>
      <c r="D2" s="2" t="inlineStr">
        <is>
          <t>Quantity</t>
        </is>
      </c>
      <c r="E2" s="2" t="inlineStr">
        <is>
          <t>Unit</t>
        </is>
      </c>
      <c r="F2" s="2" t="inlineStr">
        <is>
          <t>Unit Price</t>
        </is>
      </c>
      <c r="G2" s="2" t="inlineStr">
        <is>
          <t>Annual Cost</t>
        </is>
      </c>
      <c r="H2" s="2" t="inlineStr">
        <is>
          <t>Year 2</t>
        </is>
      </c>
      <c r="I2" s="2" t="inlineStr">
        <is>
          <t>Year 3</t>
        </is>
      </c>
      <c r="J2" s="2" t="inlineStr">
        <is>
          <t>3-Year Total</t>
        </is>
      </c>
      <c r="K2" s="2" t="inlineStr">
        <is>
          <t>Notes</t>
        </is>
      </c>
    </row>
    <row r="3">
      <c r="A3" s="3" t="inlineStr">
        <is>
          <t>Cloud Infrastructure</t>
        </is>
      </c>
      <c r="B3" s="4" t="inlineStr">
        <is>
          <t>EC2 Primary Web Tier</t>
        </is>
      </c>
      <c r="C3" s="4" t="inlineStr">
        <is>
          <t>t3.large instances for web tier (primary)</t>
        </is>
      </c>
      <c r="D3" s="5" t="n">
        <v>2</v>
      </c>
      <c r="E3" s="4" t="inlineStr">
        <is>
          <t>Instance/Month</t>
        </is>
      </c>
      <c r="F3" s="6" t="n">
        <v>75</v>
      </c>
      <c r="G3" s="4">
        <f>D11*F11*12</f>
        <v/>
      </c>
      <c r="H3" s="4">
        <f>G11</f>
        <v/>
      </c>
      <c r="I3" s="4">
        <f>G11</f>
        <v/>
      </c>
      <c r="J3" s="4">
        <f>G11+H11+I11</f>
        <v/>
      </c>
      <c r="K3" s="4" t="inlineStr">
        <is>
          <t>Primary region compute</t>
        </is>
      </c>
    </row>
    <row r="4">
      <c r="A4" s="3" t="inlineStr">
        <is>
          <t>Cloud Infrastructure</t>
        </is>
      </c>
      <c r="B4" s="4" t="inlineStr">
        <is>
          <t>EC2 DR Pilot Light</t>
        </is>
      </c>
      <c r="C4" s="4" t="inlineStr">
        <is>
          <t>t3.medium on-demand for DR testing</t>
        </is>
      </c>
      <c r="D4" s="5" t="n">
        <v>1</v>
      </c>
      <c r="E4" s="4" t="inlineStr">
        <is>
          <t>Instance/Month</t>
        </is>
      </c>
      <c r="F4" s="6" t="n">
        <v>21</v>
      </c>
      <c r="G4" s="4">
        <f>D12*F12*12</f>
        <v/>
      </c>
      <c r="H4" s="4">
        <f>G12</f>
        <v/>
      </c>
      <c r="I4" s="4">
        <f>G12</f>
        <v/>
      </c>
      <c r="J4" s="4">
        <f>G12+H12+I12</f>
        <v/>
      </c>
      <c r="K4" s="4" t="inlineStr">
        <is>
          <t>DR region pilot light</t>
        </is>
      </c>
    </row>
    <row r="5">
      <c r="A5" s="3" t="inlineStr">
        <is>
          <t>Cloud Infrastructure</t>
        </is>
      </c>
      <c r="B5" s="4" t="inlineStr">
        <is>
          <t>RDS Primary Database</t>
        </is>
      </c>
      <c r="C5" s="4" t="inlineStr">
        <is>
          <t>db.t3.large Multi-AZ PostgreSQL</t>
        </is>
      </c>
      <c r="D5" s="5" t="n">
        <v>1</v>
      </c>
      <c r="E5" s="4" t="inlineStr">
        <is>
          <t>Instance/Month</t>
        </is>
      </c>
      <c r="F5" s="6" t="n">
        <v>240</v>
      </c>
      <c r="G5" s="4">
        <f>D13*F13*12</f>
        <v/>
      </c>
      <c r="H5" s="4">
        <f>G13</f>
        <v/>
      </c>
      <c r="I5" s="4">
        <f>G13</f>
        <v/>
      </c>
      <c r="J5" s="4">
        <f>G13+H13+I13</f>
        <v/>
      </c>
      <c r="K5" s="4" t="inlineStr">
        <is>
          <t>Primary database</t>
        </is>
      </c>
    </row>
    <row r="6">
      <c r="A6" s="3" t="inlineStr">
        <is>
          <t>Cloud Infrastructure</t>
        </is>
      </c>
      <c r="B6" s="4" t="inlineStr">
        <is>
          <t>RDS DR Backups</t>
        </is>
      </c>
      <c r="C6" s="4" t="inlineStr">
        <is>
          <t>Cross-region automated backups</t>
        </is>
      </c>
      <c r="D6" s="5" t="n">
        <v>1</v>
      </c>
      <c r="E6" s="4" t="inlineStr">
        <is>
          <t>Service/Month</t>
        </is>
      </c>
      <c r="F6" s="6" t="n">
        <v>60</v>
      </c>
      <c r="G6" s="4">
        <f>D14*F14*12</f>
        <v/>
      </c>
      <c r="H6" s="4">
        <f>G14</f>
        <v/>
      </c>
      <c r="I6" s="4">
        <f>G14</f>
        <v/>
      </c>
      <c r="J6" s="4">
        <f>G14+H14+I14</f>
        <v/>
      </c>
      <c r="K6" s="4" t="inlineStr">
        <is>
          <t>DR backup strategy</t>
        </is>
      </c>
    </row>
    <row r="7">
      <c r="A7" s="3" t="inlineStr">
        <is>
          <t>Cloud Infrastructure</t>
        </is>
      </c>
      <c r="B7" s="4" t="inlineStr">
        <is>
          <t>S3 Standard Storage</t>
        </is>
      </c>
      <c r="C7" s="4" t="inlineStr">
        <is>
          <t>App data and backups (500GB)</t>
        </is>
      </c>
      <c r="D7" s="5" t="n">
        <v>500</v>
      </c>
      <c r="E7" s="4" t="inlineStr">
        <is>
          <t>GB/Month</t>
        </is>
      </c>
      <c r="F7" s="6" t="n">
        <v>0.023</v>
      </c>
      <c r="G7" s="4">
        <f>D15*F15*12</f>
        <v/>
      </c>
      <c r="H7" s="4">
        <f>G15</f>
        <v/>
      </c>
      <c r="I7" s="4">
        <f>G15</f>
        <v/>
      </c>
      <c r="J7" s="4">
        <f>G15+H15+I15</f>
        <v/>
      </c>
      <c r="K7" s="4" t="inlineStr">
        <is>
          <t>Object storage</t>
        </is>
      </c>
    </row>
    <row r="8">
      <c r="A8" s="3" t="inlineStr">
        <is>
          <t>Cloud Infrastructure</t>
        </is>
      </c>
      <c r="B8" s="4" t="inlineStr">
        <is>
          <t>S3 Cross-Region Replication</t>
        </is>
      </c>
      <c r="C8" s="4" t="inlineStr">
        <is>
          <t>Replication to DR region (500GB)</t>
        </is>
      </c>
      <c r="D8" s="5" t="n">
        <v>500</v>
      </c>
      <c r="E8" s="4" t="inlineStr">
        <is>
          <t>GB/Month</t>
        </is>
      </c>
      <c r="F8" s="6" t="n">
        <v>0.0005</v>
      </c>
      <c r="G8" s="4">
        <f>D16*F16*12</f>
        <v/>
      </c>
      <c r="H8" s="4">
        <f>G16</f>
        <v/>
      </c>
      <c r="I8" s="4">
        <f>G16</f>
        <v/>
      </c>
      <c r="J8" s="4">
        <f>G16+H16+I16</f>
        <v/>
      </c>
      <c r="K8" s="4" t="inlineStr">
        <is>
          <t>DR replication</t>
        </is>
      </c>
    </row>
    <row r="9">
      <c r="A9" s="3" t="inlineStr">
        <is>
          <t>Cloud Infrastructure</t>
        </is>
      </c>
      <c r="B9" s="4" t="inlineStr">
        <is>
          <t>Route 53 Health Checks</t>
        </is>
      </c>
      <c r="C9" s="4" t="inlineStr">
        <is>
          <t>DNS failover health checks</t>
        </is>
      </c>
      <c r="D9" s="5" t="n">
        <v>5</v>
      </c>
      <c r="E9" s="4" t="inlineStr">
        <is>
          <t>Checks/Month</t>
        </is>
      </c>
      <c r="F9" s="6" t="n">
        <v>0.5</v>
      </c>
      <c r="G9" s="4">
        <f>D17*F17*12</f>
        <v/>
      </c>
      <c r="H9" s="4">
        <f>G17</f>
        <v/>
      </c>
      <c r="I9" s="4">
        <f>G17</f>
        <v/>
      </c>
      <c r="J9" s="4">
        <f>G17+H17+I17</f>
        <v/>
      </c>
      <c r="K9" s="4" t="inlineStr">
        <is>
          <t>Automated failover</t>
        </is>
      </c>
    </row>
    <row r="10">
      <c r="A10" s="3" t="inlineStr">
        <is>
          <t>Cloud Infrastructure</t>
        </is>
      </c>
      <c r="B10" s="4" t="inlineStr">
        <is>
          <t>Route 53 Hosted Zones</t>
        </is>
      </c>
      <c r="C10" s="4" t="inlineStr">
        <is>
          <t>Production and DR domains</t>
        </is>
      </c>
      <c r="D10" s="5" t="n">
        <v>2</v>
      </c>
      <c r="E10" s="4" t="inlineStr">
        <is>
          <t>Zones/Month</t>
        </is>
      </c>
      <c r="F10" s="6" t="n">
        <v>0.5</v>
      </c>
      <c r="G10" s="4">
        <f>D18*F18*12</f>
        <v/>
      </c>
      <c r="H10" s="4">
        <f>G18</f>
        <v/>
      </c>
      <c r="I10" s="4">
        <f>G18</f>
        <v/>
      </c>
      <c r="J10" s="4">
        <f>G18+H18+I18</f>
        <v/>
      </c>
      <c r="K10" s="4" t="inlineStr">
        <is>
          <t>DNS management</t>
        </is>
      </c>
    </row>
    <row r="11">
      <c r="A11" s="3" t="inlineStr">
        <is>
          <t>Cloud Infrastructure</t>
        </is>
      </c>
      <c r="B11" s="4" t="inlineStr">
        <is>
          <t>ALB Primary</t>
        </is>
      </c>
      <c r="C11" s="4" t="inlineStr">
        <is>
          <t>Application Load Balancer primary</t>
        </is>
      </c>
      <c r="D11" s="5" t="n">
        <v>1</v>
      </c>
      <c r="E11" s="4" t="inlineStr">
        <is>
          <t>ALB/Month</t>
        </is>
      </c>
      <c r="F11" s="6" t="n">
        <v>22.5</v>
      </c>
      <c r="G11" s="4">
        <f>D19*F19*12</f>
        <v/>
      </c>
      <c r="H11" s="4">
        <f>G19</f>
        <v/>
      </c>
      <c r="I11" s="4">
        <f>G19</f>
        <v/>
      </c>
      <c r="J11" s="4">
        <f>G19+H19+I19</f>
        <v/>
      </c>
      <c r="K11" s="4" t="inlineStr">
        <is>
          <t>Load balancing</t>
        </is>
      </c>
    </row>
    <row r="12">
      <c r="A12" s="3" t="inlineStr">
        <is>
          <t>Cloud Infrastructure</t>
        </is>
      </c>
      <c r="B12" s="4" t="inlineStr">
        <is>
          <t>ALB DR</t>
        </is>
      </c>
      <c r="C12" s="4" t="inlineStr">
        <is>
          <t>ALB for DR testing</t>
        </is>
      </c>
      <c r="D12" s="5" t="n">
        <v>1</v>
      </c>
      <c r="E12" s="4" t="inlineStr">
        <is>
          <t>ALB/Month</t>
        </is>
      </c>
      <c r="F12" s="6" t="n">
        <v>11.25</v>
      </c>
      <c r="G12" s="4">
        <f>D20*F20*12</f>
        <v/>
      </c>
      <c r="H12" s="4">
        <f>G20</f>
        <v/>
      </c>
      <c r="I12" s="4">
        <f>G20</f>
        <v/>
      </c>
      <c r="J12" s="4">
        <f>G20+H20+I20</f>
        <v/>
      </c>
      <c r="K12" s="4" t="inlineStr">
        <is>
          <t>DR load balancer</t>
        </is>
      </c>
    </row>
    <row r="13">
      <c r="A13" s="3" t="inlineStr">
        <is>
          <t>Cloud Infrastructure</t>
        </is>
      </c>
      <c r="B13" s="4" t="inlineStr">
        <is>
          <t>EBS Volumes Primary</t>
        </is>
      </c>
      <c r="C13" s="4" t="inlineStr">
        <is>
          <t>gp3 storage volumes (500GB)</t>
        </is>
      </c>
      <c r="D13" s="5" t="n">
        <v>500</v>
      </c>
      <c r="E13" s="4" t="inlineStr">
        <is>
          <t>GB/Month</t>
        </is>
      </c>
      <c r="F13" s="6" t="n">
        <v>0.1</v>
      </c>
      <c r="G13" s="4">
        <f>D21*F21*12</f>
        <v/>
      </c>
      <c r="H13" s="4">
        <f>G21</f>
        <v/>
      </c>
      <c r="I13" s="4">
        <f>G21</f>
        <v/>
      </c>
      <c r="J13" s="4">
        <f>G21+H21+I21</f>
        <v/>
      </c>
      <c r="K13" s="4" t="inlineStr">
        <is>
          <t>Block storage</t>
        </is>
      </c>
    </row>
    <row r="14">
      <c r="A14" s="3" t="inlineStr">
        <is>
          <t>Cloud Infrastructure</t>
        </is>
      </c>
      <c r="B14" s="4" t="inlineStr">
        <is>
          <t>EBS Snapshots</t>
        </is>
      </c>
      <c r="C14" s="4" t="inlineStr">
        <is>
          <t>Automated incremental backups</t>
        </is>
      </c>
      <c r="D14" s="5" t="n">
        <v>500</v>
      </c>
      <c r="E14" s="4" t="inlineStr">
        <is>
          <t>GB/Month</t>
        </is>
      </c>
      <c r="F14" s="6" t="n">
        <v>0.05</v>
      </c>
      <c r="G14" s="4">
        <f>D22*F22*12</f>
        <v/>
      </c>
      <c r="H14" s="4">
        <f>G22</f>
        <v/>
      </c>
      <c r="I14" s="4">
        <f>G22</f>
        <v/>
      </c>
      <c r="J14" s="4">
        <f>G22+H22+I22</f>
        <v/>
      </c>
      <c r="K14" s="4" t="inlineStr">
        <is>
          <t>Backup snapshots</t>
        </is>
      </c>
    </row>
    <row r="15">
      <c r="A15" s="3" t="inlineStr">
        <is>
          <t>Cloud Infrastructure</t>
        </is>
      </c>
      <c r="B15" s="4" t="inlineStr">
        <is>
          <t>AWS Backup</t>
        </is>
      </c>
      <c r="C15" s="4" t="inlineStr">
        <is>
          <t>Centralized backup policies (500GB)</t>
        </is>
      </c>
      <c r="D15" s="5" t="n">
        <v>500</v>
      </c>
      <c r="E15" s="4" t="inlineStr">
        <is>
          <t>GB/Month</t>
        </is>
      </c>
      <c r="F15" s="6" t="n">
        <v>0.05</v>
      </c>
      <c r="G15" s="4">
        <f>D23*F23*12</f>
        <v/>
      </c>
      <c r="H15" s="4">
        <f>G23</f>
        <v/>
      </c>
      <c r="I15" s="4">
        <f>G23</f>
        <v/>
      </c>
      <c r="J15" s="4">
        <f>G23+H23+I23</f>
        <v/>
      </c>
      <c r="K15" s="4" t="inlineStr">
        <is>
          <t>Backup management</t>
        </is>
      </c>
    </row>
    <row r="16">
      <c r="A16" s="3" t="inlineStr">
        <is>
          <t>Cloud Infrastructure</t>
        </is>
      </c>
      <c r="B16" s="4" t="inlineStr">
        <is>
          <t>CloudWatch Logs</t>
        </is>
      </c>
      <c r="C16" s="4" t="inlineStr">
        <is>
          <t>Primary and DR regions (50GB)</t>
        </is>
      </c>
      <c r="D16" s="5" t="n">
        <v>50</v>
      </c>
      <c r="E16" s="4" t="inlineStr">
        <is>
          <t>GB/Month</t>
        </is>
      </c>
      <c r="F16" s="6" t="n">
        <v>0.5</v>
      </c>
      <c r="G16" s="4">
        <f>D24*F24*12</f>
        <v/>
      </c>
      <c r="H16" s="4">
        <f>G24</f>
        <v/>
      </c>
      <c r="I16" s="4">
        <f>G24</f>
        <v/>
      </c>
      <c r="J16" s="4">
        <f>G24+H24+I24</f>
        <v/>
      </c>
      <c r="K16" s="4" t="inlineStr">
        <is>
          <t>Monitoring logs</t>
        </is>
      </c>
    </row>
    <row r="17">
      <c r="A17" s="3" t="inlineStr">
        <is>
          <t>Cloud Infrastructure</t>
        </is>
      </c>
      <c r="B17" s="4" t="inlineStr">
        <is>
          <t>CloudWatch Metrics</t>
        </is>
      </c>
      <c r="C17" s="4" t="inlineStr">
        <is>
          <t>Monitoring dashboards (100 metrics)</t>
        </is>
      </c>
      <c r="D17" s="5" t="n">
        <v>100</v>
      </c>
      <c r="E17" s="4" t="inlineStr">
        <is>
          <t>Metrics/Month</t>
        </is>
      </c>
      <c r="F17" s="6" t="n">
        <v>0.3</v>
      </c>
      <c r="G17" s="4">
        <f>D25*F25*12</f>
        <v/>
      </c>
      <c r="H17" s="4">
        <f>G25</f>
        <v/>
      </c>
      <c r="I17" s="4">
        <f>G25</f>
        <v/>
      </c>
      <c r="J17" s="4">
        <f>G25+H25+I25</f>
        <v/>
      </c>
      <c r="K17" s="4" t="inlineStr">
        <is>
          <t>Custom metrics</t>
        </is>
      </c>
    </row>
    <row r="18">
      <c r="A18" s="3" t="inlineStr">
        <is>
          <t>Cloud Infrastructure</t>
        </is>
      </c>
      <c r="B18" s="4" t="inlineStr">
        <is>
          <t>CloudTrail</t>
        </is>
      </c>
      <c r="C18" s="4" t="inlineStr">
        <is>
          <t>Audit logging both regions</t>
        </is>
      </c>
      <c r="D18" s="5" t="n">
        <v>2</v>
      </c>
      <c r="E18" s="4" t="inlineStr">
        <is>
          <t>Trails/Month</t>
        </is>
      </c>
      <c r="F18" s="6" t="n">
        <v>2</v>
      </c>
      <c r="G18" s="4">
        <f>D26*F26*12</f>
        <v/>
      </c>
      <c r="H18" s="4">
        <f>G26</f>
        <v/>
      </c>
      <c r="I18" s="4">
        <f>G26</f>
        <v/>
      </c>
      <c r="J18" s="4">
        <f>G26+H26+I26</f>
        <v/>
      </c>
      <c r="K18" s="4" t="inlineStr">
        <is>
          <t>Compliance audit</t>
        </is>
      </c>
    </row>
    <row r="19">
      <c r="A19" s="3" t="inlineStr">
        <is>
          <t>Cloud Infrastructure</t>
        </is>
      </c>
      <c r="B19" s="4" t="inlineStr">
        <is>
          <t>NAT Gateway Primary</t>
        </is>
      </c>
      <c r="C19" s="4" t="inlineStr">
        <is>
          <t>Single AZ NAT Gateway</t>
        </is>
      </c>
      <c r="D19" s="5" t="n">
        <v>1</v>
      </c>
      <c r="E19" s="4" t="inlineStr">
        <is>
          <t>Gateway/Month</t>
        </is>
      </c>
      <c r="F19" s="6" t="n">
        <v>32.85</v>
      </c>
      <c r="G19" s="4">
        <f>D27*F27*12</f>
        <v/>
      </c>
      <c r="H19" s="4">
        <f>G27</f>
        <v/>
      </c>
      <c r="I19" s="4">
        <f>G27</f>
        <v/>
      </c>
      <c r="J19" s="4">
        <f>G27+H27+I27</f>
        <v/>
      </c>
      <c r="K19" s="4" t="inlineStr">
        <is>
          <t>Outbound connectivity</t>
        </is>
      </c>
    </row>
    <row r="20">
      <c r="A20" s="3" t="inlineStr">
        <is>
          <t>Cloud Infrastructure</t>
        </is>
      </c>
      <c r="B20" s="4" t="inlineStr">
        <is>
          <t>Secrets Manager</t>
        </is>
      </c>
      <c r="C20" s="4" t="inlineStr">
        <is>
          <t>Secure credential storage</t>
        </is>
      </c>
      <c r="D20" s="5" t="n">
        <v>10</v>
      </c>
      <c r="E20" s="4" t="inlineStr">
        <is>
          <t>Secrets/Month</t>
        </is>
      </c>
      <c r="F20" s="6" t="n">
        <v>0.4</v>
      </c>
      <c r="G20" s="4">
        <f>D28*F28*12</f>
        <v/>
      </c>
      <c r="H20" s="4">
        <f>G28</f>
        <v/>
      </c>
      <c r="I20" s="4">
        <f>G28</f>
        <v/>
      </c>
      <c r="J20" s="4">
        <f>G28+H28+I28</f>
        <v/>
      </c>
      <c r="K20" s="4" t="inlineStr">
        <is>
          <t>Secrets management</t>
        </is>
      </c>
    </row>
    <row r="21">
      <c r="A21" s="3" t="inlineStr">
        <is>
          <t>Cloud Infrastructure</t>
        </is>
      </c>
      <c r="B21" s="4" t="inlineStr">
        <is>
          <t>SNS Notifications</t>
        </is>
      </c>
      <c r="C21" s="4" t="inlineStr">
        <is>
          <t>DR event notifications</t>
        </is>
      </c>
      <c r="D21" s="5" t="n">
        <v>5</v>
      </c>
      <c r="E21" s="4" t="inlineStr">
        <is>
          <t>Topics/Month</t>
        </is>
      </c>
      <c r="F21" s="6" t="n">
        <v>0.5</v>
      </c>
      <c r="G21" s="4">
        <f>D29*F29*12</f>
        <v/>
      </c>
      <c r="H21" s="4">
        <f>G29</f>
        <v/>
      </c>
      <c r="I21" s="4">
        <f>G29</f>
        <v/>
      </c>
      <c r="J21" s="4">
        <f>G29+H29+I29</f>
        <v/>
      </c>
      <c r="K21" s="4" t="inlineStr">
        <is>
          <t>Alert notifications</t>
        </is>
      </c>
    </row>
    <row r="22">
      <c r="A22" s="3" t="inlineStr">
        <is>
          <t>Cloud Infrastructure</t>
        </is>
      </c>
      <c r="B22" s="4" t="inlineStr">
        <is>
          <t>Data Transfer Cross-Region</t>
        </is>
      </c>
      <c r="C22" s="4" t="inlineStr">
        <is>
          <t>Replication traffic (100GB/month)</t>
        </is>
      </c>
      <c r="D22" s="5" t="n">
        <v>100</v>
      </c>
      <c r="E22" s="4" t="inlineStr">
        <is>
          <t>GB/Month</t>
        </is>
      </c>
      <c r="F22" s="6" t="n">
        <v>0.02</v>
      </c>
      <c r="G22" s="4">
        <f>D30*F30*12</f>
        <v/>
      </c>
      <c r="H22" s="4">
        <f>G30</f>
        <v/>
      </c>
      <c r="I22" s="4">
        <f>G30</f>
        <v/>
      </c>
      <c r="J22" s="4">
        <f>G30+H30+I30</f>
        <v/>
      </c>
      <c r="K22" s="4" t="inlineStr">
        <is>
          <t>Cross-region transfer</t>
        </is>
      </c>
    </row>
    <row r="23">
      <c r="A23" s="3" t="inlineStr">
        <is>
          <t>Software Licenses</t>
        </is>
      </c>
      <c r="B23" s="4" t="inlineStr">
        <is>
          <t>Datadog Monitoring</t>
        </is>
      </c>
      <c r="C23" s="4" t="inlineStr">
        <is>
          <t>Pro monitoring (6 hosts)</t>
        </is>
      </c>
      <c r="D23" s="5" t="n">
        <v>6</v>
      </c>
      <c r="E23" s="4" t="inlineStr">
        <is>
          <t>Hosts/Month</t>
        </is>
      </c>
      <c r="F23" s="6" t="n">
        <v>23</v>
      </c>
      <c r="G23" s="4">
        <f>D31*F31*12</f>
        <v/>
      </c>
      <c r="H23" s="4">
        <f>G31</f>
        <v/>
      </c>
      <c r="I23" s="4">
        <f>G31</f>
        <v/>
      </c>
      <c r="J23" s="4">
        <f>G31+H31+I31</f>
        <v/>
      </c>
      <c r="K23" s="4" t="inlineStr">
        <is>
          <t>Application monitoring</t>
        </is>
      </c>
    </row>
    <row r="24">
      <c r="A24" s="3" t="inlineStr">
        <is>
          <t>Software Licenses</t>
        </is>
      </c>
      <c r="B24" s="4" t="inlineStr">
        <is>
          <t>PagerDuty</t>
        </is>
      </c>
      <c r="C24" s="4" t="inlineStr">
        <is>
          <t>Professional incident management (3 users)</t>
        </is>
      </c>
      <c r="D24" s="5" t="n">
        <v>3</v>
      </c>
      <c r="E24" s="4" t="inlineStr">
        <is>
          <t>Users/Month</t>
        </is>
      </c>
      <c r="F24" s="6" t="n">
        <v>41</v>
      </c>
      <c r="G24" s="4">
        <f>D32*F32*12</f>
        <v/>
      </c>
      <c r="H24" s="4">
        <f>G32</f>
        <v/>
      </c>
      <c r="I24" s="4">
        <f>G32</f>
        <v/>
      </c>
      <c r="J24" s="4">
        <f>G32+H32+I32</f>
        <v/>
      </c>
      <c r="K24" s="4" t="inlineStr">
        <is>
          <t>Incident management</t>
        </is>
      </c>
    </row>
    <row r="25">
      <c r="A25" s="3" t="inlineStr">
        <is>
          <t>Support &amp; Maintenance</t>
        </is>
      </c>
      <c r="B25" s="4" t="inlineStr">
        <is>
          <t>AWS Managed DR Services</t>
        </is>
      </c>
      <c r="C25" s="4" t="inlineStr">
        <is>
          <t>Managed services and quarterly testing (15% of infrastructure)</t>
        </is>
      </c>
      <c r="D25" s="5" t="n">
        <v>1</v>
      </c>
      <c r="E25" s="4" t="inlineStr">
        <is>
          <t>Service/Month</t>
        </is>
      </c>
      <c r="F25" s="6" t="n">
        <v>122.25</v>
      </c>
      <c r="G25" s="4">
        <f>D33*F33*12</f>
        <v/>
      </c>
      <c r="H25" s="4">
        <f>G33</f>
        <v/>
      </c>
      <c r="I25" s="4">
        <f>G33</f>
        <v/>
      </c>
      <c r="J25" s="4">
        <f>G33+H33+I33</f>
        <v/>
      </c>
      <c r="K25" s="4" t="inlineStr">
        <is>
          <t>Ongoing support</t>
        </is>
      </c>
    </row>
  </sheetData>
  <autoFilter ref="A2:K25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25" customHeight="1">
      <c r="A1" s="1" t="inlineStr">
        <is>
          <t># CREDITS - Applied per Category (Year 1 Only)</t>
        </is>
      </c>
    </row>
    <row r="2" ht="30" customHeight="1">
      <c r="A2" s="2" t="inlineStr">
        <is>
          <t>Category</t>
        </is>
      </c>
      <c r="B2" s="2" t="inlineStr">
        <is>
          <t>Credit Type</t>
        </is>
      </c>
      <c r="C2" s="2" t="inlineStr">
        <is>
          <t>Credit Amount</t>
        </is>
      </c>
      <c r="D2" s="2" t="inlineStr">
        <is>
          <t>Credit Comments</t>
        </is>
      </c>
    </row>
    <row r="3">
      <c r="A3" s="3" t="inlineStr">
        <is>
          <t>Cloud Infrastructure</t>
        </is>
      </c>
      <c r="B3" s="4" t="inlineStr">
        <is>
          <t>AWS DR Program Credit</t>
        </is>
      </c>
      <c r="C3" s="6" t="n">
        <v>-369</v>
      </c>
      <c r="D3" s="4" t="inlineStr">
        <is>
          <t>Pilot light infrastructure and DR testing credits</t>
        </is>
      </c>
    </row>
    <row r="4">
      <c r="A4" s="3" t="inlineStr">
        <is>
          <t>Software Licenses</t>
        </is>
      </c>
      <c r="B4" s="4" t="inlineStr">
        <is>
          <t>Partner Credit</t>
        </is>
      </c>
      <c r="C4" s="6" t="n">
        <v>0</v>
      </c>
      <c r="D4" s="4" t="inlineStr">
        <is>
          <t>No software credits available</t>
        </is>
      </c>
    </row>
    <row r="5">
      <c r="A5" s="3" t="inlineStr">
        <is>
          <t>Support &amp; Maintenance</t>
        </is>
      </c>
      <c r="B5" s="4" t="inlineStr">
        <is>
          <t>Program Credit</t>
        </is>
      </c>
      <c r="C5" s="6" t="n">
        <v>0</v>
      </c>
      <c r="D5" s="4" t="inlineStr">
        <is>
          <t>No support credits available</t>
        </is>
      </c>
    </row>
    <row r="6">
      <c r="A6" s="3" t="inlineStr">
        <is>
          <t>Hardware/Equipment</t>
        </is>
      </c>
      <c r="B6" s="4" t="inlineStr">
        <is>
          <t>Equipment Credit</t>
        </is>
      </c>
      <c r="C6" s="6" t="n">
        <v>0</v>
      </c>
      <c r="D6" s="4" t="inlineStr">
        <is>
          <t>No hardware credits available</t>
        </is>
      </c>
    </row>
    <row r="7">
      <c r="A7" s="3" t="inlineStr">
        <is>
          <t>Professional Services</t>
        </is>
      </c>
      <c r="B7" s="4" t="inlineStr">
        <is>
          <t>AWS Partner Services Credit</t>
        </is>
      </c>
      <c r="C7" s="6" t="n">
        <v>-8000</v>
      </c>
      <c r="D7" s="4" t="inlineStr">
        <is>
          <t>DR design and testing services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# SUMMARY</t>
        </is>
      </c>
    </row>
    <row r="2" ht="30" customHeight="1">
      <c r="A2" s="2" t="inlineStr">
        <is>
          <t>Category</t>
        </is>
      </c>
      <c r="B2" s="2" t="inlineStr">
        <is>
          <t>Year 1 List</t>
        </is>
      </c>
      <c r="C2" s="2" t="inlineStr">
        <is>
          <t>Year 1 Credits</t>
        </is>
      </c>
      <c r="D2" s="2" t="inlineStr">
        <is>
          <t>Year 1 Net</t>
        </is>
      </c>
      <c r="E2" s="2" t="inlineStr">
        <is>
          <t>Year 2</t>
        </is>
      </c>
      <c r="F2" s="2" t="inlineStr">
        <is>
          <t>Year 3</t>
        </is>
      </c>
      <c r="G2" s="2" t="inlineStr">
        <is>
          <t>3-Year Total</t>
        </is>
      </c>
    </row>
    <row r="3">
      <c r="A3" s="3" t="inlineStr">
        <is>
          <t>Cloud Infrastructure</t>
        </is>
      </c>
      <c r="B3" s="6" t="n">
        <v>9620</v>
      </c>
      <c r="C3" s="6" t="n">
        <v>-369</v>
      </c>
      <c r="D3" s="6" t="n">
        <v>9251</v>
      </c>
      <c r="E3" s="6" t="n">
        <v>9620</v>
      </c>
      <c r="F3" s="6" t="n">
        <v>9620</v>
      </c>
      <c r="G3" s="6" t="n">
        <v>28491</v>
      </c>
    </row>
    <row r="4">
      <c r="A4" s="3" t="inlineStr">
        <is>
          <t>Software Licenses</t>
        </is>
      </c>
      <c r="B4" s="6" t="n">
        <v>3132</v>
      </c>
      <c r="C4" s="6" t="n">
        <v>0</v>
      </c>
      <c r="D4" s="6" t="n">
        <v>3132</v>
      </c>
      <c r="E4" s="6" t="n">
        <v>3132</v>
      </c>
      <c r="F4" s="6" t="n">
        <v>3132</v>
      </c>
      <c r="G4" s="6" t="n">
        <v>9396</v>
      </c>
    </row>
    <row r="5">
      <c r="A5" s="3" t="inlineStr">
        <is>
          <t>Support &amp; Maintenance</t>
        </is>
      </c>
      <c r="B5" s="6" t="n">
        <v>1467</v>
      </c>
      <c r="C5" s="6" t="n">
        <v>0</v>
      </c>
      <c r="D5" s="6" t="n">
        <v>1467</v>
      </c>
      <c r="E5" s="6" t="n">
        <v>1467</v>
      </c>
      <c r="F5" s="6" t="n">
        <v>1467</v>
      </c>
      <c r="G5" s="6" t="n">
        <v>4401</v>
      </c>
    </row>
    <row r="6">
      <c r="A6" s="3" t="inlineStr">
        <is>
          <t>Professional Services</t>
        </is>
      </c>
      <c r="B6" s="6" t="n">
        <v>93250</v>
      </c>
      <c r="C6" s="6" t="n">
        <v>-8000</v>
      </c>
      <c r="D6" s="6" t="n">
        <v>85250</v>
      </c>
      <c r="E6" s="6" t="n">
        <v>0</v>
      </c>
      <c r="F6" s="6" t="n">
        <v>0</v>
      </c>
      <c r="G6" s="6" t="n">
        <v>85250</v>
      </c>
    </row>
    <row r="7">
      <c r="A7" s="3" t="inlineStr">
        <is>
          <t>TOTAL</t>
        </is>
      </c>
      <c r="B7" s="6" t="n">
        <v>107469</v>
      </c>
      <c r="C7" s="6" t="n">
        <v>-8369</v>
      </c>
      <c r="D7" s="6" t="n">
        <v>99100</v>
      </c>
      <c r="E7" s="6" t="n">
        <v>14219</v>
      </c>
      <c r="F7" s="6" t="n">
        <v>14219</v>
      </c>
      <c r="G7" s="6" t="n">
        <v>127538</v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2025-11-19T04:47:43Z</dcterms:created>
  <dcterms:modified xmlns:dcterms="http://purl.org/dc/terms/" xmlns:xsi="http://www.w3.org/2001/XMLSchema-instance" xsi:type="dcterms:W3CDTF">2025-11-19T04:47:43Z</dcterms:modified>
</cp:coreProperties>
</file>